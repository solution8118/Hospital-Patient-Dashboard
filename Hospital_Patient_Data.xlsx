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02152F27-7ABD-4AD1-A4C8-43EA5DED2D6A}" xr6:coauthVersionLast="47" xr6:coauthVersionMax="47" xr10:uidLastSave="{00000000-0000-0000-0000-000000000000}"/>
  <bookViews>
    <workbookView xWindow="-120" yWindow="-120" windowWidth="20730" windowHeight="11160" activeTab="1" xr2:uid="{00000000-000D-0000-FFFF-FFFF00000000}"/>
  </bookViews>
  <sheets>
    <sheet name="KPI" sheetId="2" r:id="rId1"/>
    <sheet name="DASHBOARD" sheetId="3" r:id="rId2"/>
    <sheet name="DATASET" sheetId="1" r:id="rId3"/>
  </sheets>
  <definedNames>
    <definedName name="_xlchart.v1.0" hidden="1">KPI!$J$40:$J$49</definedName>
    <definedName name="_xlchart.v1.1" hidden="1">KPI!$K$40:$K$49</definedName>
    <definedName name="_xlchart.v1.2" hidden="1">KPI!$L$40:$L$49</definedName>
    <definedName name="Slicer_Ag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J42" i="2" l="1"/>
  <c r="J43" i="2"/>
  <c r="J44" i="2"/>
  <c r="J45" i="2"/>
  <c r="J46" i="2"/>
  <c r="J47" i="2"/>
  <c r="J48" i="2"/>
  <c r="J49" i="2"/>
  <c r="J41" i="2"/>
  <c r="J40" i="2"/>
  <c r="H5" i="2"/>
  <c r="H4" i="2"/>
  <c r="L41" i="2"/>
  <c r="L45" i="2"/>
  <c r="L49" i="2"/>
  <c r="L48" i="2"/>
  <c r="L42" i="2"/>
  <c r="L46" i="2"/>
  <c r="L43" i="2"/>
  <c r="L47" i="2"/>
  <c r="L44" i="2"/>
  <c r="L40" i="2"/>
  <c r="K41" i="2"/>
  <c r="K45" i="2"/>
  <c r="K49" i="2"/>
  <c r="K42" i="2"/>
  <c r="K46" i="2"/>
  <c r="K43" i="2"/>
  <c r="K47" i="2"/>
  <c r="K44" i="2"/>
  <c r="K48" i="2"/>
  <c r="K40" i="2"/>
  <c r="E28" i="2"/>
  <c r="F32" i="2"/>
  <c r="F33" i="2"/>
  <c r="F31" i="2"/>
</calcChain>
</file>

<file path=xl/sharedStrings.xml><?xml version="1.0" encoding="utf-8"?>
<sst xmlns="http://schemas.openxmlformats.org/spreadsheetml/2006/main" count="21090" uniqueCount="5806">
  <si>
    <t>Patient_ID</t>
  </si>
  <si>
    <t>Name</t>
  </si>
  <si>
    <t>Age</t>
  </si>
  <si>
    <t>Gender</t>
  </si>
  <si>
    <t>Department</t>
  </si>
  <si>
    <t>Doctor_Name</t>
  </si>
  <si>
    <t>Admission_Date</t>
  </si>
  <si>
    <t>Discharge_Date</t>
  </si>
  <si>
    <t>Diagnosis</t>
  </si>
  <si>
    <t>Treatment</t>
  </si>
  <si>
    <t>Bill_Amount</t>
  </si>
  <si>
    <t>Payment_Status</t>
  </si>
  <si>
    <t>Length_of_Stay</t>
  </si>
  <si>
    <t>Joann Harris</t>
  </si>
  <si>
    <t>Benjamin Williams</t>
  </si>
  <si>
    <t>Leonard Mills</t>
  </si>
  <si>
    <t>Brandon Taylor</t>
  </si>
  <si>
    <t>Caitlin Henderson</t>
  </si>
  <si>
    <t>Joshua Armstrong</t>
  </si>
  <si>
    <t>Jason Perkins</t>
  </si>
  <si>
    <t>Jennifer Thomas</t>
  </si>
  <si>
    <t>Erica Hicks</t>
  </si>
  <si>
    <t>Linda Perry</t>
  </si>
  <si>
    <t>Monica Mays</t>
  </si>
  <si>
    <t>Kathy Chen</t>
  </si>
  <si>
    <t>Andrew Torres</t>
  </si>
  <si>
    <t>Julie Scott</t>
  </si>
  <si>
    <t>Michael Carroll</t>
  </si>
  <si>
    <t>Lisa Cox</t>
  </si>
  <si>
    <t>Crystal Olson</t>
  </si>
  <si>
    <t>Charles Bell</t>
  </si>
  <si>
    <t>Karen Salinas</t>
  </si>
  <si>
    <t>Jeffrey Davis</t>
  </si>
  <si>
    <t>Christopher Clark</t>
  </si>
  <si>
    <t>Daniel Johnson</t>
  </si>
  <si>
    <t>Brian Turner</t>
  </si>
  <si>
    <t>Brian Bryant</t>
  </si>
  <si>
    <t>Nathaniel Baker</t>
  </si>
  <si>
    <t>Lori Hayes</t>
  </si>
  <si>
    <t>Dean Williams</t>
  </si>
  <si>
    <t>Felicia Burns</t>
  </si>
  <si>
    <t>Luis Gonzalez</t>
  </si>
  <si>
    <t>Alice Herrera</t>
  </si>
  <si>
    <t>Paul Nelson</t>
  </si>
  <si>
    <t>Robert Chandler</t>
  </si>
  <si>
    <t>Carolyn Johnson</t>
  </si>
  <si>
    <t>Jamie Lee</t>
  </si>
  <si>
    <t>Erik Nunez</t>
  </si>
  <si>
    <t>Zachary Henderson</t>
  </si>
  <si>
    <t>Timothy Wall Jr.</t>
  </si>
  <si>
    <t>Shane Cook</t>
  </si>
  <si>
    <t>Samantha Barker</t>
  </si>
  <si>
    <t>Pamela Johnson</t>
  </si>
  <si>
    <t>Thomas Vega</t>
  </si>
  <si>
    <t>Cynthia Sanchez</t>
  </si>
  <si>
    <t>Adam Thomas</t>
  </si>
  <si>
    <t>Brenda Howe</t>
  </si>
  <si>
    <t>Susan Taylor</t>
  </si>
  <si>
    <t>Margaret Scott</t>
  </si>
  <si>
    <t>Jonathan Allen</t>
  </si>
  <si>
    <t>Sherry Bowen</t>
  </si>
  <si>
    <t>Katherine Roth</t>
  </si>
  <si>
    <t>David Hurley</t>
  </si>
  <si>
    <t>Kelli Gordon</t>
  </si>
  <si>
    <t>Eric Zamora</t>
  </si>
  <si>
    <t>Bryan Williams</t>
  </si>
  <si>
    <t>Linda Lozano</t>
  </si>
  <si>
    <t>Aaron Young</t>
  </si>
  <si>
    <t>Benjamin Cruz DDS</t>
  </si>
  <si>
    <t>Tony Whitaker</t>
  </si>
  <si>
    <t>Julie Wolf</t>
  </si>
  <si>
    <t>Dr. Stephanie Beck DDS</t>
  </si>
  <si>
    <t>Mathew Rice</t>
  </si>
  <si>
    <t>Anthony Wilson</t>
  </si>
  <si>
    <t>Philip Murphy</t>
  </si>
  <si>
    <t>Mr. David Garcia</t>
  </si>
  <si>
    <t>Matthew Wang</t>
  </si>
  <si>
    <t>Melanie Ford</t>
  </si>
  <si>
    <t>Kevin Graham</t>
  </si>
  <si>
    <t>Nancy Berger</t>
  </si>
  <si>
    <t>Kathleen Austin</t>
  </si>
  <si>
    <t>Carla Moreno</t>
  </si>
  <si>
    <t>Jake Hawkins</t>
  </si>
  <si>
    <t>David Green</t>
  </si>
  <si>
    <t>Christina Garcia</t>
  </si>
  <si>
    <t>Adam Stout</t>
  </si>
  <si>
    <t>Peggy Walter</t>
  </si>
  <si>
    <t>Daniel Rivera</t>
  </si>
  <si>
    <t>Diana Wiggins</t>
  </si>
  <si>
    <t>Nancy Newman</t>
  </si>
  <si>
    <t>Donald Frazier</t>
  </si>
  <si>
    <t>Jackie Johnson</t>
  </si>
  <si>
    <t>Raymond Bruce</t>
  </si>
  <si>
    <t>Elizabeth Rivera</t>
  </si>
  <si>
    <t>Julie Thompson</t>
  </si>
  <si>
    <t>Daniel White</t>
  </si>
  <si>
    <t>Brian Adkins</t>
  </si>
  <si>
    <t>Barbara Mckinney</t>
  </si>
  <si>
    <t>Sarah Payne</t>
  </si>
  <si>
    <t>Jennifer Salinas</t>
  </si>
  <si>
    <t>Jill Maddox</t>
  </si>
  <si>
    <t>Michelle Wells</t>
  </si>
  <si>
    <t>Patricia Reyes</t>
  </si>
  <si>
    <t>Victor Perez</t>
  </si>
  <si>
    <t>Dwayne Weiss</t>
  </si>
  <si>
    <t>David Miranda</t>
  </si>
  <si>
    <t>Bradley Armstrong</t>
  </si>
  <si>
    <t>Mr. Noah Henry</t>
  </si>
  <si>
    <t>Antonio Scott</t>
  </si>
  <si>
    <t>Alexis Green</t>
  </si>
  <si>
    <t>Alicia Koch</t>
  </si>
  <si>
    <t>Tammy Adams</t>
  </si>
  <si>
    <t>Carmen Warren</t>
  </si>
  <si>
    <t>Stacy Gibson</t>
  </si>
  <si>
    <t>Traci Goodwin</t>
  </si>
  <si>
    <t>Jacob Serrano</t>
  </si>
  <si>
    <t>Patricia Tucker</t>
  </si>
  <si>
    <t>Patricia Robbins</t>
  </si>
  <si>
    <t>Timothy Harper</t>
  </si>
  <si>
    <t>Bruce Parsons</t>
  </si>
  <si>
    <t>Debra White</t>
  </si>
  <si>
    <t>Timothy King</t>
  </si>
  <si>
    <t>Jeremy Barnes</t>
  </si>
  <si>
    <t>Angela Swanson</t>
  </si>
  <si>
    <t>Joshua Taylor</t>
  </si>
  <si>
    <t>Julie Vargas</t>
  </si>
  <si>
    <t>Wayne Taylor</t>
  </si>
  <si>
    <t>Julia Hogan</t>
  </si>
  <si>
    <t>Sandra Taylor</t>
  </si>
  <si>
    <t>Lisa Walters</t>
  </si>
  <si>
    <t>Christina Diaz</t>
  </si>
  <si>
    <t>Robert Harris</t>
  </si>
  <si>
    <t>Anna Williams</t>
  </si>
  <si>
    <t>Jorge Evans</t>
  </si>
  <si>
    <t>Jacob Warren</t>
  </si>
  <si>
    <t>Heather Anderson</t>
  </si>
  <si>
    <t>Jennifer Williams</t>
  </si>
  <si>
    <t>Richard Frazier</t>
  </si>
  <si>
    <t>Dawn Peterson</t>
  </si>
  <si>
    <t>Brittany Robinson</t>
  </si>
  <si>
    <t>Jessica Richards</t>
  </si>
  <si>
    <t>Matthew Baldwin</t>
  </si>
  <si>
    <t>Joseph Mendoza</t>
  </si>
  <si>
    <t>George Wilson</t>
  </si>
  <si>
    <t>Marie Reyes</t>
  </si>
  <si>
    <t>Sean Griffin</t>
  </si>
  <si>
    <t>Nicholas Brown</t>
  </si>
  <si>
    <t>Tammy Ellis</t>
  </si>
  <si>
    <t>Linda Spencer</t>
  </si>
  <si>
    <t>Tiffany Barber</t>
  </si>
  <si>
    <t>Jeremiah Nelson</t>
  </si>
  <si>
    <t>Lauren Zimmerman</t>
  </si>
  <si>
    <t>Melissa Johnson</t>
  </si>
  <si>
    <t>Kayla Phelps</t>
  </si>
  <si>
    <t>Robin Brooks</t>
  </si>
  <si>
    <t>Mrs. Denise Hart</t>
  </si>
  <si>
    <t>Kelli Webb</t>
  </si>
  <si>
    <t>Jennifer Osborne</t>
  </si>
  <si>
    <t>Anne Lee</t>
  </si>
  <si>
    <t>Douglas Sandoval</t>
  </si>
  <si>
    <t>Michelle Scott</t>
  </si>
  <si>
    <t>Tyler Holden</t>
  </si>
  <si>
    <t>Joyce Ryan</t>
  </si>
  <si>
    <t>Jason Sanchez</t>
  </si>
  <si>
    <t>Alexander Myers</t>
  </si>
  <si>
    <t>Mary Mitchell</t>
  </si>
  <si>
    <t>Nathaniel Cook</t>
  </si>
  <si>
    <t>Elizabeth Green</t>
  </si>
  <si>
    <t>Natalie Bennett</t>
  </si>
  <si>
    <t>Amanda Williams</t>
  </si>
  <si>
    <t>Amanda Cain</t>
  </si>
  <si>
    <t>Caitlin Hughes</t>
  </si>
  <si>
    <t>Joel Mcgrath</t>
  </si>
  <si>
    <t>Amber Cooke</t>
  </si>
  <si>
    <t>Carlos Mayer</t>
  </si>
  <si>
    <t>Brian Fleming</t>
  </si>
  <si>
    <t>Meghan Butler</t>
  </si>
  <si>
    <t>Brittany Shelton</t>
  </si>
  <si>
    <t>Olivia Pennington</t>
  </si>
  <si>
    <t>Nathan Long</t>
  </si>
  <si>
    <t>Leslie Park</t>
  </si>
  <si>
    <t>Tracey Elliott</t>
  </si>
  <si>
    <t>Daniel Ferrell</t>
  </si>
  <si>
    <t>Shelly Marquez</t>
  </si>
  <si>
    <t>Elizabeth Barker</t>
  </si>
  <si>
    <t>Elizabeth Castillo</t>
  </si>
  <si>
    <t>Samantha Oliver</t>
  </si>
  <si>
    <t>Corey Andrews</t>
  </si>
  <si>
    <t>Joshua Williams</t>
  </si>
  <si>
    <t>Brooke Stevens</t>
  </si>
  <si>
    <t>Michael Whitaker</t>
  </si>
  <si>
    <t>Janet Nguyen</t>
  </si>
  <si>
    <t>Marcus Terry</t>
  </si>
  <si>
    <t>Todd Bailey</t>
  </si>
  <si>
    <t>Daniel Fleming</t>
  </si>
  <si>
    <t>Angel Rios</t>
  </si>
  <si>
    <t>Traci Jenkins</t>
  </si>
  <si>
    <t>Shirley Mccall</t>
  </si>
  <si>
    <t>Jennifer Walker</t>
  </si>
  <si>
    <t>Douglas Jones</t>
  </si>
  <si>
    <t>Robert Perry Jr.</t>
  </si>
  <si>
    <t>Katie Allen</t>
  </si>
  <si>
    <t>Frank Green</t>
  </si>
  <si>
    <t>Erik Rivera</t>
  </si>
  <si>
    <t>Phillip Prince II</t>
  </si>
  <si>
    <t>Natalie Graham</t>
  </si>
  <si>
    <t>Kathy Johnson</t>
  </si>
  <si>
    <t>Eric Edwards</t>
  </si>
  <si>
    <t>Beth Parker</t>
  </si>
  <si>
    <t>Tiffany Watkins</t>
  </si>
  <si>
    <t>Daniel Barajas</t>
  </si>
  <si>
    <t>Benjamin Walter</t>
  </si>
  <si>
    <t>Zachary Goodman</t>
  </si>
  <si>
    <t>Stephanie Rivas</t>
  </si>
  <si>
    <t>Austin Watson</t>
  </si>
  <si>
    <t>James Morris</t>
  </si>
  <si>
    <t>Steve Curtis</t>
  </si>
  <si>
    <t>Jonathan Moss</t>
  </si>
  <si>
    <t>Taylor Mckee</t>
  </si>
  <si>
    <t>Rhonda Lopez</t>
  </si>
  <si>
    <t>James Rogers</t>
  </si>
  <si>
    <t>Michael Perez</t>
  </si>
  <si>
    <t>David Rodriguez</t>
  </si>
  <si>
    <t>Ryan Flores</t>
  </si>
  <si>
    <t>Rachel Lynch</t>
  </si>
  <si>
    <t>Carol Gilmore</t>
  </si>
  <si>
    <t>Mariah Mendez</t>
  </si>
  <si>
    <t>Rebecca Vazquez</t>
  </si>
  <si>
    <t>Joseph Sosa</t>
  </si>
  <si>
    <t>Hayley Miles</t>
  </si>
  <si>
    <t>Mr. Taylor Ortiz</t>
  </si>
  <si>
    <t>Ashley Parks</t>
  </si>
  <si>
    <t>Eric Barrera</t>
  </si>
  <si>
    <t>Sandra Gross</t>
  </si>
  <si>
    <t>Tyler Mcdonald</t>
  </si>
  <si>
    <t>Michael Dennis</t>
  </si>
  <si>
    <t>Ronald Meyer</t>
  </si>
  <si>
    <t>Travis Fields</t>
  </si>
  <si>
    <t>Brenda Anthony</t>
  </si>
  <si>
    <t>Jennifer Campbell</t>
  </si>
  <si>
    <t>Katherine Tran</t>
  </si>
  <si>
    <t>William Armstrong</t>
  </si>
  <si>
    <t>Albert Reyes</t>
  </si>
  <si>
    <t>Melanie Perry</t>
  </si>
  <si>
    <t>Susan Thomas</t>
  </si>
  <si>
    <t>Sandra Black</t>
  </si>
  <si>
    <t>Deanna Martin</t>
  </si>
  <si>
    <t>Leslie Santos</t>
  </si>
  <si>
    <t>Lisa Pierce</t>
  </si>
  <si>
    <t>Samantha Rodriguez</t>
  </si>
  <si>
    <t>Steven Mays</t>
  </si>
  <si>
    <t>Dustin Jones</t>
  </si>
  <si>
    <t>Shawn Ryan</t>
  </si>
  <si>
    <t>Dr. Angela Mcguire</t>
  </si>
  <si>
    <t>Seth Wood</t>
  </si>
  <si>
    <t>Caleb Jacobson</t>
  </si>
  <si>
    <t>Kimberly Mitchell</t>
  </si>
  <si>
    <t>Judy Mcdonald</t>
  </si>
  <si>
    <t>Clayton Parsons</t>
  </si>
  <si>
    <t>Kendra Mitchell</t>
  </si>
  <si>
    <t>John Vazquez</t>
  </si>
  <si>
    <t>Sheila Young</t>
  </si>
  <si>
    <t>Wesley Williams</t>
  </si>
  <si>
    <t>Charles Andersen</t>
  </si>
  <si>
    <t>Taylor Rivera</t>
  </si>
  <si>
    <t>Amy Farrell</t>
  </si>
  <si>
    <t>Cory Moore</t>
  </si>
  <si>
    <t>Robert Acevedo</t>
  </si>
  <si>
    <t>Amber Adams</t>
  </si>
  <si>
    <t>Hannah Cohen</t>
  </si>
  <si>
    <t>Meghan Garcia</t>
  </si>
  <si>
    <t>Anthony Burns</t>
  </si>
  <si>
    <t>Teresa Michael</t>
  </si>
  <si>
    <t>Kevin Garcia</t>
  </si>
  <si>
    <t>David Gonzalez</t>
  </si>
  <si>
    <t>Elizabeth Cisneros</t>
  </si>
  <si>
    <t>Colleen Barton</t>
  </si>
  <si>
    <t>Sarah James</t>
  </si>
  <si>
    <t>Sarah Smith</t>
  </si>
  <si>
    <t>Ricardo Moran</t>
  </si>
  <si>
    <t>Dylan Berg</t>
  </si>
  <si>
    <t>Julie Russell</t>
  </si>
  <si>
    <t>Kyle Stout</t>
  </si>
  <si>
    <t>Allison Mitchell</t>
  </si>
  <si>
    <t>Angela Spencer</t>
  </si>
  <si>
    <t>Dana Price</t>
  </si>
  <si>
    <t>Samuel Rivas</t>
  </si>
  <si>
    <t>Jacqueline Church</t>
  </si>
  <si>
    <t>Bobby Gutierrez</t>
  </si>
  <si>
    <t>Erica Hurley</t>
  </si>
  <si>
    <t>Joshua Lee</t>
  </si>
  <si>
    <t>Joseph Brown</t>
  </si>
  <si>
    <t>Alan Kennedy</t>
  </si>
  <si>
    <t>Amy Ayala</t>
  </si>
  <si>
    <t>Jeremy Caldwell</t>
  </si>
  <si>
    <t>Joseph Curtis</t>
  </si>
  <si>
    <t>Hannah Fowler</t>
  </si>
  <si>
    <t>Scott Rose</t>
  </si>
  <si>
    <t>Sarah Haas</t>
  </si>
  <si>
    <t>Jessica Jenkins</t>
  </si>
  <si>
    <t>Nicholas Giles</t>
  </si>
  <si>
    <t>Amanda Smith</t>
  </si>
  <si>
    <t>Breanna Petty</t>
  </si>
  <si>
    <t>Lori Gibbs</t>
  </si>
  <si>
    <t>Cory Macias</t>
  </si>
  <si>
    <t>Erica Rivera</t>
  </si>
  <si>
    <t>Michael Ashley</t>
  </si>
  <si>
    <t>Samuel Carlson</t>
  </si>
  <si>
    <t>Christopher Clarke</t>
  </si>
  <si>
    <t>Debra Sanders</t>
  </si>
  <si>
    <t>Dr. Shelly Ramirez</t>
  </si>
  <si>
    <t>James Brown</t>
  </si>
  <si>
    <t>Brandi Carlson</t>
  </si>
  <si>
    <t>Tammie Weeks</t>
  </si>
  <si>
    <t>Jonathan Berry</t>
  </si>
  <si>
    <t>Amanda Khan</t>
  </si>
  <si>
    <t>Michelle Payne</t>
  </si>
  <si>
    <t>Joshua Mills</t>
  </si>
  <si>
    <t>Jennifer Bush</t>
  </si>
  <si>
    <t>Joshua Liu</t>
  </si>
  <si>
    <t>Andrew Crawford</t>
  </si>
  <si>
    <t>Alyssa Williams</t>
  </si>
  <si>
    <t>James Fields</t>
  </si>
  <si>
    <t>Tiffany Gibson</t>
  </si>
  <si>
    <t>Brett Moore</t>
  </si>
  <si>
    <t>Anna Rush</t>
  </si>
  <si>
    <t>Laura Jones</t>
  </si>
  <si>
    <t>Shelby Green</t>
  </si>
  <si>
    <t>Patrick Armstrong</t>
  </si>
  <si>
    <t>Jamie Schaefer</t>
  </si>
  <si>
    <t>Kimberly Huerta MD</t>
  </si>
  <si>
    <t>Bradley Barnett</t>
  </si>
  <si>
    <t>Ellen Dominguez</t>
  </si>
  <si>
    <t>Alexandra Williams</t>
  </si>
  <si>
    <t>Maria Green</t>
  </si>
  <si>
    <t>Nancy Willis</t>
  </si>
  <si>
    <t>Heather Hill</t>
  </si>
  <si>
    <t>Kimberly Weber</t>
  </si>
  <si>
    <t>Dana Franco</t>
  </si>
  <si>
    <t>William Mcdonald</t>
  </si>
  <si>
    <t>Geoffrey Vance</t>
  </si>
  <si>
    <t>Jennifer Mckay</t>
  </si>
  <si>
    <t>Jason Turner</t>
  </si>
  <si>
    <t>Megan Roy</t>
  </si>
  <si>
    <t>Phillip Mcdonald</t>
  </si>
  <si>
    <t>Ashley Davis</t>
  </si>
  <si>
    <t>Michelle Buchanan MD</t>
  </si>
  <si>
    <t>Shelley Robertson</t>
  </si>
  <si>
    <t>Angela Davis</t>
  </si>
  <si>
    <t>Brian Owen</t>
  </si>
  <si>
    <t>Rachel Boyd</t>
  </si>
  <si>
    <t>Diana Ford</t>
  </si>
  <si>
    <t>Matthew Reynolds</t>
  </si>
  <si>
    <t>Jennifer Long</t>
  </si>
  <si>
    <t>Nina Lamb MD</t>
  </si>
  <si>
    <t>Christopher Shea</t>
  </si>
  <si>
    <t>Michelle Boyd</t>
  </si>
  <si>
    <t>Monica Dorsey</t>
  </si>
  <si>
    <t>Mark Mckinney</t>
  </si>
  <si>
    <t>Angel Case</t>
  </si>
  <si>
    <t>Jennifer Hampton</t>
  </si>
  <si>
    <t>Jason Gallegos</t>
  </si>
  <si>
    <t>Douglas Smith</t>
  </si>
  <si>
    <t>Susan Greer</t>
  </si>
  <si>
    <t>Larry Stephenson</t>
  </si>
  <si>
    <t>Jasmine Williams</t>
  </si>
  <si>
    <t>Rebecca Aguirre</t>
  </si>
  <si>
    <t>Vanessa Holland</t>
  </si>
  <si>
    <t>William Buck</t>
  </si>
  <si>
    <t>Larry Avery</t>
  </si>
  <si>
    <t>Joanne Hamilton</t>
  </si>
  <si>
    <t>Veronica Vasquez MD</t>
  </si>
  <si>
    <t>Carolyn Miller</t>
  </si>
  <si>
    <t>Jennifer Heath</t>
  </si>
  <si>
    <t>Jason Gross</t>
  </si>
  <si>
    <t>Charles Foster</t>
  </si>
  <si>
    <t>James Salazar</t>
  </si>
  <si>
    <t>Alan Lawrence</t>
  </si>
  <si>
    <t>Michael Banks</t>
  </si>
  <si>
    <t>Cynthia Jones</t>
  </si>
  <si>
    <t>Rebecca Rose DVM</t>
  </si>
  <si>
    <t>Brian Leonard</t>
  </si>
  <si>
    <t>Mark Christensen</t>
  </si>
  <si>
    <t>Joseph Briggs</t>
  </si>
  <si>
    <t>Tonya Nelson</t>
  </si>
  <si>
    <t>Craig Lara</t>
  </si>
  <si>
    <t>Sophia Luna</t>
  </si>
  <si>
    <t>Kyle Williams</t>
  </si>
  <si>
    <t>Monica Adkins</t>
  </si>
  <si>
    <t>Justin Sanchez</t>
  </si>
  <si>
    <t>Terri Davis</t>
  </si>
  <si>
    <t>Stephanie Massey</t>
  </si>
  <si>
    <t>Bridget Jones</t>
  </si>
  <si>
    <t>Ethan Baldwin</t>
  </si>
  <si>
    <t>Kathryn Holland</t>
  </si>
  <si>
    <t>Teresa Banks</t>
  </si>
  <si>
    <t>Eric Joyce</t>
  </si>
  <si>
    <t>Sherri Levy</t>
  </si>
  <si>
    <t>Christopher Delacruz</t>
  </si>
  <si>
    <t>Dakota Romero</t>
  </si>
  <si>
    <t>Monica Hayes</t>
  </si>
  <si>
    <t>David Schultz</t>
  </si>
  <si>
    <t>Jocelyn Hensley</t>
  </si>
  <si>
    <t>Kristina Adams</t>
  </si>
  <si>
    <t>Christopher Lawrence</t>
  </si>
  <si>
    <t>Elizabeth Bishop</t>
  </si>
  <si>
    <t>Tammy Haynes</t>
  </si>
  <si>
    <t>Kelsey Lloyd</t>
  </si>
  <si>
    <t>Paul Welch</t>
  </si>
  <si>
    <t>Mackenzie Cummings</t>
  </si>
  <si>
    <t>David Gutierrez</t>
  </si>
  <si>
    <t>Jessica Gonzales</t>
  </si>
  <si>
    <t>Jason Taylor</t>
  </si>
  <si>
    <t>Beth Hebert</t>
  </si>
  <si>
    <t>Nancy Vega</t>
  </si>
  <si>
    <t>Brandon Hall</t>
  </si>
  <si>
    <t>Marc Anderson</t>
  </si>
  <si>
    <t>Mary Sullivan</t>
  </si>
  <si>
    <t>Steven Cardenas</t>
  </si>
  <si>
    <t>Justin Smith</t>
  </si>
  <si>
    <t>Christopher Robertson</t>
  </si>
  <si>
    <t>Joanne Stevens</t>
  </si>
  <si>
    <t>Justin Hicks</t>
  </si>
  <si>
    <t>Patty Lee</t>
  </si>
  <si>
    <t>Ashley Vasquez</t>
  </si>
  <si>
    <t>Evelyn Potts</t>
  </si>
  <si>
    <t>Christian Jenkins</t>
  </si>
  <si>
    <t>Dustin Russo</t>
  </si>
  <si>
    <t>Jason Alvarez</t>
  </si>
  <si>
    <t>Martin Rojas</t>
  </si>
  <si>
    <t>Jay Hernandez</t>
  </si>
  <si>
    <t>Travis Bishop</t>
  </si>
  <si>
    <t>Daniel Reynolds</t>
  </si>
  <si>
    <t>Mr. Adam Smith</t>
  </si>
  <si>
    <t>Regina Hayes</t>
  </si>
  <si>
    <t>Sandra Franklin</t>
  </si>
  <si>
    <t>Timothy Tucker</t>
  </si>
  <si>
    <t>Teresa Rowland</t>
  </si>
  <si>
    <t>Karen Pham</t>
  </si>
  <si>
    <t>Steven Gonzales</t>
  </si>
  <si>
    <t>Katie Watkins</t>
  </si>
  <si>
    <t>Jeff Estrada MD</t>
  </si>
  <si>
    <t>Amy Santos</t>
  </si>
  <si>
    <t>Mary Ramos</t>
  </si>
  <si>
    <t>Jerome Meyer</t>
  </si>
  <si>
    <t>Dalton Craig</t>
  </si>
  <si>
    <t>Michelle Delacruz</t>
  </si>
  <si>
    <t>Jerry Huff</t>
  </si>
  <si>
    <t>Alicia Rivera</t>
  </si>
  <si>
    <t>Melissa Garcia</t>
  </si>
  <si>
    <t>Erica Cruz</t>
  </si>
  <si>
    <t>Cindy Stanley</t>
  </si>
  <si>
    <t>Linda Barron</t>
  </si>
  <si>
    <t>Matthew Hull</t>
  </si>
  <si>
    <t>Randy Estes</t>
  </si>
  <si>
    <t>Lisa Nelson</t>
  </si>
  <si>
    <t>Megan Barker</t>
  </si>
  <si>
    <t>Carol Reyes</t>
  </si>
  <si>
    <t>Melissa Kane</t>
  </si>
  <si>
    <t>Heather Bryan</t>
  </si>
  <si>
    <t>Dawn Hubbard</t>
  </si>
  <si>
    <t>Dawn Rodriguez</t>
  </si>
  <si>
    <t>Maria Porter</t>
  </si>
  <si>
    <t>Sandra Brown</t>
  </si>
  <si>
    <t>Daniel Johnston</t>
  </si>
  <si>
    <t>Jessica Cox</t>
  </si>
  <si>
    <t>Michael Huynh</t>
  </si>
  <si>
    <t>Donald Gilbert</t>
  </si>
  <si>
    <t>Jared Tanner</t>
  </si>
  <si>
    <t>Gabrielle Reynolds</t>
  </si>
  <si>
    <t>James Garcia</t>
  </si>
  <si>
    <t>Curtis Davis</t>
  </si>
  <si>
    <t>Christopher Mitchell</t>
  </si>
  <si>
    <t>Jeffrey Anderson</t>
  </si>
  <si>
    <t>Jean Vargas</t>
  </si>
  <si>
    <t>Robin Bell</t>
  </si>
  <si>
    <t>Robin Levine</t>
  </si>
  <si>
    <t>Maria Miller</t>
  </si>
  <si>
    <t>Brandon Parks</t>
  </si>
  <si>
    <t>Alyssa Stewart</t>
  </si>
  <si>
    <t>Jesse Rivera</t>
  </si>
  <si>
    <t>Courtney Bell</t>
  </si>
  <si>
    <t>Victoria Harding</t>
  </si>
  <si>
    <t>George Powell</t>
  </si>
  <si>
    <t>Olivia Anderson MD</t>
  </si>
  <si>
    <t>Barbara Griffith</t>
  </si>
  <si>
    <t>Belinda Barrera</t>
  </si>
  <si>
    <t>Benjamin Evans</t>
  </si>
  <si>
    <t>Ryan Price</t>
  </si>
  <si>
    <t>Robert Franklin</t>
  </si>
  <si>
    <t>Natalie Garza</t>
  </si>
  <si>
    <t>Robin Smith</t>
  </si>
  <si>
    <t>Michelle Padilla</t>
  </si>
  <si>
    <t>Linda Berger</t>
  </si>
  <si>
    <t>Debra Mays</t>
  </si>
  <si>
    <t>Caitlin Mathis</t>
  </si>
  <si>
    <t>James Berry</t>
  </si>
  <si>
    <t>Elizabeth Rodriguez</t>
  </si>
  <si>
    <t>Cynthia Duran</t>
  </si>
  <si>
    <t>Mary Potts</t>
  </si>
  <si>
    <t>William Bradford MD</t>
  </si>
  <si>
    <t>Kenneth Baker</t>
  </si>
  <si>
    <t>Ryan Myers</t>
  </si>
  <si>
    <t>Carl Mccoy</t>
  </si>
  <si>
    <t>Lorraine Moreno</t>
  </si>
  <si>
    <t>Anthony Garza</t>
  </si>
  <si>
    <t>Dennis Taylor</t>
  </si>
  <si>
    <t>Alexander Hines</t>
  </si>
  <si>
    <t>Laura Clark</t>
  </si>
  <si>
    <t>Shawn Williams</t>
  </si>
  <si>
    <t>Tamara House</t>
  </si>
  <si>
    <t>Beth Lucas</t>
  </si>
  <si>
    <t>Tiffany Sullivan</t>
  </si>
  <si>
    <t>Emily Webb</t>
  </si>
  <si>
    <t>Tiffany Flores</t>
  </si>
  <si>
    <t>David Pitts</t>
  </si>
  <si>
    <t>Nicole Fitzgerald</t>
  </si>
  <si>
    <t>Michael Stephens</t>
  </si>
  <si>
    <t>Michael Diaz</t>
  </si>
  <si>
    <t>Thomas Villa</t>
  </si>
  <si>
    <t>Kylie Garcia</t>
  </si>
  <si>
    <t>Amanda Monroe</t>
  </si>
  <si>
    <t>John Mccoy</t>
  </si>
  <si>
    <t>Michelle Sanchez</t>
  </si>
  <si>
    <t>Steven Berg</t>
  </si>
  <si>
    <t>Elizabeth Diaz</t>
  </si>
  <si>
    <t>Kevin Adkins</t>
  </si>
  <si>
    <t>Sergio Doyle</t>
  </si>
  <si>
    <t>Mackenzie Martinez DVM</t>
  </si>
  <si>
    <t>Elizabeth Stewart</t>
  </si>
  <si>
    <t>John Lee</t>
  </si>
  <si>
    <t>April Nelson</t>
  </si>
  <si>
    <t>Caroline Hill</t>
  </si>
  <si>
    <t>Brian Powell</t>
  </si>
  <si>
    <t>Karen Soto</t>
  </si>
  <si>
    <t>Paige Powell</t>
  </si>
  <si>
    <t>Jacqueline Roman</t>
  </si>
  <si>
    <t>Tanya Brewer</t>
  </si>
  <si>
    <t>Matthew Garcia</t>
  </si>
  <si>
    <t>Joshua Mcgee</t>
  </si>
  <si>
    <t>Daniel Hahn</t>
  </si>
  <si>
    <t>Barry Duffy</t>
  </si>
  <si>
    <t>Michael Chan</t>
  </si>
  <si>
    <t>Jeffrey Carter</t>
  </si>
  <si>
    <t>Cody Rocha</t>
  </si>
  <si>
    <t>Nicholas Wagner</t>
  </si>
  <si>
    <t>Tonya Carson</t>
  </si>
  <si>
    <t>Corey Johnson</t>
  </si>
  <si>
    <t>Ronald Bailey</t>
  </si>
  <si>
    <t>Nicole Chen</t>
  </si>
  <si>
    <t>Christian Howard</t>
  </si>
  <si>
    <t>Linda Harris</t>
  </si>
  <si>
    <t>Caroline Mcmillan</t>
  </si>
  <si>
    <t>George Sampson</t>
  </si>
  <si>
    <t>Robin White</t>
  </si>
  <si>
    <t>Derrick Brown</t>
  </si>
  <si>
    <t>Albert Pacheco</t>
  </si>
  <si>
    <t>Richard Andersen</t>
  </si>
  <si>
    <t>Taylor Morris</t>
  </si>
  <si>
    <t>Amanda Rasmussen</t>
  </si>
  <si>
    <t>Julia Gilbert</t>
  </si>
  <si>
    <t>Charles Arnold MD</t>
  </si>
  <si>
    <t>Beth Hernandez</t>
  </si>
  <si>
    <t>Caroline Powell</t>
  </si>
  <si>
    <t>Carolyn Delacruz</t>
  </si>
  <si>
    <t>Lauren Villanueva</t>
  </si>
  <si>
    <t>Timothy Ritter</t>
  </si>
  <si>
    <t>Megan Reyes</t>
  </si>
  <si>
    <t>Christopher Cunningham</t>
  </si>
  <si>
    <t>Frances Bennett</t>
  </si>
  <si>
    <t>Phillip Reeves</t>
  </si>
  <si>
    <t>Andrea Williams</t>
  </si>
  <si>
    <t>David Oneal</t>
  </si>
  <si>
    <t>Leslie Douglas</t>
  </si>
  <si>
    <t>Derek Reed</t>
  </si>
  <si>
    <t>Bonnie Morgan</t>
  </si>
  <si>
    <t>James Bell</t>
  </si>
  <si>
    <t>Rebecca Foster</t>
  </si>
  <si>
    <t>Keith Bell</t>
  </si>
  <si>
    <t>Carl Hudson</t>
  </si>
  <si>
    <t>Christopher Brown</t>
  </si>
  <si>
    <t>Lauren Gibson</t>
  </si>
  <si>
    <t>Brooke Walker</t>
  </si>
  <si>
    <t>Michelle Hayes PhD</t>
  </si>
  <si>
    <t>Kelli Martinez</t>
  </si>
  <si>
    <t>Julie Dillon</t>
  </si>
  <si>
    <t>Laura Jacobs</t>
  </si>
  <si>
    <t>Mark Davidson</t>
  </si>
  <si>
    <t>Valerie Lewis</t>
  </si>
  <si>
    <t>Russell Cervantes</t>
  </si>
  <si>
    <t>Joseph Petty</t>
  </si>
  <si>
    <t>William Rivera</t>
  </si>
  <si>
    <t>Jeffrey Garza</t>
  </si>
  <si>
    <t>David Bates</t>
  </si>
  <si>
    <t>Chase Flores</t>
  </si>
  <si>
    <t>Jean Robinson</t>
  </si>
  <si>
    <t>Joseph Hernandez</t>
  </si>
  <si>
    <t>Sonia Jimenez</t>
  </si>
  <si>
    <t>Diane Jensen</t>
  </si>
  <si>
    <t>Paul Harris</t>
  </si>
  <si>
    <t>Mark Good</t>
  </si>
  <si>
    <t>Dr. James Taylor</t>
  </si>
  <si>
    <t>Ian Marks</t>
  </si>
  <si>
    <t>Michelle Smith</t>
  </si>
  <si>
    <t>Isaiah Lewis</t>
  </si>
  <si>
    <t>Debbie Ramirez</t>
  </si>
  <si>
    <t>Emily Osborn</t>
  </si>
  <si>
    <t>Christopher Nelson</t>
  </si>
  <si>
    <t>Amber Hale</t>
  </si>
  <si>
    <t>Sharon Jimenez</t>
  </si>
  <si>
    <t>Mr. Anthony Gonzales</t>
  </si>
  <si>
    <t>Adrienne Villa</t>
  </si>
  <si>
    <t>Austin Ramirez</t>
  </si>
  <si>
    <t>Joe Jones</t>
  </si>
  <si>
    <t>Dana Williams</t>
  </si>
  <si>
    <t>Anna Allen</t>
  </si>
  <si>
    <t>Jacob Barber</t>
  </si>
  <si>
    <t>Nathan Austin</t>
  </si>
  <si>
    <t>David Butler</t>
  </si>
  <si>
    <t>Julie Flores</t>
  </si>
  <si>
    <t>David Gibson</t>
  </si>
  <si>
    <t>Patrick Robertson</t>
  </si>
  <si>
    <t>Matthew Munoz</t>
  </si>
  <si>
    <t>Taylor Walker</t>
  </si>
  <si>
    <t>Jesus Wright Jr.</t>
  </si>
  <si>
    <t>Alisha Hill</t>
  </si>
  <si>
    <t>Thomas Dennis</t>
  </si>
  <si>
    <t>Felicia Bullock</t>
  </si>
  <si>
    <t>Jenna Jackson</t>
  </si>
  <si>
    <t>Samantha Nicholson</t>
  </si>
  <si>
    <t>Ryan Moore</t>
  </si>
  <si>
    <t>Dana Mata</t>
  </si>
  <si>
    <t>Jennifer Singleton</t>
  </si>
  <si>
    <t>Nicholas Gutierrez</t>
  </si>
  <si>
    <t>Nicholas Reynolds</t>
  </si>
  <si>
    <t>Alex Ramirez</t>
  </si>
  <si>
    <t>Martin Parker</t>
  </si>
  <si>
    <t>Kayla Hill</t>
  </si>
  <si>
    <t>Troy Roy</t>
  </si>
  <si>
    <t>Pamela Torres</t>
  </si>
  <si>
    <t>George Cook</t>
  </si>
  <si>
    <t>Tyler Vargas</t>
  </si>
  <si>
    <t>Frank Baker</t>
  </si>
  <si>
    <t>Heather Cantu</t>
  </si>
  <si>
    <t>Joseph Davidson</t>
  </si>
  <si>
    <t>Kelsey Graham</t>
  </si>
  <si>
    <t>Sandra Thomas</t>
  </si>
  <si>
    <t>Travis Hernandez</t>
  </si>
  <si>
    <t>Tracy Perez</t>
  </si>
  <si>
    <t>Jonathan Hicks</t>
  </si>
  <si>
    <t>Lee Stevenson</t>
  </si>
  <si>
    <t>Leslie Brown</t>
  </si>
  <si>
    <t>Seth Boyer</t>
  </si>
  <si>
    <t>Tyler Adams</t>
  </si>
  <si>
    <t>Amanda Diaz</t>
  </si>
  <si>
    <t>Stephanie Obrien</t>
  </si>
  <si>
    <t>Nicole Gutierrez</t>
  </si>
  <si>
    <t>Carmen Williams</t>
  </si>
  <si>
    <t>Bradley Evans</t>
  </si>
  <si>
    <t>Kelly Jacobs</t>
  </si>
  <si>
    <t>Jeremiah Sampson</t>
  </si>
  <si>
    <t>Kyle Atkins</t>
  </si>
  <si>
    <t>Kevin Taylor</t>
  </si>
  <si>
    <t>Jennifer Smith</t>
  </si>
  <si>
    <t>Jason Burnett</t>
  </si>
  <si>
    <t>Andre Lynch</t>
  </si>
  <si>
    <t>Julia Miller</t>
  </si>
  <si>
    <t>Joseph Miller</t>
  </si>
  <si>
    <t>Shannon Arellano</t>
  </si>
  <si>
    <t>Elizabeth Oneal</t>
  </si>
  <si>
    <t>Sabrina Jackson</t>
  </si>
  <si>
    <t>Mark Rivera</t>
  </si>
  <si>
    <t>Melissa Mckenzie</t>
  </si>
  <si>
    <t>Jaime Alexander</t>
  </si>
  <si>
    <t>Micheal Owens</t>
  </si>
  <si>
    <t>Stephanie Robinson</t>
  </si>
  <si>
    <t>Megan Watson</t>
  </si>
  <si>
    <t>Joann Wilson</t>
  </si>
  <si>
    <t>Tracy Lamb</t>
  </si>
  <si>
    <t>Shane Hill</t>
  </si>
  <si>
    <t>Robert Williams</t>
  </si>
  <si>
    <t>Savannah Kemp</t>
  </si>
  <si>
    <t>Jordan Jones</t>
  </si>
  <si>
    <t>Sharon Coleman</t>
  </si>
  <si>
    <t>Teresa Grant</t>
  </si>
  <si>
    <t>Danny Torres</t>
  </si>
  <si>
    <t>Samantha Lam</t>
  </si>
  <si>
    <t>Anna Richards</t>
  </si>
  <si>
    <t>Virginia Lee</t>
  </si>
  <si>
    <t>Billy Harris</t>
  </si>
  <si>
    <t>Robert Bradley</t>
  </si>
  <si>
    <t>Adam Smith</t>
  </si>
  <si>
    <t>Mark Costa</t>
  </si>
  <si>
    <t>Jasmine Gross</t>
  </si>
  <si>
    <t>Karen Kim</t>
  </si>
  <si>
    <t>Teresa Day</t>
  </si>
  <si>
    <t>Sean Carter</t>
  </si>
  <si>
    <t>Mariah Lloyd</t>
  </si>
  <si>
    <t>Amy Mays</t>
  </si>
  <si>
    <t>Ryan Oneill</t>
  </si>
  <si>
    <t>James Jacobs</t>
  </si>
  <si>
    <t>Steven Mendoza</t>
  </si>
  <si>
    <t>Christina Gilbert</t>
  </si>
  <si>
    <t>Rebecca Meza</t>
  </si>
  <si>
    <t>David Thornton</t>
  </si>
  <si>
    <t>Kelly Jones</t>
  </si>
  <si>
    <t>Mark Barber</t>
  </si>
  <si>
    <t>Robert Shelton</t>
  </si>
  <si>
    <t>Carol Carroll MD</t>
  </si>
  <si>
    <t>Mr. Shawn Vazquez</t>
  </si>
  <si>
    <t>Jeanette Sweeney</t>
  </si>
  <si>
    <t>Michelle Garcia</t>
  </si>
  <si>
    <t>Charles Gardner</t>
  </si>
  <si>
    <t>Philip Jones</t>
  </si>
  <si>
    <t>Jeremy Bishop</t>
  </si>
  <si>
    <t>David Hatfield</t>
  </si>
  <si>
    <t>Shannon Martin</t>
  </si>
  <si>
    <t>Jacob Hamilton</t>
  </si>
  <si>
    <t>Terry White</t>
  </si>
  <si>
    <t>Andrew Ingram</t>
  </si>
  <si>
    <t>Jennifer Hill</t>
  </si>
  <si>
    <t>David Hansen</t>
  </si>
  <si>
    <t>Jillian Chavez MD</t>
  </si>
  <si>
    <t>Anthony Mason</t>
  </si>
  <si>
    <t>Mrs. Whitney Velazquez</t>
  </si>
  <si>
    <t>Tammy Oconnor</t>
  </si>
  <si>
    <t>Thomas Richardson</t>
  </si>
  <si>
    <t>Lisa Bennett</t>
  </si>
  <si>
    <t>Joseph Walker</t>
  </si>
  <si>
    <t>Rachel Dorsey</t>
  </si>
  <si>
    <t>Stephanie Moore</t>
  </si>
  <si>
    <t>Nancy Escobar</t>
  </si>
  <si>
    <t>Theresa Kirby</t>
  </si>
  <si>
    <t>Joseph Potter</t>
  </si>
  <si>
    <t>Willie Henson</t>
  </si>
  <si>
    <t>Crystal Taylor</t>
  </si>
  <si>
    <t>Kathryn Pittman</t>
  </si>
  <si>
    <t>Christine Heath</t>
  </si>
  <si>
    <t>Michael Arias</t>
  </si>
  <si>
    <t>Eric Hess</t>
  </si>
  <si>
    <t>David Morrison</t>
  </si>
  <si>
    <t>Janet Pierce</t>
  </si>
  <si>
    <t>Nicole Cooley</t>
  </si>
  <si>
    <t>James Ramsey II</t>
  </si>
  <si>
    <t>Austin Cook</t>
  </si>
  <si>
    <t>Sarah Moore</t>
  </si>
  <si>
    <t>Andrew Branch</t>
  </si>
  <si>
    <t>Latasha Greene</t>
  </si>
  <si>
    <t>Katrina Paul</t>
  </si>
  <si>
    <t>Stephanie Foley</t>
  </si>
  <si>
    <t>Mikayla Phillips MD</t>
  </si>
  <si>
    <t>Dr. Andrew Mcclure</t>
  </si>
  <si>
    <t>Gregory Ellis</t>
  </si>
  <si>
    <t>James Jefferson</t>
  </si>
  <si>
    <t>Denise Bell</t>
  </si>
  <si>
    <t>Derek Ramirez</t>
  </si>
  <si>
    <t>Larry Bradley</t>
  </si>
  <si>
    <t>Daniel Thornton</t>
  </si>
  <si>
    <t>Albert Kim</t>
  </si>
  <si>
    <t>Molly Burns</t>
  </si>
  <si>
    <t>Michelle Riddle</t>
  </si>
  <si>
    <t>Vicki Edwards</t>
  </si>
  <si>
    <t>Jason Byrd</t>
  </si>
  <si>
    <t>Tony Wilson</t>
  </si>
  <si>
    <t>Deanna Conner</t>
  </si>
  <si>
    <t>Rachel Wheeler PhD</t>
  </si>
  <si>
    <t>Joshua Jones</t>
  </si>
  <si>
    <t>James Clark</t>
  </si>
  <si>
    <t>Wendy Vincent</t>
  </si>
  <si>
    <t>William Richardson</t>
  </si>
  <si>
    <t>Michael Franklin</t>
  </si>
  <si>
    <t>Brett Thompson</t>
  </si>
  <si>
    <t>Joshua Sparks</t>
  </si>
  <si>
    <t>Steven Neal</t>
  </si>
  <si>
    <t>Mary Salinas</t>
  </si>
  <si>
    <t>Linda Williams</t>
  </si>
  <si>
    <t>Todd Myers</t>
  </si>
  <si>
    <t>Kelly Castillo</t>
  </si>
  <si>
    <t>Mark Kidd</t>
  </si>
  <si>
    <t>Patrick King</t>
  </si>
  <si>
    <t>Rodney Anderson</t>
  </si>
  <si>
    <t>Susan Guerrero</t>
  </si>
  <si>
    <t>Amy French</t>
  </si>
  <si>
    <t>Sherry Gibson</t>
  </si>
  <si>
    <t>Nathaniel Trujillo</t>
  </si>
  <si>
    <t>Mikayla Taylor</t>
  </si>
  <si>
    <t>Henry Smith</t>
  </si>
  <si>
    <t>Judith Estrada</t>
  </si>
  <si>
    <t>Erica Aguirre</t>
  </si>
  <si>
    <t>Brad Torres</t>
  </si>
  <si>
    <t>Anthony Vazquez</t>
  </si>
  <si>
    <t>Connor Jones</t>
  </si>
  <si>
    <t>Linda Stevens</t>
  </si>
  <si>
    <t>Kyle Anderson</t>
  </si>
  <si>
    <t>Ryan Yu</t>
  </si>
  <si>
    <t>Meghan Olson</t>
  </si>
  <si>
    <t>Victor Mcdonald</t>
  </si>
  <si>
    <t>Kelly Odom</t>
  </si>
  <si>
    <t>Kimberly Walton</t>
  </si>
  <si>
    <t>Paul Scott</t>
  </si>
  <si>
    <t>Christine Walters</t>
  </si>
  <si>
    <t>Kimberly Coleman</t>
  </si>
  <si>
    <t>Brandi Hill</t>
  </si>
  <si>
    <t>Philip Oneal</t>
  </si>
  <si>
    <t>Heidi Mccarthy</t>
  </si>
  <si>
    <t>Teresa Walker</t>
  </si>
  <si>
    <t>Taylor Flores</t>
  </si>
  <si>
    <t>Ann Smith</t>
  </si>
  <si>
    <t>David Davis</t>
  </si>
  <si>
    <t>Shannon Wyatt</t>
  </si>
  <si>
    <t>Tonya Fowler</t>
  </si>
  <si>
    <t>Mrs. Jennifer Sandoval DDS</t>
  </si>
  <si>
    <t>Stacy Martin DVM</t>
  </si>
  <si>
    <t>John Shaffer</t>
  </si>
  <si>
    <t>Cathy Herrera</t>
  </si>
  <si>
    <t>Michael Flores</t>
  </si>
  <si>
    <t>Cheryl Torres</t>
  </si>
  <si>
    <t>Brittney Mills</t>
  </si>
  <si>
    <t>Sarah Williams</t>
  </si>
  <si>
    <t>Jasmine Allen</t>
  </si>
  <si>
    <t>Jack Palmer</t>
  </si>
  <si>
    <t>Eric Smith</t>
  </si>
  <si>
    <t>Claudia Hale</t>
  </si>
  <si>
    <t>Julie Burns</t>
  </si>
  <si>
    <t>Matthew Montgomery</t>
  </si>
  <si>
    <t>Patrick Bailey</t>
  </si>
  <si>
    <t>Mark Jones</t>
  </si>
  <si>
    <t>Connor Williams</t>
  </si>
  <si>
    <t>Sarah Young</t>
  </si>
  <si>
    <t>Christopher Benson</t>
  </si>
  <si>
    <t>Savannah Ramirez</t>
  </si>
  <si>
    <t>Christopher Moore</t>
  </si>
  <si>
    <t>Joshua Chan</t>
  </si>
  <si>
    <t>Gregory Ibarra</t>
  </si>
  <si>
    <t>Kimberly Campbell</t>
  </si>
  <si>
    <t>Wesley Russell</t>
  </si>
  <si>
    <t>Mary Mcgee</t>
  </si>
  <si>
    <t>Tristan Jones</t>
  </si>
  <si>
    <t>Aaron Campbell</t>
  </si>
  <si>
    <t>Dr. Judy Rios</t>
  </si>
  <si>
    <t>Sheila Soto</t>
  </si>
  <si>
    <t>Jennifer Rivera</t>
  </si>
  <si>
    <t>Alexa Burch</t>
  </si>
  <si>
    <t>Theresa Graves</t>
  </si>
  <si>
    <t>Christina Franklin</t>
  </si>
  <si>
    <t>Nancy Sanders</t>
  </si>
  <si>
    <t>Mary Sexton</t>
  </si>
  <si>
    <t>Elizabeth Joseph</t>
  </si>
  <si>
    <t>Alexandria Morse</t>
  </si>
  <si>
    <t>Anthony Hartman</t>
  </si>
  <si>
    <t>Robert Fisher</t>
  </si>
  <si>
    <t>Matthew Houston DVM</t>
  </si>
  <si>
    <t>Kristen Bishop</t>
  </si>
  <si>
    <t>Mr. Dustin Tanner</t>
  </si>
  <si>
    <t>Michael Riddle</t>
  </si>
  <si>
    <t>Renee Hunt</t>
  </si>
  <si>
    <t>Tony Reyes</t>
  </si>
  <si>
    <t>Daniel Ramos</t>
  </si>
  <si>
    <t>Denise Haas</t>
  </si>
  <si>
    <t>Carrie Kelley</t>
  </si>
  <si>
    <t>Tiffany Brady</t>
  </si>
  <si>
    <t>Michael Vargas</t>
  </si>
  <si>
    <t>Ms. Kaitlyn Martinez DDS</t>
  </si>
  <si>
    <t>Rachel Patel</t>
  </si>
  <si>
    <t>Tammy Patel</t>
  </si>
  <si>
    <t>Nathan Morris</t>
  </si>
  <si>
    <t>Barbara Acosta</t>
  </si>
  <si>
    <t>Daniel Miranda</t>
  </si>
  <si>
    <t>Rebecca Robinson</t>
  </si>
  <si>
    <t>Matthew Cisneros</t>
  </si>
  <si>
    <t>Cody Blair</t>
  </si>
  <si>
    <t>Joshua Mason</t>
  </si>
  <si>
    <t>Michael Horn</t>
  </si>
  <si>
    <t>Don Larsen</t>
  </si>
  <si>
    <t>Brian Reyes</t>
  </si>
  <si>
    <t>Alicia Foster</t>
  </si>
  <si>
    <t>Tyler Herrera</t>
  </si>
  <si>
    <t>Jason Hughes</t>
  </si>
  <si>
    <t>Maria Williams</t>
  </si>
  <si>
    <t>Autumn Barry</t>
  </si>
  <si>
    <t>Eric Simpson</t>
  </si>
  <si>
    <t>Christopher Davis</t>
  </si>
  <si>
    <t>Travis Banks</t>
  </si>
  <si>
    <t>Allison Atkinson</t>
  </si>
  <si>
    <t>Sara Baldwin</t>
  </si>
  <si>
    <t>Gregory Fuller</t>
  </si>
  <si>
    <t>Krista Nelson</t>
  </si>
  <si>
    <t>Ashley Jordan</t>
  </si>
  <si>
    <t>Robert Barrett</t>
  </si>
  <si>
    <t>Dr. Michael Martinez</t>
  </si>
  <si>
    <t>Ryan Hart</t>
  </si>
  <si>
    <t>Megan Taylor</t>
  </si>
  <si>
    <t>Tonya Morrow</t>
  </si>
  <si>
    <t>Donald Gonzales</t>
  </si>
  <si>
    <t>Gabriel Russell</t>
  </si>
  <si>
    <t>Rebecca Page PhD</t>
  </si>
  <si>
    <t>Rebecca Alvarez</t>
  </si>
  <si>
    <t>Christine Mcdonald</t>
  </si>
  <si>
    <t>Stacey Grant</t>
  </si>
  <si>
    <t>Matthew Morgan</t>
  </si>
  <si>
    <t>Michael Sandoval</t>
  </si>
  <si>
    <t>Michael Ford</t>
  </si>
  <si>
    <t>Brandy Vazquez</t>
  </si>
  <si>
    <t>Ashley Gonzalez</t>
  </si>
  <si>
    <t>James Goodman</t>
  </si>
  <si>
    <t>Susan Campbell</t>
  </si>
  <si>
    <t>Melissa Glass</t>
  </si>
  <si>
    <t>Devin Moore</t>
  </si>
  <si>
    <t>Heather Patrick</t>
  </si>
  <si>
    <t>Mary Floyd</t>
  </si>
  <si>
    <t>Keith Harrison</t>
  </si>
  <si>
    <t>Timothy Thomas</t>
  </si>
  <si>
    <t>Billy Warren</t>
  </si>
  <si>
    <t>Nicole Cole</t>
  </si>
  <si>
    <t>Justin Garcia</t>
  </si>
  <si>
    <t>Andrew Goodwin</t>
  </si>
  <si>
    <t>Cindy Phillips</t>
  </si>
  <si>
    <t>Billy Patton</t>
  </si>
  <si>
    <t>Donald White</t>
  </si>
  <si>
    <t>Brittany Walter</t>
  </si>
  <si>
    <t>Sherry Rodriguez</t>
  </si>
  <si>
    <t>Jennifer Gardner</t>
  </si>
  <si>
    <t>John Brown</t>
  </si>
  <si>
    <t>Charles Johnson</t>
  </si>
  <si>
    <t>Susan Banks</t>
  </si>
  <si>
    <t>Patrick Palmer</t>
  </si>
  <si>
    <t>Michael Russell</t>
  </si>
  <si>
    <t>Stacey Wilson</t>
  </si>
  <si>
    <t>Sergio Mcgrath</t>
  </si>
  <si>
    <t>Laura Palmer</t>
  </si>
  <si>
    <t>Richard Gonzalez</t>
  </si>
  <si>
    <t>Stacy Peterson</t>
  </si>
  <si>
    <t>Michele Brown</t>
  </si>
  <si>
    <t>Kelly House</t>
  </si>
  <si>
    <t>Brittany Brown</t>
  </si>
  <si>
    <t>Mr. Michael Powell</t>
  </si>
  <si>
    <t>Lynn King</t>
  </si>
  <si>
    <t>Suzanne Phillips</t>
  </si>
  <si>
    <t>Brian Gill</t>
  </si>
  <si>
    <t>Carlos Davis</t>
  </si>
  <si>
    <t>Jacob Adams</t>
  </si>
  <si>
    <t>Stephanie Frazier</t>
  </si>
  <si>
    <t>Nicole Moore</t>
  </si>
  <si>
    <t>Caitlyn Mason</t>
  </si>
  <si>
    <t>Kenneth Donaldson</t>
  </si>
  <si>
    <t>Michael Smith</t>
  </si>
  <si>
    <t>Ronald Perry</t>
  </si>
  <si>
    <t>Timothy Myers</t>
  </si>
  <si>
    <t>Christopher Barnes</t>
  </si>
  <si>
    <t>Brandon Skinner</t>
  </si>
  <si>
    <t>Sandra Barton DDS</t>
  </si>
  <si>
    <t>Karla Caldwell</t>
  </si>
  <si>
    <t>Patricia Hoffman</t>
  </si>
  <si>
    <t>Gabrielle Collins</t>
  </si>
  <si>
    <t>Tyler Page</t>
  </si>
  <si>
    <t>Pamela Brown</t>
  </si>
  <si>
    <t>Tina Quinn</t>
  </si>
  <si>
    <t>Veronica Baker</t>
  </si>
  <si>
    <t>Kimberly Stein</t>
  </si>
  <si>
    <t>Kaitlyn Mason</t>
  </si>
  <si>
    <t>Zachary Santiago</t>
  </si>
  <si>
    <t>Jennifer Bowers</t>
  </si>
  <si>
    <t>Scott Rodriguez</t>
  </si>
  <si>
    <t>Tina Berg</t>
  </si>
  <si>
    <t>Kevin Cochran</t>
  </si>
  <si>
    <t>Jacob Welch</t>
  </si>
  <si>
    <t>Sarah Franco</t>
  </si>
  <si>
    <t>Veronica Larson</t>
  </si>
  <si>
    <t>Michael Hayes</t>
  </si>
  <si>
    <t>Robert Hansen</t>
  </si>
  <si>
    <t>Jeffery Smith</t>
  </si>
  <si>
    <t>Eric Hill</t>
  </si>
  <si>
    <t>Misty Simmons</t>
  </si>
  <si>
    <t>Mark Wright</t>
  </si>
  <si>
    <t>Jennifer Farmer</t>
  </si>
  <si>
    <t>Chad Knox</t>
  </si>
  <si>
    <t>Michelle Johnson</t>
  </si>
  <si>
    <t>William Ramirez</t>
  </si>
  <si>
    <t>Philip Harris</t>
  </si>
  <si>
    <t>Gina Lewis</t>
  </si>
  <si>
    <t>Sean Ford</t>
  </si>
  <si>
    <t>Mrs. Kathryn Hahn</t>
  </si>
  <si>
    <t>Joanne Best</t>
  </si>
  <si>
    <t>Peter Hodge</t>
  </si>
  <si>
    <t>Dr. Johnny Callahan</t>
  </si>
  <si>
    <t>Elizabeth Johnson</t>
  </si>
  <si>
    <t>Melissa Hardy</t>
  </si>
  <si>
    <t>Victor Ellis</t>
  </si>
  <si>
    <t>Brittany Hopkins</t>
  </si>
  <si>
    <t>David Mitchell</t>
  </si>
  <si>
    <t>Joanna Johnson</t>
  </si>
  <si>
    <t>Tracey Duncan</t>
  </si>
  <si>
    <t>Kathryn Jimenez</t>
  </si>
  <si>
    <t>Michelle Serrano</t>
  </si>
  <si>
    <t>Alejandro Turner</t>
  </si>
  <si>
    <t>Matthew Bennett</t>
  </si>
  <si>
    <t>Andrew Lopez</t>
  </si>
  <si>
    <t>Michael Larson</t>
  </si>
  <si>
    <t>Daniel Savage</t>
  </si>
  <si>
    <t>Emily Figueroa</t>
  </si>
  <si>
    <t>Sonia Herring</t>
  </si>
  <si>
    <t>Daniel Allen</t>
  </si>
  <si>
    <t>David Perez</t>
  </si>
  <si>
    <t>Kimberly Blevins</t>
  </si>
  <si>
    <t>Kelsey Munoz</t>
  </si>
  <si>
    <t>Benjamin Wilson</t>
  </si>
  <si>
    <t>Anthony Cooke</t>
  </si>
  <si>
    <t>David Powell</t>
  </si>
  <si>
    <t>Lauren Watson</t>
  </si>
  <si>
    <t>Jennifer Medina</t>
  </si>
  <si>
    <t>Connor Ali</t>
  </si>
  <si>
    <t>Thomas Vaughan</t>
  </si>
  <si>
    <t>Tina Carter</t>
  </si>
  <si>
    <t>Krystal Fitzgerald</t>
  </si>
  <si>
    <t>Tony Vasquez</t>
  </si>
  <si>
    <t>Zachary Rodriguez</t>
  </si>
  <si>
    <t>Mrs. Jean Guerrero</t>
  </si>
  <si>
    <t>Cynthia Allen</t>
  </si>
  <si>
    <t>Sarah Nguyen</t>
  </si>
  <si>
    <t>Jennifer Jones</t>
  </si>
  <si>
    <t>Tonya Ruiz</t>
  </si>
  <si>
    <t>Lynn Mcbride</t>
  </si>
  <si>
    <t>Kimberly Rodriguez</t>
  </si>
  <si>
    <t>Scott Anderson</t>
  </si>
  <si>
    <t>Brian Scott</t>
  </si>
  <si>
    <t>Angela Garcia</t>
  </si>
  <si>
    <t>Rachel Smith</t>
  </si>
  <si>
    <t>Mark Cook</t>
  </si>
  <si>
    <t>Shawn Hill</t>
  </si>
  <si>
    <t>Larry Johnson</t>
  </si>
  <si>
    <t>Christopher Wilson</t>
  </si>
  <si>
    <t>Jeffrey Williams</t>
  </si>
  <si>
    <t>Nancy Guerrero</t>
  </si>
  <si>
    <t>Kathleen Fields</t>
  </si>
  <si>
    <t>Amy Ellis</t>
  </si>
  <si>
    <t>Kenneth White</t>
  </si>
  <si>
    <t>Samantha Ruiz</t>
  </si>
  <si>
    <t>Nicholas Turner</t>
  </si>
  <si>
    <t>Christopher Harvey</t>
  </si>
  <si>
    <t>Seth Miller</t>
  </si>
  <si>
    <t>Frederick Grant</t>
  </si>
  <si>
    <t>Danny Burnett</t>
  </si>
  <si>
    <t>Rebecca Green</t>
  </si>
  <si>
    <t>Gail Richards</t>
  </si>
  <si>
    <t>Nicole Bradshaw</t>
  </si>
  <si>
    <t>John Warren</t>
  </si>
  <si>
    <t>Sarah Jackson</t>
  </si>
  <si>
    <t>Gary Heath</t>
  </si>
  <si>
    <t>Alejandro Guzman</t>
  </si>
  <si>
    <t>Jackie Perkins</t>
  </si>
  <si>
    <t>Kristy Sanchez</t>
  </si>
  <si>
    <t>David Smith</t>
  </si>
  <si>
    <t>Adam Pollard</t>
  </si>
  <si>
    <t>Melissa Christensen</t>
  </si>
  <si>
    <t>Antonio Hall</t>
  </si>
  <si>
    <t>Amber Hernandez</t>
  </si>
  <si>
    <t>Patricia Mitchell</t>
  </si>
  <si>
    <t>Mark Peterson</t>
  </si>
  <si>
    <t>Frank Garcia</t>
  </si>
  <si>
    <t>Aaron Barrett</t>
  </si>
  <si>
    <t>Taylor Peterson</t>
  </si>
  <si>
    <t>Kathy Butler</t>
  </si>
  <si>
    <t>Jason Torres</t>
  </si>
  <si>
    <t>Dawn Miller</t>
  </si>
  <si>
    <t>Laura Miles</t>
  </si>
  <si>
    <t>Joseph Hoover</t>
  </si>
  <si>
    <t>Evan Petersen</t>
  </si>
  <si>
    <t>James Gonzalez</t>
  </si>
  <si>
    <t>Allison Marks</t>
  </si>
  <si>
    <t>Jared Thomas</t>
  </si>
  <si>
    <t>James Harrington</t>
  </si>
  <si>
    <t>Crystal Garcia</t>
  </si>
  <si>
    <t>Michael Johnson</t>
  </si>
  <si>
    <t>Jonathan Gomez</t>
  </si>
  <si>
    <t>David Lin</t>
  </si>
  <si>
    <t>Alexis Buckley</t>
  </si>
  <si>
    <t>Cody Shields</t>
  </si>
  <si>
    <t>David Reeves</t>
  </si>
  <si>
    <t>Isaiah Mccall</t>
  </si>
  <si>
    <t>Sandra Jordan</t>
  </si>
  <si>
    <t>Mikayla Allen</t>
  </si>
  <si>
    <t>Erica Obrien</t>
  </si>
  <si>
    <t>Dale Hanna</t>
  </si>
  <si>
    <t>Danielle Webb</t>
  </si>
  <si>
    <t>Bryan Rivera</t>
  </si>
  <si>
    <t>Meredith Aguilar</t>
  </si>
  <si>
    <t>Cynthia Blake</t>
  </si>
  <si>
    <t>Michael Osborne</t>
  </si>
  <si>
    <t>Erica Bowers</t>
  </si>
  <si>
    <t>Fernando Harris</t>
  </si>
  <si>
    <t>Nicole Foster</t>
  </si>
  <si>
    <t>Richard Hanna</t>
  </si>
  <si>
    <t>Melvin Johnson</t>
  </si>
  <si>
    <t>John Lewis</t>
  </si>
  <si>
    <t>Vanessa Green</t>
  </si>
  <si>
    <t>Theresa May</t>
  </si>
  <si>
    <t>Rachael Andersen</t>
  </si>
  <si>
    <t>Amy Torres</t>
  </si>
  <si>
    <t>Marcus Ramirez</t>
  </si>
  <si>
    <t>Stephanie Wright</t>
  </si>
  <si>
    <t>Patricia Watkins</t>
  </si>
  <si>
    <t>Christina Manning</t>
  </si>
  <si>
    <t>Ryan Deleon</t>
  </si>
  <si>
    <t>Kathryn Williams</t>
  </si>
  <si>
    <t>Valerie Wright</t>
  </si>
  <si>
    <t>Kristin Hernandez</t>
  </si>
  <si>
    <t>Mark Bailey</t>
  </si>
  <si>
    <t>Maxwell Mcbride</t>
  </si>
  <si>
    <t>Robert Allen</t>
  </si>
  <si>
    <t>Brent Bailey</t>
  </si>
  <si>
    <t>Melissa Williams</t>
  </si>
  <si>
    <t>Victoria Wilson</t>
  </si>
  <si>
    <t>Jonathan Martinez</t>
  </si>
  <si>
    <t>Gregory Estrada</t>
  </si>
  <si>
    <t>Robert Davis</t>
  </si>
  <si>
    <t>Matthew Cherry</t>
  </si>
  <si>
    <t>Joan Black</t>
  </si>
  <si>
    <t>Elizabeth Stein</t>
  </si>
  <si>
    <t>Kristen Dawson</t>
  </si>
  <si>
    <t>Warren Russell</t>
  </si>
  <si>
    <t>Raymond Hurley</t>
  </si>
  <si>
    <t>Whitney Hatfield</t>
  </si>
  <si>
    <t>Christie White</t>
  </si>
  <si>
    <t>Anna Gordon</t>
  </si>
  <si>
    <t>Joshua Goodman</t>
  </si>
  <si>
    <t>Henry Gomez</t>
  </si>
  <si>
    <t>Michael Cain</t>
  </si>
  <si>
    <t>Ricky Henry</t>
  </si>
  <si>
    <t>Diana Navarro</t>
  </si>
  <si>
    <t>Lawrence Carter</t>
  </si>
  <si>
    <t>Anthony Bradshaw</t>
  </si>
  <si>
    <t>Dakota Henry</t>
  </si>
  <si>
    <t>Kara Smith</t>
  </si>
  <si>
    <t>Jennifer Ellis</t>
  </si>
  <si>
    <t>Mr. Francis Johnson</t>
  </si>
  <si>
    <t>Phillip Krause</t>
  </si>
  <si>
    <t>Katherine Hale</t>
  </si>
  <si>
    <t>Jason Perez</t>
  </si>
  <si>
    <t>Christopher Rubio</t>
  </si>
  <si>
    <t>Mia Adams</t>
  </si>
  <si>
    <t>Gregory Yang</t>
  </si>
  <si>
    <t>Keith Larson</t>
  </si>
  <si>
    <t>Dr. Jennifer Fuentes</t>
  </si>
  <si>
    <t>Mario Hall</t>
  </si>
  <si>
    <t>Carl Hartman Jr.</t>
  </si>
  <si>
    <t>Caitlin Taylor</t>
  </si>
  <si>
    <t>Stephanie Taylor</t>
  </si>
  <si>
    <t>Ryan Davis</t>
  </si>
  <si>
    <t>Gina Maldonado</t>
  </si>
  <si>
    <t>Herbert Bentley</t>
  </si>
  <si>
    <t>Keith Shea</t>
  </si>
  <si>
    <t>Brooke Alvarez</t>
  </si>
  <si>
    <t>Gabriel Castro</t>
  </si>
  <si>
    <t>Kelsey Fox</t>
  </si>
  <si>
    <t>Michael Edwards</t>
  </si>
  <si>
    <t>Cheryl Chambers</t>
  </si>
  <si>
    <t>Jennifer Delgado</t>
  </si>
  <si>
    <t>Andrea Shields</t>
  </si>
  <si>
    <t>Joseph Baker</t>
  </si>
  <si>
    <t>Riley Bell</t>
  </si>
  <si>
    <t>Jessica Walker</t>
  </si>
  <si>
    <t>Megan Cox</t>
  </si>
  <si>
    <t>Brian Williams</t>
  </si>
  <si>
    <t>Ashley Taylor</t>
  </si>
  <si>
    <t>Denise Clark</t>
  </si>
  <si>
    <t>Lee Underwood</t>
  </si>
  <si>
    <t>Samantha Contreras</t>
  </si>
  <si>
    <t>Katherine Vazquez</t>
  </si>
  <si>
    <t>Paul Carter</t>
  </si>
  <si>
    <t>Mr. Roy Duncan</t>
  </si>
  <si>
    <t>Derrick Manning</t>
  </si>
  <si>
    <t>Andrew Reyes</t>
  </si>
  <si>
    <t>Raymond Cruz</t>
  </si>
  <si>
    <t>Casey French</t>
  </si>
  <si>
    <t>Sheila Duarte</t>
  </si>
  <si>
    <t>Gabriel Lopez</t>
  </si>
  <si>
    <t>Christine Jones</t>
  </si>
  <si>
    <t>Lisa Garza</t>
  </si>
  <si>
    <t>Jack Nelson</t>
  </si>
  <si>
    <t>Michelle Bennett</t>
  </si>
  <si>
    <t>Susan Garcia</t>
  </si>
  <si>
    <t>Alexandria Thomas</t>
  </si>
  <si>
    <t>Bryan Kennedy</t>
  </si>
  <si>
    <t>Christine Mcmillan</t>
  </si>
  <si>
    <t>John Hebert</t>
  </si>
  <si>
    <t>Bryan Myers</t>
  </si>
  <si>
    <t>Micheal Torres</t>
  </si>
  <si>
    <t>Stephen Leach</t>
  </si>
  <si>
    <t>Haley Flowers</t>
  </si>
  <si>
    <t>Christina Byrd</t>
  </si>
  <si>
    <t>Steven Walls</t>
  </si>
  <si>
    <t>Stephen Madden</t>
  </si>
  <si>
    <t>Alexandria Sanchez</t>
  </si>
  <si>
    <t>Kenneth Diaz</t>
  </si>
  <si>
    <t>Christopher Carter</t>
  </si>
  <si>
    <t>Regina Lawson DDS</t>
  </si>
  <si>
    <t>David Richards</t>
  </si>
  <si>
    <t>Molly Long</t>
  </si>
  <si>
    <t>Michael Sullivan</t>
  </si>
  <si>
    <t>Kristen Sanchez</t>
  </si>
  <si>
    <t>Danielle Robinson</t>
  </si>
  <si>
    <t>Ashley Mercado</t>
  </si>
  <si>
    <t>Robert Colon</t>
  </si>
  <si>
    <t>Vincent Mason</t>
  </si>
  <si>
    <t>Elizabeth Reid</t>
  </si>
  <si>
    <t>David Webb</t>
  </si>
  <si>
    <t>Grant Quinn</t>
  </si>
  <si>
    <t>Cindy Proctor</t>
  </si>
  <si>
    <t>Mrs. Shannon Sanchez</t>
  </si>
  <si>
    <t>Sherry Nguyen</t>
  </si>
  <si>
    <t>Sarah Jensen</t>
  </si>
  <si>
    <t>Cory Campbell</t>
  </si>
  <si>
    <t>Mary Levine</t>
  </si>
  <si>
    <t>Donald Black</t>
  </si>
  <si>
    <t>Walter Powers</t>
  </si>
  <si>
    <t>Briana Beasley</t>
  </si>
  <si>
    <t>Curtis Morris</t>
  </si>
  <si>
    <t>Leah Stokes</t>
  </si>
  <si>
    <t>Morgan Gomez</t>
  </si>
  <si>
    <t>Amanda Cardenas</t>
  </si>
  <si>
    <t>Brianna Taylor</t>
  </si>
  <si>
    <t>April Johnson</t>
  </si>
  <si>
    <t>Amy Russell</t>
  </si>
  <si>
    <t>Kimberly Kramer</t>
  </si>
  <si>
    <t>Cameron Waters</t>
  </si>
  <si>
    <t>Amanda Hines</t>
  </si>
  <si>
    <t>Patrick Smith</t>
  </si>
  <si>
    <t>Kelly Keller</t>
  </si>
  <si>
    <t>James Mcdonald</t>
  </si>
  <si>
    <t>Justin Mcdonald</t>
  </si>
  <si>
    <t>Cassandra Bailey</t>
  </si>
  <si>
    <t>Herbert Gonzalez</t>
  </si>
  <si>
    <t>Keith Fritz</t>
  </si>
  <si>
    <t>Daniel Martin</t>
  </si>
  <si>
    <t>Denise Olson</t>
  </si>
  <si>
    <t>Thomas Cooper</t>
  </si>
  <si>
    <t>Alicia Hawkins</t>
  </si>
  <si>
    <t>Norma Escobar</t>
  </si>
  <si>
    <t>Stephanie Cruz</t>
  </si>
  <si>
    <t>Dr. Madison Duran</t>
  </si>
  <si>
    <t>Joseph Stevenson</t>
  </si>
  <si>
    <t>Christine Swanson</t>
  </si>
  <si>
    <t>David Brooks</t>
  </si>
  <si>
    <t>Julian Sanchez</t>
  </si>
  <si>
    <t>Brad Allen</t>
  </si>
  <si>
    <t>Scott Giles</t>
  </si>
  <si>
    <t>Joshua Esparza</t>
  </si>
  <si>
    <t>Mr. Sean Adams DVM</t>
  </si>
  <si>
    <t>Paul Fernandez</t>
  </si>
  <si>
    <t>Brandon Thomas</t>
  </si>
  <si>
    <t>Todd Berry</t>
  </si>
  <si>
    <t>Stephen Zimmerman</t>
  </si>
  <si>
    <t>Brett Berry</t>
  </si>
  <si>
    <t>Ronald Smith</t>
  </si>
  <si>
    <t>Shelby Carlson</t>
  </si>
  <si>
    <t>Meredith Barker</t>
  </si>
  <si>
    <t>Katie Bond</t>
  </si>
  <si>
    <t>John Wolf</t>
  </si>
  <si>
    <t>Melissa Stone</t>
  </si>
  <si>
    <t>Donald Daniel</t>
  </si>
  <si>
    <t>Laura Sherman</t>
  </si>
  <si>
    <t>Jennifer Owens</t>
  </si>
  <si>
    <t>Stacy Jones</t>
  </si>
  <si>
    <t>Bryan Lowe</t>
  </si>
  <si>
    <t>Stephanie Carson</t>
  </si>
  <si>
    <t>Ana Miles</t>
  </si>
  <si>
    <t>Edward Mclaughlin</t>
  </si>
  <si>
    <t>Sharon Schultz</t>
  </si>
  <si>
    <t>Adrian Christian</t>
  </si>
  <si>
    <t>Mark Mcdonald</t>
  </si>
  <si>
    <t>David Anderson</t>
  </si>
  <si>
    <t>Morgan Stevens</t>
  </si>
  <si>
    <t>Jessica Wong</t>
  </si>
  <si>
    <t>Timothy Stevens</t>
  </si>
  <si>
    <t>Roger Lambert</t>
  </si>
  <si>
    <t>Christine Fletcher</t>
  </si>
  <si>
    <t>Brittany Clay</t>
  </si>
  <si>
    <t>Lisa Jones DVM</t>
  </si>
  <si>
    <t>Robert Graham</t>
  </si>
  <si>
    <t>David Barnes</t>
  </si>
  <si>
    <t>Dylan Brown</t>
  </si>
  <si>
    <t>April Campbell</t>
  </si>
  <si>
    <t>Stephen Fernandez Jr.</t>
  </si>
  <si>
    <t>Emily Branch</t>
  </si>
  <si>
    <t>Allison Bell</t>
  </si>
  <si>
    <t>Mrs. Michelle Martin</t>
  </si>
  <si>
    <t>Jeffery Owens</t>
  </si>
  <si>
    <t>Matthew Mitchell</t>
  </si>
  <si>
    <t>Martha Allen</t>
  </si>
  <si>
    <t>Cynthia Smith</t>
  </si>
  <si>
    <t>Doris Smith</t>
  </si>
  <si>
    <t>Ricky Gray</t>
  </si>
  <si>
    <t>David Garcia</t>
  </si>
  <si>
    <t>Megan Everett</t>
  </si>
  <si>
    <t>Kevin Nelson</t>
  </si>
  <si>
    <t>Victoria Guzman</t>
  </si>
  <si>
    <t>John Moss</t>
  </si>
  <si>
    <t>Chris Tanner</t>
  </si>
  <si>
    <t>Veronica Dean</t>
  </si>
  <si>
    <t>Meghan Delacruz</t>
  </si>
  <si>
    <t>Kevin Nash</t>
  </si>
  <si>
    <t>Jessica Garcia</t>
  </si>
  <si>
    <t>Ashley Carlson</t>
  </si>
  <si>
    <t>Steve Salazar</t>
  </si>
  <si>
    <t>Danielle Mcneil</t>
  </si>
  <si>
    <t>James Fleming</t>
  </si>
  <si>
    <t>Mark Cole</t>
  </si>
  <si>
    <t>Ashley Jackson</t>
  </si>
  <si>
    <t>Lauren Cunningham</t>
  </si>
  <si>
    <t>Amanda Hahn</t>
  </si>
  <si>
    <t>Lisa Stone</t>
  </si>
  <si>
    <t>Marilyn David</t>
  </si>
  <si>
    <t>Keith Pitts</t>
  </si>
  <si>
    <t>Bryce Newton</t>
  </si>
  <si>
    <t>Brian Barton</t>
  </si>
  <si>
    <t>Jennifer Barton</t>
  </si>
  <si>
    <t>Ann Reeves</t>
  </si>
  <si>
    <t>Andrea Lewis</t>
  </si>
  <si>
    <t>William Martin</t>
  </si>
  <si>
    <t>Katie Miller</t>
  </si>
  <si>
    <t>Craig Ballard</t>
  </si>
  <si>
    <t>Patty Morris</t>
  </si>
  <si>
    <t>Grace Simmons</t>
  </si>
  <si>
    <t>Michelle Williams</t>
  </si>
  <si>
    <t>Dan Jones</t>
  </si>
  <si>
    <t>Richard Arellano</t>
  </si>
  <si>
    <t>Mrs. Kathleen Anderson DDS</t>
  </si>
  <si>
    <t>Michelle Stewart</t>
  </si>
  <si>
    <t>Cathy Gardner</t>
  </si>
  <si>
    <t>Mark Mcintosh</t>
  </si>
  <si>
    <t>Shirley Hood</t>
  </si>
  <si>
    <t>Dillon Grant</t>
  </si>
  <si>
    <t>Debbie Wallace</t>
  </si>
  <si>
    <t>Gregory Edwards</t>
  </si>
  <si>
    <t>Joseph Mays</t>
  </si>
  <si>
    <t>Jessica Bowers</t>
  </si>
  <si>
    <t>Timothy Gonzalez</t>
  </si>
  <si>
    <t>Christina Rogers</t>
  </si>
  <si>
    <t>Matthew Collins</t>
  </si>
  <si>
    <t>Teresa Robinson DVM</t>
  </si>
  <si>
    <t>Tammy Smith</t>
  </si>
  <si>
    <t>Sean Sutton</t>
  </si>
  <si>
    <t>Sharon Brewer</t>
  </si>
  <si>
    <t>Mary Rogers</t>
  </si>
  <si>
    <t>Robin Baldwin</t>
  </si>
  <si>
    <t>Cathy Rogers</t>
  </si>
  <si>
    <t>Mrs. Carla Martin MD</t>
  </si>
  <si>
    <t>Tiffany Kirk</t>
  </si>
  <si>
    <t>Sarah Morris</t>
  </si>
  <si>
    <t>Christine Silva</t>
  </si>
  <si>
    <t>Steven Barrera</t>
  </si>
  <si>
    <t>Leah Jones</t>
  </si>
  <si>
    <t>Sarah Cox</t>
  </si>
  <si>
    <t>Carlos Welch</t>
  </si>
  <si>
    <t>Edward Murray</t>
  </si>
  <si>
    <t>Donna Clark</t>
  </si>
  <si>
    <t>Douglas Townsend</t>
  </si>
  <si>
    <t>Laurie Porter</t>
  </si>
  <si>
    <t>Mr. Douglas Reyes</t>
  </si>
  <si>
    <t>Christopher Knapp</t>
  </si>
  <si>
    <t>Wayne Martinez</t>
  </si>
  <si>
    <t>Christina Patterson</t>
  </si>
  <si>
    <t>Andrew Strickland</t>
  </si>
  <si>
    <t>Michael Martinez</t>
  </si>
  <si>
    <t>Lindsay Newton</t>
  </si>
  <si>
    <t>Dylan Newton</t>
  </si>
  <si>
    <t>Adam Price</t>
  </si>
  <si>
    <t>David Boyd</t>
  </si>
  <si>
    <t>Travis Coleman</t>
  </si>
  <si>
    <t>Marie Greer</t>
  </si>
  <si>
    <t>Jessica Hughes</t>
  </si>
  <si>
    <t>Matthew Peters</t>
  </si>
  <si>
    <t>Patricia Russell</t>
  </si>
  <si>
    <t>Richard Berg</t>
  </si>
  <si>
    <t>Amanda Francis</t>
  </si>
  <si>
    <t>Albert Ward</t>
  </si>
  <si>
    <t>Jennifer Beck</t>
  </si>
  <si>
    <t>John Stewart</t>
  </si>
  <si>
    <t>James Randall</t>
  </si>
  <si>
    <t>Mrs. Stacey Miller DDS</t>
  </si>
  <si>
    <t>Mark Smith</t>
  </si>
  <si>
    <t>Scott Conner</t>
  </si>
  <si>
    <t>Zachary Coffey</t>
  </si>
  <si>
    <t>Nichole Brady</t>
  </si>
  <si>
    <t>Chad Padilla</t>
  </si>
  <si>
    <t>Matthew Jackson</t>
  </si>
  <si>
    <t>Kelly Fitzgerald</t>
  </si>
  <si>
    <t>James Combs</t>
  </si>
  <si>
    <t>Anthony Ibarra</t>
  </si>
  <si>
    <t>Luis Hudson</t>
  </si>
  <si>
    <t>Gwendolyn Schwartz</t>
  </si>
  <si>
    <t>Michael Woods</t>
  </si>
  <si>
    <t>Brandon Baldwin</t>
  </si>
  <si>
    <t>Lisa Martinez</t>
  </si>
  <si>
    <t>Amber Owens</t>
  </si>
  <si>
    <t>Brenda Reyes</t>
  </si>
  <si>
    <t>Elizabeth Flores</t>
  </si>
  <si>
    <t>Mary Norris</t>
  </si>
  <si>
    <t>Heather Flynn</t>
  </si>
  <si>
    <t>Mark Knight</t>
  </si>
  <si>
    <t>Joshua Brown</t>
  </si>
  <si>
    <t>Linda Lewis</t>
  </si>
  <si>
    <t>Joyce Carr</t>
  </si>
  <si>
    <t>Russell Yates</t>
  </si>
  <si>
    <t>Cheyenne Jennings</t>
  </si>
  <si>
    <t>Scott Davis</t>
  </si>
  <si>
    <t>Gabriel Gilbert</t>
  </si>
  <si>
    <t>Julia Foster</t>
  </si>
  <si>
    <t>Alexis Martinez</t>
  </si>
  <si>
    <t>Tiffany Bryant</t>
  </si>
  <si>
    <t>James Bowen MD</t>
  </si>
  <si>
    <t>Danielle Smith</t>
  </si>
  <si>
    <t>Amy Foley</t>
  </si>
  <si>
    <t>Wanda Guerra</t>
  </si>
  <si>
    <t>Amanda Goodman</t>
  </si>
  <si>
    <t>Kimberly Jones</t>
  </si>
  <si>
    <t>Jay Fowler</t>
  </si>
  <si>
    <t>Christine Singh</t>
  </si>
  <si>
    <t>Lance Cabrera</t>
  </si>
  <si>
    <t>Jacob Baker</t>
  </si>
  <si>
    <t>Melissa Wheeler</t>
  </si>
  <si>
    <t>Christina Vincent</t>
  </si>
  <si>
    <t>Nathan West</t>
  </si>
  <si>
    <t>Rachel Flynn DVM</t>
  </si>
  <si>
    <t>Maria Taylor</t>
  </si>
  <si>
    <t>Brandy Dunn</t>
  </si>
  <si>
    <t>Michael Rose</t>
  </si>
  <si>
    <t>Stephen Flores</t>
  </si>
  <si>
    <t>Jerry Browning</t>
  </si>
  <si>
    <t>Benjamin Graves</t>
  </si>
  <si>
    <t>Matthew Wallace</t>
  </si>
  <si>
    <t>Amanda Allen</t>
  </si>
  <si>
    <t>Nathan Rogers</t>
  </si>
  <si>
    <t>Matthew Schmidt</t>
  </si>
  <si>
    <t>Karen Wright</t>
  </si>
  <si>
    <t>Carlos Vazquez</t>
  </si>
  <si>
    <t>Anita Brock</t>
  </si>
  <si>
    <t>Heather Wagner</t>
  </si>
  <si>
    <t>Steve Smith</t>
  </si>
  <si>
    <t>Jeremy Davis</t>
  </si>
  <si>
    <t>Hannah Brown</t>
  </si>
  <si>
    <t>Wanda Anderson</t>
  </si>
  <si>
    <t>Alex Kelley</t>
  </si>
  <si>
    <t>Omar Montgomery</t>
  </si>
  <si>
    <t>Julie Evans</t>
  </si>
  <si>
    <t>Brent Cross</t>
  </si>
  <si>
    <t>Mr. Zachary Hunter MD</t>
  </si>
  <si>
    <t>Larry Miller</t>
  </si>
  <si>
    <t>Marcus Johnson</t>
  </si>
  <si>
    <t>Savannah Larson</t>
  </si>
  <si>
    <t>Sherri Yang</t>
  </si>
  <si>
    <t>Susan Lewis</t>
  </si>
  <si>
    <t>Lisa Taylor</t>
  </si>
  <si>
    <t>Nathan Medina</t>
  </si>
  <si>
    <t>William Jones</t>
  </si>
  <si>
    <t>Cheryl Robertson</t>
  </si>
  <si>
    <t>Maria Thomas</t>
  </si>
  <si>
    <t>Dorothy Tate</t>
  </si>
  <si>
    <t>Kim Clark</t>
  </si>
  <si>
    <t>Erin Phillips</t>
  </si>
  <si>
    <t>Brandy Johnson</t>
  </si>
  <si>
    <t>Emma Taylor</t>
  </si>
  <si>
    <t>Terri Jackson</t>
  </si>
  <si>
    <t>Mitchell Levine</t>
  </si>
  <si>
    <t>Chelsea Reed</t>
  </si>
  <si>
    <t>Richard Kennedy</t>
  </si>
  <si>
    <t>Richard Webb</t>
  </si>
  <si>
    <t>Nathan Odom</t>
  </si>
  <si>
    <t>Melissa Evans</t>
  </si>
  <si>
    <t>Russell Wilson</t>
  </si>
  <si>
    <t>Megan Smith</t>
  </si>
  <si>
    <t>Brian Shaw</t>
  </si>
  <si>
    <t>David Parker</t>
  </si>
  <si>
    <t>Kevin Mosley</t>
  </si>
  <si>
    <t>Susan Lowe</t>
  </si>
  <si>
    <t>Brianna Ramirez</t>
  </si>
  <si>
    <t>Larry Davis</t>
  </si>
  <si>
    <t>Ashley Ortega</t>
  </si>
  <si>
    <t>Christine Harris</t>
  </si>
  <si>
    <t>Morgan Fox</t>
  </si>
  <si>
    <t>David Warren</t>
  </si>
  <si>
    <t>Gary Williams</t>
  </si>
  <si>
    <t>Ashley Becker</t>
  </si>
  <si>
    <t>Johnathan Oliver</t>
  </si>
  <si>
    <t>Alexis Sanchez</t>
  </si>
  <si>
    <t>Dennis Miller</t>
  </si>
  <si>
    <t>Christine Cohen</t>
  </si>
  <si>
    <t>Joyce Fuller</t>
  </si>
  <si>
    <t>Jeremy Brown</t>
  </si>
  <si>
    <t>David Gilbert</t>
  </si>
  <si>
    <t>Jeremy Thompson</t>
  </si>
  <si>
    <t>Karen Hale</t>
  </si>
  <si>
    <t>Wesley Jones</t>
  </si>
  <si>
    <t>Francisco Wagner</t>
  </si>
  <si>
    <t>Jeremy Williamson</t>
  </si>
  <si>
    <t>Tonya Moore</t>
  </si>
  <si>
    <t>Todd Odonnell</t>
  </si>
  <si>
    <t>Jennifer Wheeler</t>
  </si>
  <si>
    <t>David Brown</t>
  </si>
  <si>
    <t>Michele Weaver</t>
  </si>
  <si>
    <t>Tiffany Benitez</t>
  </si>
  <si>
    <t>Michael Gordon</t>
  </si>
  <si>
    <t>Ashley Blake</t>
  </si>
  <si>
    <t>Michael Castro</t>
  </si>
  <si>
    <t>Antonio Nelson</t>
  </si>
  <si>
    <t>Jason Stewart</t>
  </si>
  <si>
    <t>Pamela Morris</t>
  </si>
  <si>
    <t>Madison Schmidt</t>
  </si>
  <si>
    <t>Eric Tate</t>
  </si>
  <si>
    <t>Nicholas Crawford</t>
  </si>
  <si>
    <t>Amanda Hughes</t>
  </si>
  <si>
    <t>Bailey Hale</t>
  </si>
  <si>
    <t>George Duncan</t>
  </si>
  <si>
    <t>Ronald Martin</t>
  </si>
  <si>
    <t>Brenda Esparza</t>
  </si>
  <si>
    <t>John Nelson</t>
  </si>
  <si>
    <t>Makayla Cook MD</t>
  </si>
  <si>
    <t>Anne Gordon</t>
  </si>
  <si>
    <t>Mr. Jorge Roberts</t>
  </si>
  <si>
    <t>Allen Hernandez</t>
  </si>
  <si>
    <t>Brittney Hanson</t>
  </si>
  <si>
    <t>Matthew Scott</t>
  </si>
  <si>
    <t>Alex Bell</t>
  </si>
  <si>
    <t>Isabel Liu</t>
  </si>
  <si>
    <t>Zachary Simpson</t>
  </si>
  <si>
    <t>Justin Peters</t>
  </si>
  <si>
    <t>Christopher Gonzalez</t>
  </si>
  <si>
    <t>Jennifer Johnson</t>
  </si>
  <si>
    <t>Judy Fuller</t>
  </si>
  <si>
    <t>Chelsea Phillips</t>
  </si>
  <si>
    <t>Hunter Cantrell</t>
  </si>
  <si>
    <t>Zachary Davis</t>
  </si>
  <si>
    <t>Catherine Soto</t>
  </si>
  <si>
    <t>Amanda Martinez</t>
  </si>
  <si>
    <t>Kaitlyn Mathews</t>
  </si>
  <si>
    <t>Jeremy Silva</t>
  </si>
  <si>
    <t>Victoria Murray</t>
  </si>
  <si>
    <t>Zachary Young</t>
  </si>
  <si>
    <t>Breanna Perry</t>
  </si>
  <si>
    <t>Joshua Day</t>
  </si>
  <si>
    <t>Cole Dunlap</t>
  </si>
  <si>
    <t>April Bates</t>
  </si>
  <si>
    <t>Lydia Camacho</t>
  </si>
  <si>
    <t>Luis Dixon</t>
  </si>
  <si>
    <t>Elizabeth Meyer</t>
  </si>
  <si>
    <t>Karen Ramirez</t>
  </si>
  <si>
    <t>Olivia Horton</t>
  </si>
  <si>
    <t>Janet Sanders</t>
  </si>
  <si>
    <t>Elizabeth Moreno</t>
  </si>
  <si>
    <t>Bruce Mclaughlin</t>
  </si>
  <si>
    <t>Christopher Johnson</t>
  </si>
  <si>
    <t>Kevin Wong</t>
  </si>
  <si>
    <t>Denise Warner</t>
  </si>
  <si>
    <t>Isaiah Gaines</t>
  </si>
  <si>
    <t>Tanya Morris</t>
  </si>
  <si>
    <t>James Hobbs</t>
  </si>
  <si>
    <t>Kimberly Parks</t>
  </si>
  <si>
    <t>Kayla Schultz</t>
  </si>
  <si>
    <t>Kenneth Mendoza</t>
  </si>
  <si>
    <t>Jerry Berry</t>
  </si>
  <si>
    <t>Caitlin Brown</t>
  </si>
  <si>
    <t>Ms. Crystal Martinez</t>
  </si>
  <si>
    <t>Laura Garrett</t>
  </si>
  <si>
    <t>Lee Smith</t>
  </si>
  <si>
    <t>Amy Mills</t>
  </si>
  <si>
    <t>Melissa Gallagher</t>
  </si>
  <si>
    <t>Courtney Wiggins</t>
  </si>
  <si>
    <t>Steven Schneider</t>
  </si>
  <si>
    <t>Edward Bryant</t>
  </si>
  <si>
    <t>Jeffery Koch</t>
  </si>
  <si>
    <t>Steven Miller</t>
  </si>
  <si>
    <t>Eric Little</t>
  </si>
  <si>
    <t>Steven Gilbert</t>
  </si>
  <si>
    <t>Maria Jimenez</t>
  </si>
  <si>
    <t>Joseph Wolfe</t>
  </si>
  <si>
    <t>Crystal Johnson</t>
  </si>
  <si>
    <t>Bianca Perry</t>
  </si>
  <si>
    <t>Barbara Kennedy</t>
  </si>
  <si>
    <t>Lisa Phillips</t>
  </si>
  <si>
    <t>Michael Oconnor</t>
  </si>
  <si>
    <t>James Mccann</t>
  </si>
  <si>
    <t>Carolyn Hartman</t>
  </si>
  <si>
    <t>James Glenn</t>
  </si>
  <si>
    <t>Stephanie Green</t>
  </si>
  <si>
    <t>Brittany Boyer</t>
  </si>
  <si>
    <t>Valerie Payne</t>
  </si>
  <si>
    <t>John Rogers</t>
  </si>
  <si>
    <t>Lori Pearson</t>
  </si>
  <si>
    <t>Vickie Wood</t>
  </si>
  <si>
    <t>Timothy Owens</t>
  </si>
  <si>
    <t>Miguel Hayes</t>
  </si>
  <si>
    <t>Natalie Reyes</t>
  </si>
  <si>
    <t>Kelly Evans</t>
  </si>
  <si>
    <t>David Jackson</t>
  </si>
  <si>
    <t>Ann Williams</t>
  </si>
  <si>
    <t>Justin Anderson</t>
  </si>
  <si>
    <t>Ariana Hall</t>
  </si>
  <si>
    <t>Mark Schmidt</t>
  </si>
  <si>
    <t>Erika Navarro</t>
  </si>
  <si>
    <t>Dylan Bowers</t>
  </si>
  <si>
    <t>Miranda Evans</t>
  </si>
  <si>
    <t>Charles Petersen</t>
  </si>
  <si>
    <t>Ashley Murray</t>
  </si>
  <si>
    <t>Robert Murphy</t>
  </si>
  <si>
    <t>Cindy French</t>
  </si>
  <si>
    <t>Belinda Browning</t>
  </si>
  <si>
    <t>Gregg Hansen</t>
  </si>
  <si>
    <t>Jason Paul</t>
  </si>
  <si>
    <t>Brent Benton</t>
  </si>
  <si>
    <t>Brianna Yu</t>
  </si>
  <si>
    <t>Christopher Simpson</t>
  </si>
  <si>
    <t>April Richardson</t>
  </si>
  <si>
    <t>Kristen Taylor</t>
  </si>
  <si>
    <t>Terry Jones</t>
  </si>
  <si>
    <t>Christopher Graham</t>
  </si>
  <si>
    <t>Nicholas Navarro</t>
  </si>
  <si>
    <t>Brandon Williamson</t>
  </si>
  <si>
    <t>Erika Cole</t>
  </si>
  <si>
    <t>Theresa Tyler</t>
  </si>
  <si>
    <t>Keith Miller</t>
  </si>
  <si>
    <t>Michael Mann</t>
  </si>
  <si>
    <t>Sandra Carter</t>
  </si>
  <si>
    <t>Christine Miles</t>
  </si>
  <si>
    <t>Joshua Adams</t>
  </si>
  <si>
    <t>Courtney Carter</t>
  </si>
  <si>
    <t>Judith Wells</t>
  </si>
  <si>
    <t>Todd Williams</t>
  </si>
  <si>
    <t>Roger Blackwell</t>
  </si>
  <si>
    <t>David Roman</t>
  </si>
  <si>
    <t>Cassandra Johnson</t>
  </si>
  <si>
    <t>Cody Rivera</t>
  </si>
  <si>
    <t>Martha Garcia</t>
  </si>
  <si>
    <t>Thomas Pena</t>
  </si>
  <si>
    <t>Christine Gonzalez</t>
  </si>
  <si>
    <t>Travis Clark</t>
  </si>
  <si>
    <t>Robert Moyer</t>
  </si>
  <si>
    <t>Kathy Quinn</t>
  </si>
  <si>
    <t>Hayley Clark</t>
  </si>
  <si>
    <t>Samuel Davis</t>
  </si>
  <si>
    <t>Diamond Durham</t>
  </si>
  <si>
    <t>Daniel Page</t>
  </si>
  <si>
    <t>James Lee</t>
  </si>
  <si>
    <t>Sherry Neal</t>
  </si>
  <si>
    <t>Dana Vasquez</t>
  </si>
  <si>
    <t>Gregory Berg</t>
  </si>
  <si>
    <t>Robert Green</t>
  </si>
  <si>
    <t>Angela Ho</t>
  </si>
  <si>
    <t>Francisco Knox</t>
  </si>
  <si>
    <t>Leah Wade</t>
  </si>
  <si>
    <t>Valerie Hayes</t>
  </si>
  <si>
    <t>Henry Bishop MD</t>
  </si>
  <si>
    <t>Cody Powers</t>
  </si>
  <si>
    <t>Randall Steele</t>
  </si>
  <si>
    <t>Jonathan Garrett</t>
  </si>
  <si>
    <t>James Williamson</t>
  </si>
  <si>
    <t>Stacy Myers</t>
  </si>
  <si>
    <t>John Jones</t>
  </si>
  <si>
    <t>Jennifer Baker</t>
  </si>
  <si>
    <t>Alec Meza</t>
  </si>
  <si>
    <t>Amanda Obrien</t>
  </si>
  <si>
    <t>Stephanie Williams</t>
  </si>
  <si>
    <t>Anna Chang</t>
  </si>
  <si>
    <t>Joseph Welch</t>
  </si>
  <si>
    <t>Philip Watson</t>
  </si>
  <si>
    <t>Jared Dudley</t>
  </si>
  <si>
    <t>Trevor Anderson</t>
  </si>
  <si>
    <t>Stacy Boyd</t>
  </si>
  <si>
    <t>Curtis Schmidt</t>
  </si>
  <si>
    <t>Brittany West</t>
  </si>
  <si>
    <t>Olivia Cooper</t>
  </si>
  <si>
    <t>Jason Stevenson</t>
  </si>
  <si>
    <t>Julia Wilson</t>
  </si>
  <si>
    <t>Andrew Kane</t>
  </si>
  <si>
    <t>Joshua Lewis</t>
  </si>
  <si>
    <t>Julie Briggs</t>
  </si>
  <si>
    <t>Christine Clark</t>
  </si>
  <si>
    <t>Donna Rodriguez</t>
  </si>
  <si>
    <t>Darren Bennett DVM</t>
  </si>
  <si>
    <t>Larry Russell</t>
  </si>
  <si>
    <t>John Newman</t>
  </si>
  <si>
    <t>Natasha Caldwell</t>
  </si>
  <si>
    <t>Peter Dunlap</t>
  </si>
  <si>
    <t>Brian Guzman</t>
  </si>
  <si>
    <t>Mallory Rivera</t>
  </si>
  <si>
    <t>Anna Wells</t>
  </si>
  <si>
    <t>Karen Cannon</t>
  </si>
  <si>
    <t>Richard Coleman</t>
  </si>
  <si>
    <t>Diana Oconnor</t>
  </si>
  <si>
    <t>Richard Washington</t>
  </si>
  <si>
    <t>Brittany Frank</t>
  </si>
  <si>
    <t>Samuel Parrish</t>
  </si>
  <si>
    <t>Valerie Lee</t>
  </si>
  <si>
    <t>Gregory Miller</t>
  </si>
  <si>
    <t>Donna Lopez</t>
  </si>
  <si>
    <t>Robert Lyons</t>
  </si>
  <si>
    <t>Ann Schmidt</t>
  </si>
  <si>
    <t>Victor Bautista</t>
  </si>
  <si>
    <t>Cynthia Bush</t>
  </si>
  <si>
    <t>Michael Dixon</t>
  </si>
  <si>
    <t>Donna Shaw</t>
  </si>
  <si>
    <t>Natalie Brown</t>
  </si>
  <si>
    <t>Matthew Olson</t>
  </si>
  <si>
    <t>Mr. Philip Sanchez</t>
  </si>
  <si>
    <t>Phyllis Sullivan</t>
  </si>
  <si>
    <t>Amber Baker</t>
  </si>
  <si>
    <t>Melissa Lynch DVM</t>
  </si>
  <si>
    <t>William Fry</t>
  </si>
  <si>
    <t>David Russell</t>
  </si>
  <si>
    <t>Anna Walker</t>
  </si>
  <si>
    <t>Stacey Smith</t>
  </si>
  <si>
    <t>Christopher Lopez</t>
  </si>
  <si>
    <t>Marcus Garcia</t>
  </si>
  <si>
    <t>Megan Richardson</t>
  </si>
  <si>
    <t>Dr. Dale Adams MD</t>
  </si>
  <si>
    <t>Jacob Anderson</t>
  </si>
  <si>
    <t>Paul Adams</t>
  </si>
  <si>
    <t>Tommy Miranda</t>
  </si>
  <si>
    <t>David Mcmahon</t>
  </si>
  <si>
    <t>Steven Beck</t>
  </si>
  <si>
    <t>Shaun Watson</t>
  </si>
  <si>
    <t>Laurie Kent</t>
  </si>
  <si>
    <t>Madison Stewart</t>
  </si>
  <si>
    <t>Scott Hawkins</t>
  </si>
  <si>
    <t>Alyssa Salazar</t>
  </si>
  <si>
    <t>Tracey Graham</t>
  </si>
  <si>
    <t>Jasmine Walker</t>
  </si>
  <si>
    <t>Sean Cortez</t>
  </si>
  <si>
    <t>Rachel Lindsey</t>
  </si>
  <si>
    <t>Jessica Lopez</t>
  </si>
  <si>
    <t>Lisa Baker</t>
  </si>
  <si>
    <t>Scott Foster</t>
  </si>
  <si>
    <t>Shannon Nelson</t>
  </si>
  <si>
    <t>Kyle George</t>
  </si>
  <si>
    <t>Audrey Bridges</t>
  </si>
  <si>
    <t>Kristin Davis</t>
  </si>
  <si>
    <t>Adam Henson</t>
  </si>
  <si>
    <t>John Kelly</t>
  </si>
  <si>
    <t>Ricardo Garcia</t>
  </si>
  <si>
    <t>Alexander Schroeder</t>
  </si>
  <si>
    <t>Shannon Wallace</t>
  </si>
  <si>
    <t>Mary Stephenson</t>
  </si>
  <si>
    <t>Amy Lee</t>
  </si>
  <si>
    <t>Katherine Owens</t>
  </si>
  <si>
    <t>Lucas White</t>
  </si>
  <si>
    <t>Matthew Marquez</t>
  </si>
  <si>
    <t>Jessica Saunders</t>
  </si>
  <si>
    <t>Richard Murphy</t>
  </si>
  <si>
    <t>Lisa Cantrell</t>
  </si>
  <si>
    <t>Jane Guzman</t>
  </si>
  <si>
    <t>Michael Knight</t>
  </si>
  <si>
    <t>Steven Spencer</t>
  </si>
  <si>
    <t>Anthony Robinson MD</t>
  </si>
  <si>
    <t>Tracey Gross</t>
  </si>
  <si>
    <t>Brittany Martinez</t>
  </si>
  <si>
    <t>Michael Morrow</t>
  </si>
  <si>
    <t>Aaron Burch</t>
  </si>
  <si>
    <t>Jennifer Andrews</t>
  </si>
  <si>
    <t>Melissa Kelley</t>
  </si>
  <si>
    <t>Marcus Diaz</t>
  </si>
  <si>
    <t>Jerome Armstrong</t>
  </si>
  <si>
    <t>Richard Phillips</t>
  </si>
  <si>
    <t>Henry Small</t>
  </si>
  <si>
    <t>Christopher Owen</t>
  </si>
  <si>
    <t>Christine Duncan</t>
  </si>
  <si>
    <t>Evelyn Floyd</t>
  </si>
  <si>
    <t>Thomas Weaver</t>
  </si>
  <si>
    <t>Megan Zavala</t>
  </si>
  <si>
    <t>Elizabeth Hall</t>
  </si>
  <si>
    <t>Tina Harding</t>
  </si>
  <si>
    <t>Crystal Levine</t>
  </si>
  <si>
    <t>Amanda Gill</t>
  </si>
  <si>
    <t>Edward Vincent</t>
  </si>
  <si>
    <t>Richard Gutierrez</t>
  </si>
  <si>
    <t>Kristine Spencer</t>
  </si>
  <si>
    <t>Shawn Brady</t>
  </si>
  <si>
    <t>Michael Williamson</t>
  </si>
  <si>
    <t>Rhonda Ford</t>
  </si>
  <si>
    <t>David Pena</t>
  </si>
  <si>
    <t>Bethany Shepherd</t>
  </si>
  <si>
    <t>Alex Nelson</t>
  </si>
  <si>
    <t>Madeline Morris</t>
  </si>
  <si>
    <t>Michael White</t>
  </si>
  <si>
    <t>Joshua Peterson</t>
  </si>
  <si>
    <t>Nicole Watkins</t>
  </si>
  <si>
    <t>Tammy Becker</t>
  </si>
  <si>
    <t>Oscar Nelson</t>
  </si>
  <si>
    <t>Kelly Campbell</t>
  </si>
  <si>
    <t>Joseph Riley</t>
  </si>
  <si>
    <t>Christopher Dickson</t>
  </si>
  <si>
    <t>Ashley Frederick</t>
  </si>
  <si>
    <t>Marissa Hanson</t>
  </si>
  <si>
    <t>Duane Scott</t>
  </si>
  <si>
    <t>Michelle Hunter</t>
  </si>
  <si>
    <t>Lynn Thompson</t>
  </si>
  <si>
    <t>Terry Moore</t>
  </si>
  <si>
    <t>Mark Stein</t>
  </si>
  <si>
    <t>Patrick Chen</t>
  </si>
  <si>
    <t>Tyler Hawkins</t>
  </si>
  <si>
    <t>Dorothy Santana</t>
  </si>
  <si>
    <t>John Tran</t>
  </si>
  <si>
    <t>Richard Soto</t>
  </si>
  <si>
    <t>Ryan Khan</t>
  </si>
  <si>
    <t>Cameron Burns</t>
  </si>
  <si>
    <t>Julian Foley</t>
  </si>
  <si>
    <t>Steven Jackson</t>
  </si>
  <si>
    <t>Kelly Walker</t>
  </si>
  <si>
    <t>Scott Graves</t>
  </si>
  <si>
    <t>Brian Marsh MD</t>
  </si>
  <si>
    <t>Jamie Shaw</t>
  </si>
  <si>
    <t>Anthony Mccoy</t>
  </si>
  <si>
    <t>Stanley Wilson</t>
  </si>
  <si>
    <t>Victoria Fisher</t>
  </si>
  <si>
    <t>Alexander Ruiz</t>
  </si>
  <si>
    <t>Melissa Snyder</t>
  </si>
  <si>
    <t>Kathy Davis</t>
  </si>
  <si>
    <t>Christine Carter</t>
  </si>
  <si>
    <t>Rebecca Davis</t>
  </si>
  <si>
    <t>Brian Schultz</t>
  </si>
  <si>
    <t>Heather Walker</t>
  </si>
  <si>
    <t>Garrett Miller</t>
  </si>
  <si>
    <t>Sarah Perry</t>
  </si>
  <si>
    <t>Joseph Torres</t>
  </si>
  <si>
    <t>Joseph Abbott</t>
  </si>
  <si>
    <t>Kelly Turner</t>
  </si>
  <si>
    <t>James Baker</t>
  </si>
  <si>
    <t>Margaret Wilkinson</t>
  </si>
  <si>
    <t>Kathleen Thompson</t>
  </si>
  <si>
    <t>Jennifer Contreras</t>
  </si>
  <si>
    <t>Tonya Cortez</t>
  </si>
  <si>
    <t>Sharon Hoffman</t>
  </si>
  <si>
    <t>Julie Holmes</t>
  </si>
  <si>
    <t>Theresa Wright</t>
  </si>
  <si>
    <t>Ronald Torres</t>
  </si>
  <si>
    <t>Christian Welch</t>
  </si>
  <si>
    <t>Larry Matthews</t>
  </si>
  <si>
    <t>Shane Olson</t>
  </si>
  <si>
    <t>Mary Proctor</t>
  </si>
  <si>
    <t>Kayla Fisher</t>
  </si>
  <si>
    <t>Dalton Bowman</t>
  </si>
  <si>
    <t>Randy Jacobson MD</t>
  </si>
  <si>
    <t>Jonathan Walker</t>
  </si>
  <si>
    <t>Andrea Burton</t>
  </si>
  <si>
    <t>Seth Rojas</t>
  </si>
  <si>
    <t>Matthew Peterson</t>
  </si>
  <si>
    <t>Susan Casey</t>
  </si>
  <si>
    <t>Jonathan Singleton</t>
  </si>
  <si>
    <t>Marc Lopez</t>
  </si>
  <si>
    <t>Victoria Allen</t>
  </si>
  <si>
    <t>Kayla Knight</t>
  </si>
  <si>
    <t>Derrick Yates</t>
  </si>
  <si>
    <t>Gabriella Dickerson</t>
  </si>
  <si>
    <t>Leah Nichols</t>
  </si>
  <si>
    <t>William Ryan</t>
  </si>
  <si>
    <t>Nicholas Rodgers</t>
  </si>
  <si>
    <t>Ronald Fox</t>
  </si>
  <si>
    <t>Cynthia Robinson</t>
  </si>
  <si>
    <t>Adam Pierce</t>
  </si>
  <si>
    <t>Cynthia Holland</t>
  </si>
  <si>
    <t>Laura Gilbert</t>
  </si>
  <si>
    <t>Michael Bernard</t>
  </si>
  <si>
    <t>Deborah Alvarez</t>
  </si>
  <si>
    <t>Eugene Manning</t>
  </si>
  <si>
    <t>Holly Mendez</t>
  </si>
  <si>
    <t>Jonathan Yates</t>
  </si>
  <si>
    <t>Yvette Bailey</t>
  </si>
  <si>
    <t>Jordan Garcia</t>
  </si>
  <si>
    <t>Toni Ayala</t>
  </si>
  <si>
    <t>Kevin Chavez</t>
  </si>
  <si>
    <t>Jessica Lee</t>
  </si>
  <si>
    <t>Melissa Turner</t>
  </si>
  <si>
    <t>Teresa Ramirez</t>
  </si>
  <si>
    <t>James Rose</t>
  </si>
  <si>
    <t>Krista Burnett</t>
  </si>
  <si>
    <t>Brian Gordon</t>
  </si>
  <si>
    <t>Sherry Mccann</t>
  </si>
  <si>
    <t>Steven Taylor</t>
  </si>
  <si>
    <t>Anthony Thornton</t>
  </si>
  <si>
    <t>Eric Brennan</t>
  </si>
  <si>
    <t>Erin Wilson</t>
  </si>
  <si>
    <t>Kenneth Harris MD</t>
  </si>
  <si>
    <t>Jason Young</t>
  </si>
  <si>
    <t>Cynthia Bell</t>
  </si>
  <si>
    <t>Angel Johnson</t>
  </si>
  <si>
    <t>David Bonilla</t>
  </si>
  <si>
    <t>Mrs. Sharon Adams</t>
  </si>
  <si>
    <t>Robert Rubio</t>
  </si>
  <si>
    <t>Kevin Beltran</t>
  </si>
  <si>
    <t>Antonio Ryan</t>
  </si>
  <si>
    <t>Allison Nelson</t>
  </si>
  <si>
    <t>Keith Chung</t>
  </si>
  <si>
    <t>Ms. Haley Martinez DDS</t>
  </si>
  <si>
    <t>Martin Farley</t>
  </si>
  <si>
    <t>Ashley Williams</t>
  </si>
  <si>
    <t>Matthew White</t>
  </si>
  <si>
    <t>Tonya Soto</t>
  </si>
  <si>
    <t>Michelle Daniels</t>
  </si>
  <si>
    <t>Jonathan Chase</t>
  </si>
  <si>
    <t>Kenneth Zimmerman</t>
  </si>
  <si>
    <t>Maxwell Mcpherson</t>
  </si>
  <si>
    <t>Sierra Lane</t>
  </si>
  <si>
    <t>Luis Cooper</t>
  </si>
  <si>
    <t>Laura Perry</t>
  </si>
  <si>
    <t>Cameron Nunez</t>
  </si>
  <si>
    <t>Matthew Perez</t>
  </si>
  <si>
    <t>Kristina Jordan</t>
  </si>
  <si>
    <t>Daniel Pennington</t>
  </si>
  <si>
    <t>Jamie Case</t>
  </si>
  <si>
    <t>Erin Sanford</t>
  </si>
  <si>
    <t>Ashley Ruiz</t>
  </si>
  <si>
    <t>Jeffrey Coleman</t>
  </si>
  <si>
    <t>Dean Mckinney</t>
  </si>
  <si>
    <t>Keith Brewer</t>
  </si>
  <si>
    <t>Adrian Perez</t>
  </si>
  <si>
    <t>Sarah Thompson</t>
  </si>
  <si>
    <t>James Young</t>
  </si>
  <si>
    <t>Lisa Young</t>
  </si>
  <si>
    <t>Emily Mckenzie</t>
  </si>
  <si>
    <t>Robert Moore</t>
  </si>
  <si>
    <t>Danny Gardner</t>
  </si>
  <si>
    <t>Samuel Harrison</t>
  </si>
  <si>
    <t>Lisa Castillo</t>
  </si>
  <si>
    <t>Sabrina Lopez</t>
  </si>
  <si>
    <t>Joseph Garcia</t>
  </si>
  <si>
    <t>Jennifer Lopez</t>
  </si>
  <si>
    <t>Caitlin Phillips</t>
  </si>
  <si>
    <t>Cheryl House</t>
  </si>
  <si>
    <t>Brittany Phillips</t>
  </si>
  <si>
    <t>Shawn Harper</t>
  </si>
  <si>
    <t>Ryan Hernandez</t>
  </si>
  <si>
    <t>Richard Lopez</t>
  </si>
  <si>
    <t>Jeremy Jacobson</t>
  </si>
  <si>
    <t>Dorothy Yang MD</t>
  </si>
  <si>
    <t>Regina Johnson</t>
  </si>
  <si>
    <t>Mark Huffman</t>
  </si>
  <si>
    <t>Ryan Ellis</t>
  </si>
  <si>
    <t>Victoria Cook</t>
  </si>
  <si>
    <t>Mary Alexander</t>
  </si>
  <si>
    <t>Kristin Wagner</t>
  </si>
  <si>
    <t>Heather Serrano</t>
  </si>
  <si>
    <t>Jeffery Clark</t>
  </si>
  <si>
    <t>Kyle Miller</t>
  </si>
  <si>
    <t>Kevin Leach</t>
  </si>
  <si>
    <t>Wayne Beard</t>
  </si>
  <si>
    <t>Tiffany Sanchez</t>
  </si>
  <si>
    <t>Dr. Emily Rodriguez</t>
  </si>
  <si>
    <t>Craig Bass</t>
  </si>
  <si>
    <t>Megan Johnson</t>
  </si>
  <si>
    <t>Lisa Clark</t>
  </si>
  <si>
    <t>David Bennett</t>
  </si>
  <si>
    <t>Ryan Mckinney</t>
  </si>
  <si>
    <t>Colleen Adams</t>
  </si>
  <si>
    <t>Erin Moore</t>
  </si>
  <si>
    <t>Tiffany Berry</t>
  </si>
  <si>
    <t>Jon Lewis</t>
  </si>
  <si>
    <t>Michael Jimenez</t>
  </si>
  <si>
    <t>Jessica Morris</t>
  </si>
  <si>
    <t>Jeffrey White</t>
  </si>
  <si>
    <t>Johnny Harrison</t>
  </si>
  <si>
    <t>Sheryl Cameron</t>
  </si>
  <si>
    <t>Nicholas Hernandez</t>
  </si>
  <si>
    <t>Melanie Lucas</t>
  </si>
  <si>
    <t>William Wood</t>
  </si>
  <si>
    <t>Amanda Gonzalez</t>
  </si>
  <si>
    <t>Karen Black</t>
  </si>
  <si>
    <t>Victor Fields</t>
  </si>
  <si>
    <t>Emily Mccann</t>
  </si>
  <si>
    <t>Nicholas Sanchez</t>
  </si>
  <si>
    <t>Christopher Boyd</t>
  </si>
  <si>
    <t>Emily Finley</t>
  </si>
  <si>
    <t>David Harmon</t>
  </si>
  <si>
    <t>Connor York</t>
  </si>
  <si>
    <t>Antonio Hanson</t>
  </si>
  <si>
    <t>Charles Harris</t>
  </si>
  <si>
    <t>Heather Williams</t>
  </si>
  <si>
    <t>Deborah Stevens</t>
  </si>
  <si>
    <t>Carly Murphy</t>
  </si>
  <si>
    <t>Aaron Jones</t>
  </si>
  <si>
    <t>Henry Yates</t>
  </si>
  <si>
    <t>Thomas Sanders</t>
  </si>
  <si>
    <t>Evelyn Webster</t>
  </si>
  <si>
    <t>Krista Little</t>
  </si>
  <si>
    <t>Sarah Alvarado</t>
  </si>
  <si>
    <t>Amber Campbell</t>
  </si>
  <si>
    <t>Terrence Alvarado</t>
  </si>
  <si>
    <t>Charles Scott</t>
  </si>
  <si>
    <t>Yolanda Smith</t>
  </si>
  <si>
    <t>Rhonda Deleon</t>
  </si>
  <si>
    <t>Thomas Sanchez</t>
  </si>
  <si>
    <t>Michael Serrano</t>
  </si>
  <si>
    <t>Douglas Lopez</t>
  </si>
  <si>
    <t>Kathryn Newton</t>
  </si>
  <si>
    <t>Carlos King</t>
  </si>
  <si>
    <t>Devon Bennett</t>
  </si>
  <si>
    <t>Cindy Thompson</t>
  </si>
  <si>
    <t>Julia Jones</t>
  </si>
  <si>
    <t>Cole Jefferson</t>
  </si>
  <si>
    <t>Kevin Duncan</t>
  </si>
  <si>
    <t>Todd Oconnor</t>
  </si>
  <si>
    <t>Jose Kelley</t>
  </si>
  <si>
    <t>Shannon Hansen</t>
  </si>
  <si>
    <t>William Chang</t>
  </si>
  <si>
    <t>Lauren Garcia</t>
  </si>
  <si>
    <t>Kimberly White</t>
  </si>
  <si>
    <t>Vincent Bright</t>
  </si>
  <si>
    <t>Tiffany Oliver</t>
  </si>
  <si>
    <t>Marvin Leon</t>
  </si>
  <si>
    <t>Travis Gilbert</t>
  </si>
  <si>
    <t>Walter Miles</t>
  </si>
  <si>
    <t>Kevin Dawson</t>
  </si>
  <si>
    <t>Regina Reynolds</t>
  </si>
  <si>
    <t>Jordan Blanchard</t>
  </si>
  <si>
    <t>Jeffrey Edwards</t>
  </si>
  <si>
    <t>Steven Wright</t>
  </si>
  <si>
    <t>Ruben Farmer</t>
  </si>
  <si>
    <t>William Hess</t>
  </si>
  <si>
    <t>Allen James</t>
  </si>
  <si>
    <t>James Wall</t>
  </si>
  <si>
    <t>Whitney Cook</t>
  </si>
  <si>
    <t>Emily Taylor</t>
  </si>
  <si>
    <t>Daniel Sawyer</t>
  </si>
  <si>
    <t>Beverly Robles</t>
  </si>
  <si>
    <t>Vickie Craig</t>
  </si>
  <si>
    <t>Tamara Roberts</t>
  </si>
  <si>
    <t>Danny Ross</t>
  </si>
  <si>
    <t>Cindy Leonard</t>
  </si>
  <si>
    <t>Michael Rosario</t>
  </si>
  <si>
    <t>John Gardner</t>
  </si>
  <si>
    <t>Elizabeth Stark</t>
  </si>
  <si>
    <t>Brian Jensen</t>
  </si>
  <si>
    <t>Theresa Morgan</t>
  </si>
  <si>
    <t>Dustin Wallace</t>
  </si>
  <si>
    <t>Nancy Bradley</t>
  </si>
  <si>
    <t>Carrie Ruiz</t>
  </si>
  <si>
    <t>Melissa Rowe</t>
  </si>
  <si>
    <t>Christopher Hernandez</t>
  </si>
  <si>
    <t>Mark Greene</t>
  </si>
  <si>
    <t>Jennifer Ferrell</t>
  </si>
  <si>
    <t>Andrea Bond</t>
  </si>
  <si>
    <t>Roberta Ward</t>
  </si>
  <si>
    <t>Andrew Taylor</t>
  </si>
  <si>
    <t>Lori Ware MD</t>
  </si>
  <si>
    <t>Joshua West</t>
  </si>
  <si>
    <t>Crystal Scott</t>
  </si>
  <si>
    <t>Lawrence Rice</t>
  </si>
  <si>
    <t>Dana Gamble</t>
  </si>
  <si>
    <t>Jonathan Joyce</t>
  </si>
  <si>
    <t>Mark Garcia</t>
  </si>
  <si>
    <t>Sergio Hayden</t>
  </si>
  <si>
    <t>Jessica Stewart</t>
  </si>
  <si>
    <t>Krystal Smith</t>
  </si>
  <si>
    <t>Tina Rogers</t>
  </si>
  <si>
    <t>Destiny Murphy</t>
  </si>
  <si>
    <t>Ann Love</t>
  </si>
  <si>
    <t>Denise Lyons</t>
  </si>
  <si>
    <t>Levi Clay</t>
  </si>
  <si>
    <t>Angela Fernandez</t>
  </si>
  <si>
    <t>Manuel Jones</t>
  </si>
  <si>
    <t>Jeffrey Long</t>
  </si>
  <si>
    <t>Lisa Horne</t>
  </si>
  <si>
    <t>Tiffany Gray</t>
  </si>
  <si>
    <t>Randy Murray</t>
  </si>
  <si>
    <t>Justin Rios</t>
  </si>
  <si>
    <t>Mrs. Emily Moreno</t>
  </si>
  <si>
    <t>Felicia Graham</t>
  </si>
  <si>
    <t>Jason Rodriguez</t>
  </si>
  <si>
    <t>David Bean</t>
  </si>
  <si>
    <t>Brian Becker</t>
  </si>
  <si>
    <t>Andrew Leonard</t>
  </si>
  <si>
    <t>Jennifer Scott</t>
  </si>
  <si>
    <t>Tanner Taylor</t>
  </si>
  <si>
    <t>Joseph Calhoun</t>
  </si>
  <si>
    <t>Jessica Sullivan</t>
  </si>
  <si>
    <t>Adam Terrell</t>
  </si>
  <si>
    <t>Cindy Robbins</t>
  </si>
  <si>
    <t>Kevin Rodriguez</t>
  </si>
  <si>
    <t>Jennifer Sampson</t>
  </si>
  <si>
    <t>Sabrina Simmons</t>
  </si>
  <si>
    <t>Sherry Ruiz</t>
  </si>
  <si>
    <t>Jacob Bell</t>
  </si>
  <si>
    <t>Joshua Gates</t>
  </si>
  <si>
    <t>Anna Oneal</t>
  </si>
  <si>
    <t>Harry Bell</t>
  </si>
  <si>
    <t>James Adams</t>
  </si>
  <si>
    <t>Rebecca Valdez</t>
  </si>
  <si>
    <t>Richard Mitchell</t>
  </si>
  <si>
    <t>Theresa Simmons</t>
  </si>
  <si>
    <t>Lori Guerra</t>
  </si>
  <si>
    <t>Madison Gutierrez</t>
  </si>
  <si>
    <t>Stacey Harris</t>
  </si>
  <si>
    <t>Amber Rodriguez</t>
  </si>
  <si>
    <t>Gary Coleman</t>
  </si>
  <si>
    <t>Jennifer Robinson</t>
  </si>
  <si>
    <t>Kristy Wilson</t>
  </si>
  <si>
    <t>Morgan Moore</t>
  </si>
  <si>
    <t>Alyssa Palmer</t>
  </si>
  <si>
    <t>Dennis Barker</t>
  </si>
  <si>
    <t>Brianna Burke</t>
  </si>
  <si>
    <t>Jonathan Melendez</t>
  </si>
  <si>
    <t>Carol Jones</t>
  </si>
  <si>
    <t>Jonathan Graham</t>
  </si>
  <si>
    <t>Donna Ball</t>
  </si>
  <si>
    <t>Brian Johns</t>
  </si>
  <si>
    <t>Victoria Clarke</t>
  </si>
  <si>
    <t>Sandra Anderson</t>
  </si>
  <si>
    <t>Christopher Stone</t>
  </si>
  <si>
    <t>Elizabeth Melendez</t>
  </si>
  <si>
    <t>William Kaiser</t>
  </si>
  <si>
    <t>Lindsey Smith</t>
  </si>
  <si>
    <t>Deborah Chambers</t>
  </si>
  <si>
    <t>Alexandra Schmidt</t>
  </si>
  <si>
    <t>Taylor Wilson</t>
  </si>
  <si>
    <t>Javier Carter</t>
  </si>
  <si>
    <t>April Oneal MD</t>
  </si>
  <si>
    <t>Cory Lawson</t>
  </si>
  <si>
    <t>Brandon Ross</t>
  </si>
  <si>
    <t>Julia Lowery</t>
  </si>
  <si>
    <t>Kristi Freeman</t>
  </si>
  <si>
    <t>Gene Rose</t>
  </si>
  <si>
    <t>Bernard Wilkerson</t>
  </si>
  <si>
    <t>Jennifer Cruz</t>
  </si>
  <si>
    <t>Jimmy Bishop</t>
  </si>
  <si>
    <t>Craig Gordon</t>
  </si>
  <si>
    <t>Robert Mcdonald</t>
  </si>
  <si>
    <t>Lori Johnson</t>
  </si>
  <si>
    <t>Mr. William Travis</t>
  </si>
  <si>
    <t>Curtis Mendez</t>
  </si>
  <si>
    <t>Lisa Lewis</t>
  </si>
  <si>
    <t>Mark Flores</t>
  </si>
  <si>
    <t>William Shaffer</t>
  </si>
  <si>
    <t>James Jordan</t>
  </si>
  <si>
    <t>Kristen Scott</t>
  </si>
  <si>
    <t>Lisa Williams</t>
  </si>
  <si>
    <t>James Porter</t>
  </si>
  <si>
    <t>Shelly Martin</t>
  </si>
  <si>
    <t>Louis Brown</t>
  </si>
  <si>
    <t>Ricky Freeman</t>
  </si>
  <si>
    <t>Katrina Anderson</t>
  </si>
  <si>
    <t>Laura Washington</t>
  </si>
  <si>
    <t>Carlos Cooper</t>
  </si>
  <si>
    <t>Chelsea Scott</t>
  </si>
  <si>
    <t>Amber Lin</t>
  </si>
  <si>
    <t>Nichole Sanchez</t>
  </si>
  <si>
    <t>James Petersen</t>
  </si>
  <si>
    <t>Heather Conley</t>
  </si>
  <si>
    <t>Michelle Oneal</t>
  </si>
  <si>
    <t>Lonnie Medina</t>
  </si>
  <si>
    <t>Wendy Fox</t>
  </si>
  <si>
    <t>Carl Goodwin</t>
  </si>
  <si>
    <t>Albert Martin</t>
  </si>
  <si>
    <t>James Curtis</t>
  </si>
  <si>
    <t>George Pennington</t>
  </si>
  <si>
    <t>Phillip Evans</t>
  </si>
  <si>
    <t>Nicole Fletcher</t>
  </si>
  <si>
    <t>Charles Adams</t>
  </si>
  <si>
    <t>Charles Lawson</t>
  </si>
  <si>
    <t>Richard Brown</t>
  </si>
  <si>
    <t>Tanya Arnold</t>
  </si>
  <si>
    <t>Joshua Obrien</t>
  </si>
  <si>
    <t>Kristine Briggs</t>
  </si>
  <si>
    <t>Michelle Turner</t>
  </si>
  <si>
    <t>Russell Jones</t>
  </si>
  <si>
    <t>Keith Sullivan</t>
  </si>
  <si>
    <t>Cynthia Morales</t>
  </si>
  <si>
    <t>James Donovan</t>
  </si>
  <si>
    <t>Sandra Rodriguez DDS</t>
  </si>
  <si>
    <t>Jay Arnold</t>
  </si>
  <si>
    <t>Dylan Evans</t>
  </si>
  <si>
    <t>Scott Price</t>
  </si>
  <si>
    <t>Jessica Clark</t>
  </si>
  <si>
    <t>Joel Brown</t>
  </si>
  <si>
    <t>Kellie Harris</t>
  </si>
  <si>
    <t>Cheryl Nguyen</t>
  </si>
  <si>
    <t>Kimberly Thompson</t>
  </si>
  <si>
    <t>John Myers</t>
  </si>
  <si>
    <t>Deanna Campbell</t>
  </si>
  <si>
    <t>Dr. Kathleen Schneider DDS</t>
  </si>
  <si>
    <t>Theresa Santiago</t>
  </si>
  <si>
    <t>Alexis White</t>
  </si>
  <si>
    <t>Gerald Carrillo</t>
  </si>
  <si>
    <t>Trevor Carter</t>
  </si>
  <si>
    <t>Paul Garrett</t>
  </si>
  <si>
    <t>Mitchell Zavala</t>
  </si>
  <si>
    <t>Deborah Kelly</t>
  </si>
  <si>
    <t>Corey Hansen</t>
  </si>
  <si>
    <t>Connie Sanchez</t>
  </si>
  <si>
    <t>Adam Reynolds</t>
  </si>
  <si>
    <t>Scott Lee</t>
  </si>
  <si>
    <t>Cesar Fowler</t>
  </si>
  <si>
    <t>Charles Bentley</t>
  </si>
  <si>
    <t>Jeffrey Pacheco</t>
  </si>
  <si>
    <t>Jeffery Hopkins</t>
  </si>
  <si>
    <t>Karen Taylor</t>
  </si>
  <si>
    <t>Christopher Long</t>
  </si>
  <si>
    <t>Michael Gonzales</t>
  </si>
  <si>
    <t>Ariel Gibson</t>
  </si>
  <si>
    <t>Cheyenne Green</t>
  </si>
  <si>
    <t>Nancy Allen</t>
  </si>
  <si>
    <t>David Whitehead</t>
  </si>
  <si>
    <t>Michael Jackson</t>
  </si>
  <si>
    <t>Frances Mercer</t>
  </si>
  <si>
    <t>Kevin Fields</t>
  </si>
  <si>
    <t>Jonathon Ruiz</t>
  </si>
  <si>
    <t>Nicole Simmons</t>
  </si>
  <si>
    <t>Zachary Martinez</t>
  </si>
  <si>
    <t>Thomas Parker</t>
  </si>
  <si>
    <t>Jack Snyder</t>
  </si>
  <si>
    <t>Barbara King</t>
  </si>
  <si>
    <t>Benjamin Vasquez</t>
  </si>
  <si>
    <t>Karen Stanley</t>
  </si>
  <si>
    <t>Sharon Johnson MD</t>
  </si>
  <si>
    <t>Kristin Foster</t>
  </si>
  <si>
    <t>Heather Stevens</t>
  </si>
  <si>
    <t>Matthew Bailey</t>
  </si>
  <si>
    <t>Katherine Clark</t>
  </si>
  <si>
    <t>Eric Hubbard</t>
  </si>
  <si>
    <t>Cathy Cole</t>
  </si>
  <si>
    <t>Zachary Erickson</t>
  </si>
  <si>
    <t>Felicia Mullen</t>
  </si>
  <si>
    <t>Nancy Richardson</t>
  </si>
  <si>
    <t>Carolyn Brady</t>
  </si>
  <si>
    <t>Laura Wilson</t>
  </si>
  <si>
    <t>Adam Wolfe</t>
  </si>
  <si>
    <t>Mariah Houston</t>
  </si>
  <si>
    <t>Joseph Anderson</t>
  </si>
  <si>
    <t>Kelly Hebert</t>
  </si>
  <si>
    <t>Jessica Perry</t>
  </si>
  <si>
    <t>Gregory Martin</t>
  </si>
  <si>
    <t>William Pruitt</t>
  </si>
  <si>
    <t>Michael May</t>
  </si>
  <si>
    <t>Nicholas Ferrell</t>
  </si>
  <si>
    <t>Manuel Clark</t>
  </si>
  <si>
    <t>Amanda Chavez</t>
  </si>
  <si>
    <t>James Jimenez</t>
  </si>
  <si>
    <t>William Barnett</t>
  </si>
  <si>
    <t>John Hernandez</t>
  </si>
  <si>
    <t>Sally Francis</t>
  </si>
  <si>
    <t>Denise Cunningham</t>
  </si>
  <si>
    <t>Jesse Mack</t>
  </si>
  <si>
    <t>Kenneth Taylor</t>
  </si>
  <si>
    <t>Christopher Noble</t>
  </si>
  <si>
    <t>Oscar Williams</t>
  </si>
  <si>
    <t>Maria Smith</t>
  </si>
  <si>
    <t>Jessica Meyer</t>
  </si>
  <si>
    <t>Kara Wright</t>
  </si>
  <si>
    <t>Shawn Gonzalez</t>
  </si>
  <si>
    <t>Michael Nelson</t>
  </si>
  <si>
    <t>Paul Peterson</t>
  </si>
  <si>
    <t>Jonathan Hernandez</t>
  </si>
  <si>
    <t>Ashlee Peterson</t>
  </si>
  <si>
    <t>Kevin Smith</t>
  </si>
  <si>
    <t>Susan Bryant</t>
  </si>
  <si>
    <t>Stephen Rush</t>
  </si>
  <si>
    <t>Kylie Dixon</t>
  </si>
  <si>
    <t>Robin Callahan</t>
  </si>
  <si>
    <t>Danielle Murphy</t>
  </si>
  <si>
    <t>Allison Fox MD</t>
  </si>
  <si>
    <t>Jacqueline Hudson</t>
  </si>
  <si>
    <t>Lindsey Wilson</t>
  </si>
  <si>
    <t>Marcus Hughes</t>
  </si>
  <si>
    <t>Jennifer Barnett</t>
  </si>
  <si>
    <t>Kelly Robinson</t>
  </si>
  <si>
    <t>Andrew Garcia</t>
  </si>
  <si>
    <t>Lisa Powell</t>
  </si>
  <si>
    <t>Daniel Watts</t>
  </si>
  <si>
    <t>Savannah Johnson</t>
  </si>
  <si>
    <t>Destiny Garcia</t>
  </si>
  <si>
    <t>Shirley Willis</t>
  </si>
  <si>
    <t>Kaitlin Bennett</t>
  </si>
  <si>
    <t>Lawrence Clark</t>
  </si>
  <si>
    <t>Kristen Anderson</t>
  </si>
  <si>
    <t>Daniel Herrera</t>
  </si>
  <si>
    <t>Sheri Perez</t>
  </si>
  <si>
    <t>Raymond Butler</t>
  </si>
  <si>
    <t>Jo Boyd</t>
  </si>
  <si>
    <t>Ann Henson</t>
  </si>
  <si>
    <t>Timothy Carter</t>
  </si>
  <si>
    <t>Robert Sullivan</t>
  </si>
  <si>
    <t>Michael Hopkins</t>
  </si>
  <si>
    <t>Scott Hall</t>
  </si>
  <si>
    <t>Terry Bradford</t>
  </si>
  <si>
    <t>Timothy Kelley</t>
  </si>
  <si>
    <t>Debbie Rojas</t>
  </si>
  <si>
    <t>Willie Adkins</t>
  </si>
  <si>
    <t>Sara Brennan</t>
  </si>
  <si>
    <t>Robert Villanueva</t>
  </si>
  <si>
    <t>Jennifer Russell</t>
  </si>
  <si>
    <t>Jeremy Lambert</t>
  </si>
  <si>
    <t>Joshua Lawrence</t>
  </si>
  <si>
    <t>Gerald Gonzalez</t>
  </si>
  <si>
    <t>Catherine Ryan</t>
  </si>
  <si>
    <t>Angela Andrews</t>
  </si>
  <si>
    <t>Kimberly Daugherty</t>
  </si>
  <si>
    <t>Jeffrey Dickerson</t>
  </si>
  <si>
    <t>Wanda Haley</t>
  </si>
  <si>
    <t>Kevin Barton</t>
  </si>
  <si>
    <t>Angela Logan</t>
  </si>
  <si>
    <t>Allison Rogers</t>
  </si>
  <si>
    <t>Clayton Ross</t>
  </si>
  <si>
    <t>Daniel Vaughan</t>
  </si>
  <si>
    <t>Christine Glenn</t>
  </si>
  <si>
    <t>Alan Hooper</t>
  </si>
  <si>
    <t>Jose Hughes</t>
  </si>
  <si>
    <t>Timothy Green</t>
  </si>
  <si>
    <t>Barbara Roman</t>
  </si>
  <si>
    <t>Barbara Smith</t>
  </si>
  <si>
    <t>Mrs. Jennifer Rodriguez</t>
  </si>
  <si>
    <t>Heather Robinson</t>
  </si>
  <si>
    <t>Jessica Ortiz</t>
  </si>
  <si>
    <t>Grace Martinez</t>
  </si>
  <si>
    <t>Nathan Miranda</t>
  </si>
  <si>
    <t>Michelle Baker</t>
  </si>
  <si>
    <t>Paul King</t>
  </si>
  <si>
    <t>Heather Malone</t>
  </si>
  <si>
    <t>Matthew Wong</t>
  </si>
  <si>
    <t>Dennis Thomas</t>
  </si>
  <si>
    <t>Alexander Jenkins</t>
  </si>
  <si>
    <t>Jennifer Boyer</t>
  </si>
  <si>
    <t>Dr. Lori Robertson MD</t>
  </si>
  <si>
    <t>Jennifer Frye</t>
  </si>
  <si>
    <t>Brittany Pearson</t>
  </si>
  <si>
    <t>Jacob Carter</t>
  </si>
  <si>
    <t>Christine Nixon</t>
  </si>
  <si>
    <t>Kathleen Johnson</t>
  </si>
  <si>
    <t>Felicia Sullivan</t>
  </si>
  <si>
    <t>Jacob Miranda</t>
  </si>
  <si>
    <t>Jennifer King</t>
  </si>
  <si>
    <t>Zachary Donovan</t>
  </si>
  <si>
    <t>Tyler Olson</t>
  </si>
  <si>
    <t>Tamara Lowe</t>
  </si>
  <si>
    <t>Yolanda Taylor</t>
  </si>
  <si>
    <t>Kristin Wilson</t>
  </si>
  <si>
    <t>Jason Arellano</t>
  </si>
  <si>
    <t>Amanda Wall</t>
  </si>
  <si>
    <t>Barry Logan</t>
  </si>
  <si>
    <t>David Hudson</t>
  </si>
  <si>
    <t>Elizabeth Bennett</t>
  </si>
  <si>
    <t>Jason Walsh</t>
  </si>
  <si>
    <t>Samantha Trevino</t>
  </si>
  <si>
    <t>Justin Lucas</t>
  </si>
  <si>
    <t>Robert Price</t>
  </si>
  <si>
    <t>Andrea Wall</t>
  </si>
  <si>
    <t>Thomas Davis</t>
  </si>
  <si>
    <t>Margaret Zimmerman</t>
  </si>
  <si>
    <t>Karen Alvarado</t>
  </si>
  <si>
    <t>Emily Conway</t>
  </si>
  <si>
    <t>Sheri Baker MD</t>
  </si>
  <si>
    <t>Kristine Davis</t>
  </si>
  <si>
    <t>Tabitha Miranda</t>
  </si>
  <si>
    <t>Jay Rice</t>
  </si>
  <si>
    <t>Marcus Strong</t>
  </si>
  <si>
    <t>Caitlin Knight</t>
  </si>
  <si>
    <t>Tamara Callahan</t>
  </si>
  <si>
    <t>Bonnie Turner</t>
  </si>
  <si>
    <t>Caleb Aguilar</t>
  </si>
  <si>
    <t>Dennis Anderson</t>
  </si>
  <si>
    <t>Pamela Drake</t>
  </si>
  <si>
    <t>Manuel Sloan</t>
  </si>
  <si>
    <t>Ryan Shelton</t>
  </si>
  <si>
    <t>Deborah Johnson</t>
  </si>
  <si>
    <t>Rodney Lopez</t>
  </si>
  <si>
    <t>Daniel Garza</t>
  </si>
  <si>
    <t>Joseph Arias</t>
  </si>
  <si>
    <t>Craig Brooks</t>
  </si>
  <si>
    <t>Ian Tyler</t>
  </si>
  <si>
    <t>Sharon Graham</t>
  </si>
  <si>
    <t>Chad Stephenson</t>
  </si>
  <si>
    <t>Terri Morrison</t>
  </si>
  <si>
    <t>Crystal Floyd</t>
  </si>
  <si>
    <t>Natalie Juarez</t>
  </si>
  <si>
    <t>Cindy Ray</t>
  </si>
  <si>
    <t>Marissa Morris</t>
  </si>
  <si>
    <t>Dale Robertson</t>
  </si>
  <si>
    <t>Taylor Olson</t>
  </si>
  <si>
    <t>Logan Moore</t>
  </si>
  <si>
    <t>Richard Sanders</t>
  </si>
  <si>
    <t>Robert Rogers</t>
  </si>
  <si>
    <t>Brianna Nguyen</t>
  </si>
  <si>
    <t>Morgan Smith</t>
  </si>
  <si>
    <t>Danielle Charles</t>
  </si>
  <si>
    <t>John Richards</t>
  </si>
  <si>
    <t>Matthew Mckinney</t>
  </si>
  <si>
    <t>Jay Shaw</t>
  </si>
  <si>
    <t>Vanessa Wade</t>
  </si>
  <si>
    <t>Elizabeth Smith</t>
  </si>
  <si>
    <t>Daniel Stevenson</t>
  </si>
  <si>
    <t>Charles Torres</t>
  </si>
  <si>
    <t>Joshua Murphy</t>
  </si>
  <si>
    <t>Timothy Neal</t>
  </si>
  <si>
    <t>Brittney Green</t>
  </si>
  <si>
    <t>Charles Pruitt</t>
  </si>
  <si>
    <t>Ann Gallegos</t>
  </si>
  <si>
    <t>Debra Rivera</t>
  </si>
  <si>
    <t>Kevin Cohen</t>
  </si>
  <si>
    <t>Jeremy Williams</t>
  </si>
  <si>
    <t>Daniel Smith</t>
  </si>
  <si>
    <t>Nicholas Kim</t>
  </si>
  <si>
    <t>Kevin Hodge</t>
  </si>
  <si>
    <t>William Kelly</t>
  </si>
  <si>
    <t>Jeffrey Briggs</t>
  </si>
  <si>
    <t>Luis Williams</t>
  </si>
  <si>
    <t>Paul Bean</t>
  </si>
  <si>
    <t>Kimberly Beard</t>
  </si>
  <si>
    <t>Robert Ware</t>
  </si>
  <si>
    <t>Joe Davis</t>
  </si>
  <si>
    <t>Thomas Smith</t>
  </si>
  <si>
    <t>Peter Hernandez</t>
  </si>
  <si>
    <t>Christopher Cooper</t>
  </si>
  <si>
    <t>Christian Norris</t>
  </si>
  <si>
    <t>Theresa Lopez</t>
  </si>
  <si>
    <t>Danielle Holland</t>
  </si>
  <si>
    <t>Thomas Martinez</t>
  </si>
  <si>
    <t>Jeremy Edwards</t>
  </si>
  <si>
    <t>Melinda Bennett</t>
  </si>
  <si>
    <t>Tina Serrano</t>
  </si>
  <si>
    <t>Rhonda Valenzuela</t>
  </si>
  <si>
    <t>Keith Cole</t>
  </si>
  <si>
    <t>Justin Martinez</t>
  </si>
  <si>
    <t>Lawrence Martin</t>
  </si>
  <si>
    <t>Courtney Allen</t>
  </si>
  <si>
    <t>Michael Shah</t>
  </si>
  <si>
    <t>Stephanie Bennett</t>
  </si>
  <si>
    <t>Alexander Phillips</t>
  </si>
  <si>
    <t>Cassandra Martinez</t>
  </si>
  <si>
    <t>Xavier Reed</t>
  </si>
  <si>
    <t>Kristin Randolph</t>
  </si>
  <si>
    <t>Elijah Brown</t>
  </si>
  <si>
    <t>Jim Lopez</t>
  </si>
  <si>
    <t>Amy Carr</t>
  </si>
  <si>
    <t>Rebecca Blankenship</t>
  </si>
  <si>
    <t>Adam French</t>
  </si>
  <si>
    <t>Dylan Anderson</t>
  </si>
  <si>
    <t>David Allen</t>
  </si>
  <si>
    <t>Joshua Munoz</t>
  </si>
  <si>
    <t>Jerome Nichols</t>
  </si>
  <si>
    <t>Maria Young</t>
  </si>
  <si>
    <t>Maria Good</t>
  </si>
  <si>
    <t>Dillon Brewer</t>
  </si>
  <si>
    <t>Madison Dunn</t>
  </si>
  <si>
    <t>Colleen Yates</t>
  </si>
  <si>
    <t>Jordan Roberts</t>
  </si>
  <si>
    <t>Crystal Conway</t>
  </si>
  <si>
    <t>Christopher Stevens DDS</t>
  </si>
  <si>
    <t>Timothy Smith</t>
  </si>
  <si>
    <t>Christine King</t>
  </si>
  <si>
    <t>Dr. Kenneth Johnson MD</t>
  </si>
  <si>
    <t>Emily Price</t>
  </si>
  <si>
    <t>James Robertson</t>
  </si>
  <si>
    <t>Vincent Savage</t>
  </si>
  <si>
    <t>Deborah Greene</t>
  </si>
  <si>
    <t>Jacob Greene</t>
  </si>
  <si>
    <t>Dr. Amber Marquez</t>
  </si>
  <si>
    <t>Anthony Graham</t>
  </si>
  <si>
    <t>Patty Simon</t>
  </si>
  <si>
    <t>Timothy Cline</t>
  </si>
  <si>
    <t>Brooke Miller</t>
  </si>
  <si>
    <t>Laurie Baker</t>
  </si>
  <si>
    <t>Sandra Hall</t>
  </si>
  <si>
    <t>Mrs. Dawn Gregory MD</t>
  </si>
  <si>
    <t>Tracy Roberts</t>
  </si>
  <si>
    <t>Joseph Montoya</t>
  </si>
  <si>
    <t>Valerie Foley</t>
  </si>
  <si>
    <t>Jennifer Taylor</t>
  </si>
  <si>
    <t>Kevin Thompson</t>
  </si>
  <si>
    <t>Michael Armstrong</t>
  </si>
  <si>
    <t>Kara Bates</t>
  </si>
  <si>
    <t>Alexis Hawkins</t>
  </si>
  <si>
    <t>Cassandra Mcintyre</t>
  </si>
  <si>
    <t>Karen Huang</t>
  </si>
  <si>
    <t>Riley Cisneros</t>
  </si>
  <si>
    <t>Joseph Hopkins</t>
  </si>
  <si>
    <t>Brian Mccormick</t>
  </si>
  <si>
    <t>Jason Jones</t>
  </si>
  <si>
    <t>Joshua Lopez</t>
  </si>
  <si>
    <t>Brittany Olsen</t>
  </si>
  <si>
    <t>Joy Payne</t>
  </si>
  <si>
    <t>Tamara Andrews</t>
  </si>
  <si>
    <t>Alexandra Carlson</t>
  </si>
  <si>
    <t>Michael Barr</t>
  </si>
  <si>
    <t>Ryan Melendez</t>
  </si>
  <si>
    <t>Brandon Clark</t>
  </si>
  <si>
    <t>Joshua Harris</t>
  </si>
  <si>
    <t>Keith Holland</t>
  </si>
  <si>
    <t>Tara Young</t>
  </si>
  <si>
    <t>Virginia Parker</t>
  </si>
  <si>
    <t>Rebecca Rodriguez</t>
  </si>
  <si>
    <t>Eric Norton</t>
  </si>
  <si>
    <t>Brian Neal</t>
  </si>
  <si>
    <t>Jeffrey Wilson</t>
  </si>
  <si>
    <t>Rebecca Howard</t>
  </si>
  <si>
    <t>Marie Lucas</t>
  </si>
  <si>
    <t>Marie James</t>
  </si>
  <si>
    <t>Stacy Whitaker</t>
  </si>
  <si>
    <t>Vincent Williamson</t>
  </si>
  <si>
    <t>Robert Lee</t>
  </si>
  <si>
    <t>Kathleen Petty DVM</t>
  </si>
  <si>
    <t>Natalie Sloan DDS</t>
  </si>
  <si>
    <t>Nicholas Reyes</t>
  </si>
  <si>
    <t>Stephanie Gutierrez</t>
  </si>
  <si>
    <t>Kyle Butler</t>
  </si>
  <si>
    <t>Christopher Perez</t>
  </si>
  <si>
    <t>Carla Smith</t>
  </si>
  <si>
    <t>Richard Mills</t>
  </si>
  <si>
    <t>Hector Watson</t>
  </si>
  <si>
    <t>Paula Davis</t>
  </si>
  <si>
    <t>James Campbell</t>
  </si>
  <si>
    <t>Haley Blevins</t>
  </si>
  <si>
    <t>Kristine Solomon</t>
  </si>
  <si>
    <t>Judy Pacheco</t>
  </si>
  <si>
    <t>Jason Castillo</t>
  </si>
  <si>
    <t>Tammie Ramirez MD</t>
  </si>
  <si>
    <t>Jennifer Rhodes</t>
  </si>
  <si>
    <t>Noah Johnson</t>
  </si>
  <si>
    <t>Hailey Caldwell</t>
  </si>
  <si>
    <t>Carl Boyd</t>
  </si>
  <si>
    <t>Michael Walker</t>
  </si>
  <si>
    <t>Kevin Wilson</t>
  </si>
  <si>
    <t>Clayton Cox</t>
  </si>
  <si>
    <t>Bonnie Hill</t>
  </si>
  <si>
    <t>Gregory Anderson</t>
  </si>
  <si>
    <t>David Pope</t>
  </si>
  <si>
    <t>Mr. Mark Mcclure</t>
  </si>
  <si>
    <t>Richard Alvarez</t>
  </si>
  <si>
    <t>Emily Hansen</t>
  </si>
  <si>
    <t>Ann Taylor</t>
  </si>
  <si>
    <t>Lauren Spears</t>
  </si>
  <si>
    <t>Trevor Wood</t>
  </si>
  <si>
    <t>Douglas Wilkinson</t>
  </si>
  <si>
    <t>Linda Allison</t>
  </si>
  <si>
    <t>Kimberly Norton</t>
  </si>
  <si>
    <t>Paul Martinez</t>
  </si>
  <si>
    <t>Joshua Cooley</t>
  </si>
  <si>
    <t>Jonathan Williams</t>
  </si>
  <si>
    <t>Melissa Stokes</t>
  </si>
  <si>
    <t>Sarah Rollins</t>
  </si>
  <si>
    <t>James Aguilar</t>
  </si>
  <si>
    <t>Bruce Kramer MD</t>
  </si>
  <si>
    <t>Lori Bradley</t>
  </si>
  <si>
    <t>Scott Phillips</t>
  </si>
  <si>
    <t>Charles Lewis</t>
  </si>
  <si>
    <t>Brian Hayes</t>
  </si>
  <si>
    <t>Susan Davis</t>
  </si>
  <si>
    <t>Dana Russell</t>
  </si>
  <si>
    <t>Justin Mcfarland</t>
  </si>
  <si>
    <t>Robert Johnson</t>
  </si>
  <si>
    <t>Jessica Cummings</t>
  </si>
  <si>
    <t>Brittney Martin</t>
  </si>
  <si>
    <t>Carla Martinez</t>
  </si>
  <si>
    <t>Julie Young</t>
  </si>
  <si>
    <t>Megan Berry</t>
  </si>
  <si>
    <t>Joseph Pruitt</t>
  </si>
  <si>
    <t>Timothy Howard</t>
  </si>
  <si>
    <t>Jason Price</t>
  </si>
  <si>
    <t>Tiffany Woodward</t>
  </si>
  <si>
    <t>Theresa Esparza</t>
  </si>
  <si>
    <t>William Rodriguez</t>
  </si>
  <si>
    <t>Shane Tucker</t>
  </si>
  <si>
    <t>Jesse Turner</t>
  </si>
  <si>
    <t>Jodi Pineda</t>
  </si>
  <si>
    <t>Tiffany Green</t>
  </si>
  <si>
    <t>Kevin Barry</t>
  </si>
  <si>
    <t>Kathy Johnston</t>
  </si>
  <si>
    <t>Anne Scott</t>
  </si>
  <si>
    <t>Mrs. Maria Fischer</t>
  </si>
  <si>
    <t>Stacy Smith</t>
  </si>
  <si>
    <t>Anna Reed</t>
  </si>
  <si>
    <t>George Snow</t>
  </si>
  <si>
    <t>Angela Boyer</t>
  </si>
  <si>
    <t>Rachel Grimes</t>
  </si>
  <si>
    <t>James Mclaughlin</t>
  </si>
  <si>
    <t>Keith Leon</t>
  </si>
  <si>
    <t>Todd Rodgers</t>
  </si>
  <si>
    <t>Rebecca Henderson</t>
  </si>
  <si>
    <t>Thomas Carroll</t>
  </si>
  <si>
    <t>Patricia Wall</t>
  </si>
  <si>
    <t>Roberta Carson</t>
  </si>
  <si>
    <t>Tabitha Rogers</t>
  </si>
  <si>
    <t>Brian Hernandez</t>
  </si>
  <si>
    <t>Kenneth Alexander</t>
  </si>
  <si>
    <t>Timothy Glass</t>
  </si>
  <si>
    <t>Mary Austin</t>
  </si>
  <si>
    <t>Lydia Yang</t>
  </si>
  <si>
    <t>Sarah Sosa</t>
  </si>
  <si>
    <t>Ann Austin</t>
  </si>
  <si>
    <t>Jose Daniel</t>
  </si>
  <si>
    <t>Shirley Fowler</t>
  </si>
  <si>
    <t>Stephanie Dixon</t>
  </si>
  <si>
    <t>Mary Tucker</t>
  </si>
  <si>
    <t>Michael Rojas</t>
  </si>
  <si>
    <t>Zachary Benitez</t>
  </si>
  <si>
    <t>Aaron Thomas</t>
  </si>
  <si>
    <t>Stephanie Brown</t>
  </si>
  <si>
    <t>Kimberly Parsons MD</t>
  </si>
  <si>
    <t>Jeremy Craig</t>
  </si>
  <si>
    <t>Alison Peterson</t>
  </si>
  <si>
    <t>Frederick Simmons</t>
  </si>
  <si>
    <t>Anna Ellis</t>
  </si>
  <si>
    <t>Hannah Flores</t>
  </si>
  <si>
    <t>Susan Wallace</t>
  </si>
  <si>
    <t>Karen Chase</t>
  </si>
  <si>
    <t>Kristin Saunders</t>
  </si>
  <si>
    <t>Michael Atkins</t>
  </si>
  <si>
    <t>Sarah Ward</t>
  </si>
  <si>
    <t>Robert Shepard</t>
  </si>
  <si>
    <t>David Hart</t>
  </si>
  <si>
    <t>Beth Wright</t>
  </si>
  <si>
    <t>Michelle Figueroa</t>
  </si>
  <si>
    <t>Aaron Ortiz</t>
  </si>
  <si>
    <t>Catherine Kelley</t>
  </si>
  <si>
    <t>Bobby Alexander</t>
  </si>
  <si>
    <t>Theresa Schultz</t>
  </si>
  <si>
    <t>Danielle Martinez</t>
  </si>
  <si>
    <t>Christine Garrett</t>
  </si>
  <si>
    <t>Jennifer Hicks</t>
  </si>
  <si>
    <t>Jonathan Pena</t>
  </si>
  <si>
    <t>Jessica Weaver</t>
  </si>
  <si>
    <t>Shannon Sullivan</t>
  </si>
  <si>
    <t>Kathryn Wagner</t>
  </si>
  <si>
    <t>Danielle Cook</t>
  </si>
  <si>
    <t>Charles Schaefer</t>
  </si>
  <si>
    <t>Richard Castro</t>
  </si>
  <si>
    <t>Marvin Reyes</t>
  </si>
  <si>
    <t>Chad Benton</t>
  </si>
  <si>
    <t>Stephanie Harris</t>
  </si>
  <si>
    <t>Keith Chen</t>
  </si>
  <si>
    <t>Steven Nguyen</t>
  </si>
  <si>
    <t>Emma Waters</t>
  </si>
  <si>
    <t>Chris Mata</t>
  </si>
  <si>
    <t>Roger Russell DDS</t>
  </si>
  <si>
    <t>Lindsay Lewis</t>
  </si>
  <si>
    <t>Danielle Valencia</t>
  </si>
  <si>
    <t>Jesse Miller</t>
  </si>
  <si>
    <t>Hunter Johnston</t>
  </si>
  <si>
    <t>Deanna Moore</t>
  </si>
  <si>
    <t>Heather Ballard</t>
  </si>
  <si>
    <t>Ryan Ray</t>
  </si>
  <si>
    <t>Michael Martin</t>
  </si>
  <si>
    <t>Ashley Allen</t>
  </si>
  <si>
    <t>Robert Leonard</t>
  </si>
  <si>
    <t>Justin Macias</t>
  </si>
  <si>
    <t>Alexander Parker</t>
  </si>
  <si>
    <t>Matthew Hughes</t>
  </si>
  <si>
    <t>Jessica Smith</t>
  </si>
  <si>
    <t>Mary Lambert</t>
  </si>
  <si>
    <t>Joshua Carrillo</t>
  </si>
  <si>
    <t>Teresa Mcdonald</t>
  </si>
  <si>
    <t>Edwin Park</t>
  </si>
  <si>
    <t>John Flores</t>
  </si>
  <si>
    <t>David Collins</t>
  </si>
  <si>
    <t>James Craig</t>
  </si>
  <si>
    <t>Michaela Mcdonald</t>
  </si>
  <si>
    <t>Michelle Hughes</t>
  </si>
  <si>
    <t>Kathy Jenkins</t>
  </si>
  <si>
    <t>Aaron Dickson</t>
  </si>
  <si>
    <t>Sarah Nelson</t>
  </si>
  <si>
    <t>Kristen Adams</t>
  </si>
  <si>
    <t>Patricia Moore</t>
  </si>
  <si>
    <t>Joseph Yates</t>
  </si>
  <si>
    <t>Thomas Knight</t>
  </si>
  <si>
    <t>Emily Rosales</t>
  </si>
  <si>
    <t>Jessica Bartlett</t>
  </si>
  <si>
    <t>Teresa Price</t>
  </si>
  <si>
    <t>Joshua Wolf</t>
  </si>
  <si>
    <t>Gregory Gray</t>
  </si>
  <si>
    <t>Amy White</t>
  </si>
  <si>
    <t>Jill Hudson</t>
  </si>
  <si>
    <t>Emily Morris</t>
  </si>
  <si>
    <t>Michael Soto</t>
  </si>
  <si>
    <t>Seth Hicks</t>
  </si>
  <si>
    <t>Andrew Campos</t>
  </si>
  <si>
    <t>Toni Cruz</t>
  </si>
  <si>
    <t>Julia Thompson</t>
  </si>
  <si>
    <t>Anthony Walker</t>
  </si>
  <si>
    <t>Jordan Walker</t>
  </si>
  <si>
    <t>Austin Robinson</t>
  </si>
  <si>
    <t>Pamela Davila</t>
  </si>
  <si>
    <t>Jonathan Perez</t>
  </si>
  <si>
    <t>Andrew Sheppard II</t>
  </si>
  <si>
    <t>Michelle Black</t>
  </si>
  <si>
    <t>Sarah Carter</t>
  </si>
  <si>
    <t>Andrew Olson</t>
  </si>
  <si>
    <t>John Carlson</t>
  </si>
  <si>
    <t>William Mitchell</t>
  </si>
  <si>
    <t>Joseph Gordon</t>
  </si>
  <si>
    <t>Caroline Robinson</t>
  </si>
  <si>
    <t>Ashley Gomez</t>
  </si>
  <si>
    <t>Melissa Smith</t>
  </si>
  <si>
    <t>Susan Stewart</t>
  </si>
  <si>
    <t>Mr. James Oneill</t>
  </si>
  <si>
    <t>Heather Dunn</t>
  </si>
  <si>
    <t>Kevin Wright</t>
  </si>
  <si>
    <t>Lindsey Ellis</t>
  </si>
  <si>
    <t>David Robinson</t>
  </si>
  <si>
    <t>Jonathan Cooper</t>
  </si>
  <si>
    <t>Joshua Foster</t>
  </si>
  <si>
    <t>Roberto Sanchez</t>
  </si>
  <si>
    <t>Virginia Cole</t>
  </si>
  <si>
    <t>Kathryn Silva</t>
  </si>
  <si>
    <t>Adam Baxter</t>
  </si>
  <si>
    <t>Troy Hurley</t>
  </si>
  <si>
    <t>Dana Walker</t>
  </si>
  <si>
    <t>Christopher Adams</t>
  </si>
  <si>
    <t>Brittany Davis</t>
  </si>
  <si>
    <t>Bryan Reed</t>
  </si>
  <si>
    <t>James Lowery</t>
  </si>
  <si>
    <t>Rachael Yu</t>
  </si>
  <si>
    <t>Jessica Spears</t>
  </si>
  <si>
    <t>Dr. Raymond Hunt DDS</t>
  </si>
  <si>
    <t>Wendy Simmons</t>
  </si>
  <si>
    <t>Gabriela Ellis</t>
  </si>
  <si>
    <t>John Krueger</t>
  </si>
  <si>
    <t>Crystal Moore</t>
  </si>
  <si>
    <t>Kenneth Watkins</t>
  </si>
  <si>
    <t>Charles Young</t>
  </si>
  <si>
    <t>Larry Elliott</t>
  </si>
  <si>
    <t>Shannon Dawson</t>
  </si>
  <si>
    <t>Justin Rodgers</t>
  </si>
  <si>
    <t>Brian Cole</t>
  </si>
  <si>
    <t>Aaron Mason</t>
  </si>
  <si>
    <t>Michelle Hernandez</t>
  </si>
  <si>
    <t>Matthew Burton</t>
  </si>
  <si>
    <t>Kayla Mcclure</t>
  </si>
  <si>
    <t>Jonathan Hogan DDS</t>
  </si>
  <si>
    <t>Chris Robinson</t>
  </si>
  <si>
    <t>Catherine Davies</t>
  </si>
  <si>
    <t>Robin Scott</t>
  </si>
  <si>
    <t>Monica Hamilton</t>
  </si>
  <si>
    <t>Joshua Phelps</t>
  </si>
  <si>
    <t>Steven Jefferson</t>
  </si>
  <si>
    <t>Maria Swanson</t>
  </si>
  <si>
    <t>Sharon Galvan</t>
  </si>
  <si>
    <t>Ricky Hopkins</t>
  </si>
  <si>
    <t>Jessica Matthews</t>
  </si>
  <si>
    <t>Mary Hughes</t>
  </si>
  <si>
    <t>Angela Smith</t>
  </si>
  <si>
    <t>Melissa Davis</t>
  </si>
  <si>
    <t>Dana Mendoza</t>
  </si>
  <si>
    <t>Jeff Powell</t>
  </si>
  <si>
    <t>Barbara Cruz</t>
  </si>
  <si>
    <t>Kristine Juarez</t>
  </si>
  <si>
    <t>David Miller</t>
  </si>
  <si>
    <t>Bonnie Bruce</t>
  </si>
  <si>
    <t>Wyatt Rodriguez</t>
  </si>
  <si>
    <t>Becky Goodwin</t>
  </si>
  <si>
    <t>Kimberly Martin</t>
  </si>
  <si>
    <t>Christina Graves</t>
  </si>
  <si>
    <t>Charles Lawrence</t>
  </si>
  <si>
    <t>Nicole Arnold</t>
  </si>
  <si>
    <t>Christina Hodges</t>
  </si>
  <si>
    <t>Phyllis Kelley</t>
  </si>
  <si>
    <t>Amber Davis</t>
  </si>
  <si>
    <t>Bill Jones</t>
  </si>
  <si>
    <t>Emma Davis</t>
  </si>
  <si>
    <t>Shane Page</t>
  </si>
  <si>
    <t>Matthew Spencer</t>
  </si>
  <si>
    <t>Thomas Thompson</t>
  </si>
  <si>
    <t>Amanda Rodriguez</t>
  </si>
  <si>
    <t>Gary Houston</t>
  </si>
  <si>
    <t>Thomas Bailey</t>
  </si>
  <si>
    <t>Becky Vargas</t>
  </si>
  <si>
    <t>Dr. Julie Wolfe</t>
  </si>
  <si>
    <t>Rodney Decker</t>
  </si>
  <si>
    <t>Katherine Smith</t>
  </si>
  <si>
    <t>Matthew Coleman</t>
  </si>
  <si>
    <t>Hannah Brooks</t>
  </si>
  <si>
    <t>Robert Tucker</t>
  </si>
  <si>
    <t>Maria Harris</t>
  </si>
  <si>
    <t>Brian Salas</t>
  </si>
  <si>
    <t>Dr. Tammy Vaughan</t>
  </si>
  <si>
    <t>Thomas Collins</t>
  </si>
  <si>
    <t>Sylvia Simon</t>
  </si>
  <si>
    <t>Zachary Bishop</t>
  </si>
  <si>
    <t>Carol Boone</t>
  </si>
  <si>
    <t>Sara Shields</t>
  </si>
  <si>
    <t>Alexandra Bird</t>
  </si>
  <si>
    <t>James Reed</t>
  </si>
  <si>
    <t>Jeremy Johnson</t>
  </si>
  <si>
    <t>Daryl Casey</t>
  </si>
  <si>
    <t>Connor Koch</t>
  </si>
  <si>
    <t>Jeffrey Tanner</t>
  </si>
  <si>
    <t>Shannon Mcdonald</t>
  </si>
  <si>
    <t>Jennifer Lee</t>
  </si>
  <si>
    <t>Matthew Rodriguez PhD</t>
  </si>
  <si>
    <t>Brett Torres</t>
  </si>
  <si>
    <t>Linda Holder</t>
  </si>
  <si>
    <t>Anthony Morales</t>
  </si>
  <si>
    <t>Justin Walsh</t>
  </si>
  <si>
    <t>Carolyn Thomas</t>
  </si>
  <si>
    <t>Justin Hughes</t>
  </si>
  <si>
    <t>Ms. Ashley Erickson</t>
  </si>
  <si>
    <t>Elizabeth Dixon</t>
  </si>
  <si>
    <t>Katherine Garrett</t>
  </si>
  <si>
    <t>Dr. Linda Cruz</t>
  </si>
  <si>
    <t>Kim Thompson</t>
  </si>
  <si>
    <t>Nicholas Gonzales</t>
  </si>
  <si>
    <t>Elizabeth Nguyen</t>
  </si>
  <si>
    <t>Steven Shelton</t>
  </si>
  <si>
    <t>Steven Williams</t>
  </si>
  <si>
    <t>Samuel Johnson</t>
  </si>
  <si>
    <t>William Stark</t>
  </si>
  <si>
    <t>Kyle Stark</t>
  </si>
  <si>
    <t>William Phillips</t>
  </si>
  <si>
    <t>Jerry Atkinson</t>
  </si>
  <si>
    <t>Alicia Craig</t>
  </si>
  <si>
    <t>Keith Henry</t>
  </si>
  <si>
    <t>Jason Chambers</t>
  </si>
  <si>
    <t>Justin Ortiz</t>
  </si>
  <si>
    <t>Jesse Graves</t>
  </si>
  <si>
    <t>Teresa Lara DDS</t>
  </si>
  <si>
    <t>Gwendolyn Joyce</t>
  </si>
  <si>
    <t>Matthew Villanueva</t>
  </si>
  <si>
    <t>Carla Davis</t>
  </si>
  <si>
    <t>Gerald Thomas</t>
  </si>
  <si>
    <t>Mark Baker</t>
  </si>
  <si>
    <t>Jessica Davis</t>
  </si>
  <si>
    <t>Vanessa Mason</t>
  </si>
  <si>
    <t>Dylan Prince</t>
  </si>
  <si>
    <t>Charles Sanders</t>
  </si>
  <si>
    <t>Emily Gibson</t>
  </si>
  <si>
    <t>Brittany Wagner</t>
  </si>
  <si>
    <t>Susan Good</t>
  </si>
  <si>
    <t>Dennis Morales</t>
  </si>
  <si>
    <t>Kevin Williams</t>
  </si>
  <si>
    <t>Susan Chapman</t>
  </si>
  <si>
    <t>Michelle Miller</t>
  </si>
  <si>
    <t>Alyssa Howard</t>
  </si>
  <si>
    <t>Sharon Martin</t>
  </si>
  <si>
    <t>Jennifer Gutierrez</t>
  </si>
  <si>
    <t>Emily Chan</t>
  </si>
  <si>
    <t>Natalie Abbott</t>
  </si>
  <si>
    <t>Jessica Moore</t>
  </si>
  <si>
    <t>Mr. Timothy Hoffman</t>
  </si>
  <si>
    <t>Antonio Harrison</t>
  </si>
  <si>
    <t>Lisa Myers</t>
  </si>
  <si>
    <t>Eddie Hansen</t>
  </si>
  <si>
    <t>Toni Miller</t>
  </si>
  <si>
    <t>Eric Barker</t>
  </si>
  <si>
    <t>Katherine Lee</t>
  </si>
  <si>
    <t>Alexandria Lucas</t>
  </si>
  <si>
    <t>Meredith Horton</t>
  </si>
  <si>
    <t>Charles Bryant</t>
  </si>
  <si>
    <t>Audrey Johnson</t>
  </si>
  <si>
    <t>James Nguyen</t>
  </si>
  <si>
    <t>Tracy Waller</t>
  </si>
  <si>
    <t>Angel Thompson</t>
  </si>
  <si>
    <t>Andrew Johnson</t>
  </si>
  <si>
    <t>Christina Cantrell</t>
  </si>
  <si>
    <t>Thomas Hanna</t>
  </si>
  <si>
    <t>Carlos Wright</t>
  </si>
  <si>
    <t>Tracy Moss</t>
  </si>
  <si>
    <t>Michael Robinson</t>
  </si>
  <si>
    <t>Erin Arias</t>
  </si>
  <si>
    <t>Keith Jacobson</t>
  </si>
  <si>
    <t>Scott Barrett</t>
  </si>
  <si>
    <t>Michelle Osborn</t>
  </si>
  <si>
    <t>Joseph Hayes</t>
  </si>
  <si>
    <t>Amanda Randolph</t>
  </si>
  <si>
    <t>Lisa Lynch</t>
  </si>
  <si>
    <t>Melissa Moore</t>
  </si>
  <si>
    <t>Ryan Wade</t>
  </si>
  <si>
    <t>Lisa Thompson</t>
  </si>
  <si>
    <t>Kelsey Davenport</t>
  </si>
  <si>
    <t>Erica Rodriguez</t>
  </si>
  <si>
    <t>Olivia Petersen</t>
  </si>
  <si>
    <t>Danny Lucas</t>
  </si>
  <si>
    <t>Margaret Mueller</t>
  </si>
  <si>
    <t>Rachel Jensen</t>
  </si>
  <si>
    <t>Shawn Bailey</t>
  </si>
  <si>
    <t>Amanda Davis</t>
  </si>
  <si>
    <t>Mitchell Baker</t>
  </si>
  <si>
    <t>Casey Powell</t>
  </si>
  <si>
    <t>Jill Smith</t>
  </si>
  <si>
    <t>Cynthia Gomez</t>
  </si>
  <si>
    <t>Michael Coffey</t>
  </si>
  <si>
    <t>Christopher Jackson</t>
  </si>
  <si>
    <t>Meghan Espinoza</t>
  </si>
  <si>
    <t>Jake Thomas</t>
  </si>
  <si>
    <t>Alec Haynes</t>
  </si>
  <si>
    <t>Anita Adams</t>
  </si>
  <si>
    <t>Adam Warner</t>
  </si>
  <si>
    <t>David Ryan</t>
  </si>
  <si>
    <t>Bridget Gardner</t>
  </si>
  <si>
    <t>Donald Livingston</t>
  </si>
  <si>
    <t>Jonathan Shaw</t>
  </si>
  <si>
    <t>Allison Day</t>
  </si>
  <si>
    <t>Elizabeth Parker</t>
  </si>
  <si>
    <t>Julia Malone</t>
  </si>
  <si>
    <t>Jeremy Foster</t>
  </si>
  <si>
    <t>Tricia Ali</t>
  </si>
  <si>
    <t>April Hamilton</t>
  </si>
  <si>
    <t>Emily Campbell</t>
  </si>
  <si>
    <t>Nicholas Stuart</t>
  </si>
  <si>
    <t>Monique Rojas</t>
  </si>
  <si>
    <t>Erica Vargas</t>
  </si>
  <si>
    <t>Patrick Irwin</t>
  </si>
  <si>
    <t>Jamie Harris</t>
  </si>
  <si>
    <t>Debra Chavez</t>
  </si>
  <si>
    <t>David Carter</t>
  </si>
  <si>
    <t>Kimberly Tran</t>
  </si>
  <si>
    <t>John Ross</t>
  </si>
  <si>
    <t>Anthony Wang DVM</t>
  </si>
  <si>
    <t>Kevin Dickson</t>
  </si>
  <si>
    <t>Stacy Turner</t>
  </si>
  <si>
    <t>Diana Dorsey</t>
  </si>
  <si>
    <t>Ashley Chang</t>
  </si>
  <si>
    <t>Jeffrey Owens</t>
  </si>
  <si>
    <t>Miguel Phillips</t>
  </si>
  <si>
    <t>Kathleen Murphy</t>
  </si>
  <si>
    <t>Robin Rice</t>
  </si>
  <si>
    <t>Courtney Cole</t>
  </si>
  <si>
    <t>Sharon Nelson</t>
  </si>
  <si>
    <t>Jennifer Brown</t>
  </si>
  <si>
    <t>Ashley Sharp</t>
  </si>
  <si>
    <t>Jacqueline Harris</t>
  </si>
  <si>
    <t>Peggy Jones</t>
  </si>
  <si>
    <t>Ruben Blake</t>
  </si>
  <si>
    <t>Kayla Johnston</t>
  </si>
  <si>
    <t>Bill Haas</t>
  </si>
  <si>
    <t>Debbie Fisher</t>
  </si>
  <si>
    <t>Jacqueline Barker</t>
  </si>
  <si>
    <t>Jason Sampson</t>
  </si>
  <si>
    <t>Claire Keller</t>
  </si>
  <si>
    <t>Jamie Owens</t>
  </si>
  <si>
    <t>Jason Kim</t>
  </si>
  <si>
    <t>Erica Potter</t>
  </si>
  <si>
    <t>Jason Martinez</t>
  </si>
  <si>
    <t>Tyler Stevens</t>
  </si>
  <si>
    <t>Mr. James Smith</t>
  </si>
  <si>
    <t>Matthew Castillo</t>
  </si>
  <si>
    <t>Jennifer Lang</t>
  </si>
  <si>
    <t>Brittany Macdonald</t>
  </si>
  <si>
    <t>Richard Walker</t>
  </si>
  <si>
    <t>Carol Ramos</t>
  </si>
  <si>
    <t>Joshua Green</t>
  </si>
  <si>
    <t>Raven Jones</t>
  </si>
  <si>
    <t>Victor Smith</t>
  </si>
  <si>
    <t>Tina Sutton</t>
  </si>
  <si>
    <t>Shelly Solis</t>
  </si>
  <si>
    <t>Randy Long</t>
  </si>
  <si>
    <t>Richard Thomas</t>
  </si>
  <si>
    <t>Jamie Barnes</t>
  </si>
  <si>
    <t>Matthew Lawrence</t>
  </si>
  <si>
    <t>James Lewis</t>
  </si>
  <si>
    <t>Randy Harris</t>
  </si>
  <si>
    <t>Julian Johnson</t>
  </si>
  <si>
    <t>Nicole Barker</t>
  </si>
  <si>
    <t>Timothy Taylor</t>
  </si>
  <si>
    <t>Kelly Crawford</t>
  </si>
  <si>
    <t>Male</t>
  </si>
  <si>
    <t>Female</t>
  </si>
  <si>
    <t>Surgery</t>
  </si>
  <si>
    <t>General Medicine</t>
  </si>
  <si>
    <t>Pediatrics</t>
  </si>
  <si>
    <t>Orthopedics</t>
  </si>
  <si>
    <t>Oncology</t>
  </si>
  <si>
    <t>Cardiology</t>
  </si>
  <si>
    <t>Neurology</t>
  </si>
  <si>
    <t>Logan Stewart</t>
  </si>
  <si>
    <t>Bethany Hunter</t>
  </si>
  <si>
    <t>Sean Richardson</t>
  </si>
  <si>
    <t>Vanessa Nelson</t>
  </si>
  <si>
    <t>Kristen Miller</t>
  </si>
  <si>
    <t>Rickey Davis</t>
  </si>
  <si>
    <t>Christopher Jones</t>
  </si>
  <si>
    <t>Randy Bell</t>
  </si>
  <si>
    <t>Paige Martin</t>
  </si>
  <si>
    <t>Michael Jennings</t>
  </si>
  <si>
    <t>Kyle Cooke</t>
  </si>
  <si>
    <t>Jason Wilson</t>
  </si>
  <si>
    <t>Shelly Fletcher</t>
  </si>
  <si>
    <t>Courtney Reed</t>
  </si>
  <si>
    <t>Kimberly Burch</t>
  </si>
  <si>
    <t>David Oliver</t>
  </si>
  <si>
    <t>Michael Perry</t>
  </si>
  <si>
    <t>Steve Williamson</t>
  </si>
  <si>
    <t>Crystal Mueller</t>
  </si>
  <si>
    <t>Jason Austin</t>
  </si>
  <si>
    <t>Sara Valenzuela</t>
  </si>
  <si>
    <t>John Dixon</t>
  </si>
  <si>
    <t>Laura Rosales</t>
  </si>
  <si>
    <t>Keith Porter</t>
  </si>
  <si>
    <t>Mrs. Cheryl Bates MD</t>
  </si>
  <si>
    <t>Darryl Foster</t>
  </si>
  <si>
    <t>Joshua White</t>
  </si>
  <si>
    <t>Michelle Armstrong</t>
  </si>
  <si>
    <t>Aaron Johnson</t>
  </si>
  <si>
    <t>Randall Rhodes</t>
  </si>
  <si>
    <t>Amy Graves</t>
  </si>
  <si>
    <t>Shannon Parker</t>
  </si>
  <si>
    <t>Tammy Richardson</t>
  </si>
  <si>
    <t>William Patrick</t>
  </si>
  <si>
    <t>Tina Martin</t>
  </si>
  <si>
    <t>Joseph Taylor</t>
  </si>
  <si>
    <t>Cheryl Greer</t>
  </si>
  <si>
    <t>Mark Simpson</t>
  </si>
  <si>
    <t>Amanda Murphy</t>
  </si>
  <si>
    <t>Jessica Chang</t>
  </si>
  <si>
    <t>Karen Bailey</t>
  </si>
  <si>
    <t>Angela Hodges</t>
  </si>
  <si>
    <t>Christopher Bird</t>
  </si>
  <si>
    <t>Kent Mooney</t>
  </si>
  <si>
    <t>Michael Stanley</t>
  </si>
  <si>
    <t>Jill Ramirez</t>
  </si>
  <si>
    <t>Michael Morris</t>
  </si>
  <si>
    <t>Timothy Garcia</t>
  </si>
  <si>
    <t>Tim Trujillo</t>
  </si>
  <si>
    <t>Carl Cordova</t>
  </si>
  <si>
    <t>Jordan Dixon</t>
  </si>
  <si>
    <t>Tonya Klein</t>
  </si>
  <si>
    <t>Dominic Hicks</t>
  </si>
  <si>
    <t>Michael Park</t>
  </si>
  <si>
    <t>Jesse Anderson</t>
  </si>
  <si>
    <t>Robin Wright</t>
  </si>
  <si>
    <t>Michael Klein</t>
  </si>
  <si>
    <t>Stephen Bush</t>
  </si>
  <si>
    <t>Crystal Luna</t>
  </si>
  <si>
    <t>Olivia Hawkins</t>
  </si>
  <si>
    <t>Lucas Ortiz</t>
  </si>
  <si>
    <t>Andrew Pearson</t>
  </si>
  <si>
    <t>Jerome Campos</t>
  </si>
  <si>
    <t>Dr. Paul Gonzalez</t>
  </si>
  <si>
    <t>Michael Gallegos</t>
  </si>
  <si>
    <t>Daniel Clark</t>
  </si>
  <si>
    <t>Norman Wright</t>
  </si>
  <si>
    <t>Shannon Gonzalez</t>
  </si>
  <si>
    <t>Christine Burke</t>
  </si>
  <si>
    <t>James Smith</t>
  </si>
  <si>
    <t>Cole Bailey</t>
  </si>
  <si>
    <t>Sara Barnett</t>
  </si>
  <si>
    <t>Philip Krueger</t>
  </si>
  <si>
    <t>Christina Stein</t>
  </si>
  <si>
    <t>Kim James</t>
  </si>
  <si>
    <t>Joseph Campbell</t>
  </si>
  <si>
    <t>Paul Bates</t>
  </si>
  <si>
    <t>Maria Rivera</t>
  </si>
  <si>
    <t>Elizabeth Black</t>
  </si>
  <si>
    <t>David Thompson</t>
  </si>
  <si>
    <t>Jimmy Bright</t>
  </si>
  <si>
    <t>Robert Mcdowell</t>
  </si>
  <si>
    <t>April Reynolds</t>
  </si>
  <si>
    <t>Leah Herman</t>
  </si>
  <si>
    <t>Phillip Graves</t>
  </si>
  <si>
    <t>Amy Sharp</t>
  </si>
  <si>
    <t>Kevin Thornton</t>
  </si>
  <si>
    <t>Michael Williams</t>
  </si>
  <si>
    <t>Jeffery Hood</t>
  </si>
  <si>
    <t>Madison Lucas</t>
  </si>
  <si>
    <t>Taylor Hill</t>
  </si>
  <si>
    <t>Dr. Cynthia Blanchard</t>
  </si>
  <si>
    <t>Robert Roberts</t>
  </si>
  <si>
    <t>Nancy Johnson</t>
  </si>
  <si>
    <t>Michael Pearson</t>
  </si>
  <si>
    <t>Jonathan Fisher</t>
  </si>
  <si>
    <t>Scott Lambert</t>
  </si>
  <si>
    <t>Donna Wall</t>
  </si>
  <si>
    <t>Joel Ramos</t>
  </si>
  <si>
    <t>Kelly Holmes</t>
  </si>
  <si>
    <t>Michael Garcia</t>
  </si>
  <si>
    <t>Mark Robertson</t>
  </si>
  <si>
    <t>Andrew Wagner</t>
  </si>
  <si>
    <t>Hailey Moore</t>
  </si>
  <si>
    <t>Sheri Moore</t>
  </si>
  <si>
    <t>Matthew Little</t>
  </si>
  <si>
    <t>Lisa Wilson</t>
  </si>
  <si>
    <t>Miranda Brady</t>
  </si>
  <si>
    <t>David Rios</t>
  </si>
  <si>
    <t>Brandy Wu</t>
  </si>
  <si>
    <t>Laura Anderson</t>
  </si>
  <si>
    <t>Jennifer Martin</t>
  </si>
  <si>
    <t>Brittany Morgan</t>
  </si>
  <si>
    <t>Gary Fisher</t>
  </si>
  <si>
    <t>Chad Gonzalez</t>
  </si>
  <si>
    <t>Jacqueline Smith</t>
  </si>
  <si>
    <t>Kimberly Bailey</t>
  </si>
  <si>
    <t>Jeffrey Benson</t>
  </si>
  <si>
    <t>Lindsay Morrison</t>
  </si>
  <si>
    <t>Carrie Garcia</t>
  </si>
  <si>
    <t>Ronald Grant</t>
  </si>
  <si>
    <t>Wendy Galvan</t>
  </si>
  <si>
    <t>Mrs. Susan Hill PhD</t>
  </si>
  <si>
    <t>Andrew Harris</t>
  </si>
  <si>
    <t>Christina Clark</t>
  </si>
  <si>
    <t>Mr. George Garrett</t>
  </si>
  <si>
    <t>William Edwards</t>
  </si>
  <si>
    <t>John Guerrero</t>
  </si>
  <si>
    <t>Toni Anderson</t>
  </si>
  <si>
    <t>Michelle Pace</t>
  </si>
  <si>
    <t>Adam Chen</t>
  </si>
  <si>
    <t>William Webster</t>
  </si>
  <si>
    <t>Nathan Stone</t>
  </si>
  <si>
    <t>Michael Harrington</t>
  </si>
  <si>
    <t>John Hunter</t>
  </si>
  <si>
    <t>Kelsey Mills</t>
  </si>
  <si>
    <t>John Wade</t>
  </si>
  <si>
    <t>Jordan Lyons</t>
  </si>
  <si>
    <t>Keith Hull</t>
  </si>
  <si>
    <t>Anthony Sherman</t>
  </si>
  <si>
    <t>John Johnston</t>
  </si>
  <si>
    <t>Justin Hernandez</t>
  </si>
  <si>
    <t>Andrew Davis</t>
  </si>
  <si>
    <t>Julia Strong</t>
  </si>
  <si>
    <t>Michael Hamilton</t>
  </si>
  <si>
    <t>Ann Martin</t>
  </si>
  <si>
    <t>Aaron Jacobs</t>
  </si>
  <si>
    <t>Edward Johnson</t>
  </si>
  <si>
    <t>Charles Collins</t>
  </si>
  <si>
    <t>Anthony Jones</t>
  </si>
  <si>
    <t>Russell Mata</t>
  </si>
  <si>
    <t>Andrew Horne</t>
  </si>
  <si>
    <t>Alexander Lopez</t>
  </si>
  <si>
    <t>Ian Gay</t>
  </si>
  <si>
    <t>Christina Sherman</t>
  </si>
  <si>
    <t>Jason Lee</t>
  </si>
  <si>
    <t>Marie Garcia</t>
  </si>
  <si>
    <t>Denise Figueroa</t>
  </si>
  <si>
    <t>Andrew Zhang</t>
  </si>
  <si>
    <t>Garrett Walker</t>
  </si>
  <si>
    <t>Justin Burnett</t>
  </si>
  <si>
    <t>Breanna Horton</t>
  </si>
  <si>
    <t>Christine Evans</t>
  </si>
  <si>
    <t>Derek Hanson</t>
  </si>
  <si>
    <t>Natalie Baird</t>
  </si>
  <si>
    <t>Jody Thompson</t>
  </si>
  <si>
    <t>Edward Cardenas</t>
  </si>
  <si>
    <t>Katherine Davis</t>
  </si>
  <si>
    <t>Gina Smith</t>
  </si>
  <si>
    <t>Eric Anderson</t>
  </si>
  <si>
    <t>Amy Hampton</t>
  </si>
  <si>
    <t>Miranda Cox</t>
  </si>
  <si>
    <t>Eric Green</t>
  </si>
  <si>
    <t>Miss Shannon Ramos DDS</t>
  </si>
  <si>
    <t>Rebecca Salazar</t>
  </si>
  <si>
    <t>Mrs. Nancy Fitzpatrick DDS</t>
  </si>
  <si>
    <t>Walter Perez</t>
  </si>
  <si>
    <t>Amy Walters</t>
  </si>
  <si>
    <t>Kyle Perez</t>
  </si>
  <si>
    <t>Ashley Parker</t>
  </si>
  <si>
    <t>Warren Skinner</t>
  </si>
  <si>
    <t>Kristina Palmer</t>
  </si>
  <si>
    <t>Anthony Harper</t>
  </si>
  <si>
    <t>Javier Kaufman</t>
  </si>
  <si>
    <t>Shane Young</t>
  </si>
  <si>
    <t>Michelle Avery</t>
  </si>
  <si>
    <t>Joanne Rodriguez</t>
  </si>
  <si>
    <t>Timothy Leonard</t>
  </si>
  <si>
    <t>Mr. Thomas Jones</t>
  </si>
  <si>
    <t>Michael Huang</t>
  </si>
  <si>
    <t>Marisa Gonzalez</t>
  </si>
  <si>
    <t>Bridget Mclaughlin</t>
  </si>
  <si>
    <t>Alisha Miller</t>
  </si>
  <si>
    <t>Jennifer Conley</t>
  </si>
  <si>
    <t>Brett Thomas</t>
  </si>
  <si>
    <t>Donald Thomas</t>
  </si>
  <si>
    <t>Robert Nguyen</t>
  </si>
  <si>
    <t>Kayla Page</t>
  </si>
  <si>
    <t>Amy Shaw</t>
  </si>
  <si>
    <t>Tara Hoover</t>
  </si>
  <si>
    <t>Mark Meza</t>
  </si>
  <si>
    <t>Alejandro Cook</t>
  </si>
  <si>
    <t>Robert Wallace</t>
  </si>
  <si>
    <t>Jonathan Vincent</t>
  </si>
  <si>
    <t>Janet Brown</t>
  </si>
  <si>
    <t>Crystal Cantu</t>
  </si>
  <si>
    <t>Mark Jackson</t>
  </si>
  <si>
    <t>Kelly Smith</t>
  </si>
  <si>
    <t>Renee Smith</t>
  </si>
  <si>
    <t>Samuel Smith</t>
  </si>
  <si>
    <t>Jake Kane</t>
  </si>
  <si>
    <t>Kelly Gomez MD</t>
  </si>
  <si>
    <t>Ryan Ford</t>
  </si>
  <si>
    <t>Jesse Jordan</t>
  </si>
  <si>
    <t>Dr. Brian Carpenter MD</t>
  </si>
  <si>
    <t>Ryan Acevedo</t>
  </si>
  <si>
    <t>Andrew Gonzalez</t>
  </si>
  <si>
    <t>Summer Garcia</t>
  </si>
  <si>
    <t>Phillip Orozco</t>
  </si>
  <si>
    <t>Mathew Williams</t>
  </si>
  <si>
    <t>Jessica Robbins</t>
  </si>
  <si>
    <t>Sheryl Armstrong</t>
  </si>
  <si>
    <t>Brian Mcmahon</t>
  </si>
  <si>
    <t>Pamela Miller</t>
  </si>
  <si>
    <t>Tammy Perkins</t>
  </si>
  <si>
    <t>Jennifer Keith</t>
  </si>
  <si>
    <t>William Gillespie</t>
  </si>
  <si>
    <t>Emily Holt</t>
  </si>
  <si>
    <t>Jose Murphy</t>
  </si>
  <si>
    <t>Brandy Nixon</t>
  </si>
  <si>
    <t>Kimberly Cooke</t>
  </si>
  <si>
    <t>Cole Davidson</t>
  </si>
  <si>
    <t>Cindy Peterson</t>
  </si>
  <si>
    <t>Johnathan Simpson</t>
  </si>
  <si>
    <t>Robert Shaw</t>
  </si>
  <si>
    <t>Andrea Gamble</t>
  </si>
  <si>
    <t>Jeremiah Olson</t>
  </si>
  <si>
    <t>Mary Black</t>
  </si>
  <si>
    <t>Jesse Ewing</t>
  </si>
  <si>
    <t>Scott Parks</t>
  </si>
  <si>
    <t>Meghan Miller</t>
  </si>
  <si>
    <t>Steve Woods</t>
  </si>
  <si>
    <t>Daniel Copeland</t>
  </si>
  <si>
    <t>Whitney Norris</t>
  </si>
  <si>
    <t>Susan Mason</t>
  </si>
  <si>
    <t>Erik Anderson</t>
  </si>
  <si>
    <t>Jennifer Simon</t>
  </si>
  <si>
    <t>Thomas Murillo</t>
  </si>
  <si>
    <t>Erica Patel</t>
  </si>
  <si>
    <t>Thomas Conway</t>
  </si>
  <si>
    <t>Rebecca Wiggins</t>
  </si>
  <si>
    <t>Terrence Stewart</t>
  </si>
  <si>
    <t>Jose Mcneil</t>
  </si>
  <si>
    <t>Kaitlyn Moran</t>
  </si>
  <si>
    <t>Nancy Sparks</t>
  </si>
  <si>
    <t>Matthew Gregory</t>
  </si>
  <si>
    <t>John Dyer</t>
  </si>
  <si>
    <t>Michael Clark Jr.</t>
  </si>
  <si>
    <t>Amy Anderson</t>
  </si>
  <si>
    <t>Shelby Graham</t>
  </si>
  <si>
    <t>William Ayala</t>
  </si>
  <si>
    <t>Wendy Chandler</t>
  </si>
  <si>
    <t>Andrew Watson MD</t>
  </si>
  <si>
    <t>Tina Armstrong</t>
  </si>
  <si>
    <t>William Adams</t>
  </si>
  <si>
    <t>Glen Prince</t>
  </si>
  <si>
    <t>Mrs. Kelly Ward</t>
  </si>
  <si>
    <t>Ian Clark</t>
  </si>
  <si>
    <t>Kristen Bernard</t>
  </si>
  <si>
    <t>Courtney Singleton</t>
  </si>
  <si>
    <t>John Barber</t>
  </si>
  <si>
    <t>Tony Wright</t>
  </si>
  <si>
    <t>Jerry Lynch</t>
  </si>
  <si>
    <t>Nancy Ewing</t>
  </si>
  <si>
    <t>Miss Jennifer Stafford DDS</t>
  </si>
  <si>
    <t>Nathaniel Leon</t>
  </si>
  <si>
    <t>Abigail Garza</t>
  </si>
  <si>
    <t>Daniel Holt</t>
  </si>
  <si>
    <t>Gabriel Garcia</t>
  </si>
  <si>
    <t>Angel Everett</t>
  </si>
  <si>
    <t>Jon Stafford</t>
  </si>
  <si>
    <t>April Peterson</t>
  </si>
  <si>
    <t>Nathaniel Middleton</t>
  </si>
  <si>
    <t>Heather Doyle</t>
  </si>
  <si>
    <t>Joanne White</t>
  </si>
  <si>
    <t>Mary Robinson</t>
  </si>
  <si>
    <t>Leslie Larsen</t>
  </si>
  <si>
    <t>Lonnie Martinez</t>
  </si>
  <si>
    <t>Erica Cox</t>
  </si>
  <si>
    <t>Alejandra Martinez</t>
  </si>
  <si>
    <t>Sierra Velasquez</t>
  </si>
  <si>
    <t>Kathleen Diaz</t>
  </si>
  <si>
    <t>Jeremy Evans</t>
  </si>
  <si>
    <t>Brittany Larson</t>
  </si>
  <si>
    <t>Renee Ramirez</t>
  </si>
  <si>
    <t>Ariana Rice</t>
  </si>
  <si>
    <t>Samantha Williams</t>
  </si>
  <si>
    <t>Jeffrey Gomez</t>
  </si>
  <si>
    <t>Emily Tucker</t>
  </si>
  <si>
    <t>Emily Mason</t>
  </si>
  <si>
    <t>Cassie Brewer</t>
  </si>
  <si>
    <t>Caitlin Cox</t>
  </si>
  <si>
    <t>David Jones</t>
  </si>
  <si>
    <t>Ariana Jones</t>
  </si>
  <si>
    <t>Noah Griffin</t>
  </si>
  <si>
    <t>Albert Beltran</t>
  </si>
  <si>
    <t>Terry Myers</t>
  </si>
  <si>
    <t>Heather Ward</t>
  </si>
  <si>
    <t>Cynthia Brown</t>
  </si>
  <si>
    <t>Hayden Barnes</t>
  </si>
  <si>
    <t>Leslie Ramirez</t>
  </si>
  <si>
    <t>Allen Phillips</t>
  </si>
  <si>
    <t>Brittany Townsend</t>
  </si>
  <si>
    <t>Bryan Francis</t>
  </si>
  <si>
    <t>Stephen Hopkins</t>
  </si>
  <si>
    <t>Philip Valenzuela</t>
  </si>
  <si>
    <t>Alexis Smith</t>
  </si>
  <si>
    <t>Kimberly Hansen</t>
  </si>
  <si>
    <t>Latoya Murray</t>
  </si>
  <si>
    <t>Cassandra Lambert</t>
  </si>
  <si>
    <t>Kevin Hill</t>
  </si>
  <si>
    <t>Robert Cunningham</t>
  </si>
  <si>
    <t>Abigail Brown</t>
  </si>
  <si>
    <t>Andrew Gay</t>
  </si>
  <si>
    <t>Susan Mccarthy</t>
  </si>
  <si>
    <t>Robin Waters</t>
  </si>
  <si>
    <t>Douglas Cowan</t>
  </si>
  <si>
    <t>Lisa Anderson</t>
  </si>
  <si>
    <t>Elizabeth Wilkerson</t>
  </si>
  <si>
    <t>Amanda Dixon</t>
  </si>
  <si>
    <t>Sharon Carlson</t>
  </si>
  <si>
    <t>Wanda Stephens</t>
  </si>
  <si>
    <t>Erin Johnson</t>
  </si>
  <si>
    <t>Alison Becker</t>
  </si>
  <si>
    <t>Garrett Lopez</t>
  </si>
  <si>
    <t>Virginia Reyes</t>
  </si>
  <si>
    <t>April Simmons</t>
  </si>
  <si>
    <t>Laura Sullivan</t>
  </si>
  <si>
    <t>Anthony Matthews</t>
  </si>
  <si>
    <t>Melinda Young</t>
  </si>
  <si>
    <t>Olivia Williams</t>
  </si>
  <si>
    <t>Susan Oliver</t>
  </si>
  <si>
    <t>Sherry Vega</t>
  </si>
  <si>
    <t>Nicole Gonzales</t>
  </si>
  <si>
    <t>Julie Bauer</t>
  </si>
  <si>
    <t>Dr. Chad Sandoval</t>
  </si>
  <si>
    <t>Jacqueline Perez</t>
  </si>
  <si>
    <t>Daniel Cruz</t>
  </si>
  <si>
    <t>Kim Davis</t>
  </si>
  <si>
    <t>Albert Barr</t>
  </si>
  <si>
    <t>Abigail Nicholson</t>
  </si>
  <si>
    <t>Courtney Pruitt</t>
  </si>
  <si>
    <t>Christopher Carr</t>
  </si>
  <si>
    <t>Donald Reeves</t>
  </si>
  <si>
    <t>Kristina Erickson</t>
  </si>
  <si>
    <t>Sean Johnson</t>
  </si>
  <si>
    <t>Yvette Brewer</t>
  </si>
  <si>
    <t>Rachel Long</t>
  </si>
  <si>
    <t>Jennifer Wagner</t>
  </si>
  <si>
    <t>Amanda Fisher</t>
  </si>
  <si>
    <t>Craig Wyatt</t>
  </si>
  <si>
    <t>Jennifer Hunt</t>
  </si>
  <si>
    <t>Donna Benson</t>
  </si>
  <si>
    <t>Rebecca Castaneda</t>
  </si>
  <si>
    <t>Maria Hines</t>
  </si>
  <si>
    <t>William Sanders</t>
  </si>
  <si>
    <t>John Harding</t>
  </si>
  <si>
    <t>Nicole Mendez</t>
  </si>
  <si>
    <t>Abigail Wright</t>
  </si>
  <si>
    <t>Cesar Holder</t>
  </si>
  <si>
    <t>Michelle Moore</t>
  </si>
  <si>
    <t>Rebecca Phillips</t>
  </si>
  <si>
    <t>Erica Patterson</t>
  </si>
  <si>
    <t>Patricia Garcia</t>
  </si>
  <si>
    <t>Danielle Cox</t>
  </si>
  <si>
    <t>Brandon Duncan MD</t>
  </si>
  <si>
    <t>Meredith Vaughn</t>
  </si>
  <si>
    <t>Alex Fleming</t>
  </si>
  <si>
    <t>Holly Hall</t>
  </si>
  <si>
    <t>Angela Mayer</t>
  </si>
  <si>
    <t>Matthew Jones</t>
  </si>
  <si>
    <t>Maurice Green</t>
  </si>
  <si>
    <t>William Mendez</t>
  </si>
  <si>
    <t>Patricia Novak</t>
  </si>
  <si>
    <t>Melissa Watkins</t>
  </si>
  <si>
    <t>Stephen Cummings</t>
  </si>
  <si>
    <t>Robert Galvan</t>
  </si>
  <si>
    <t>Stephanie Gonzales</t>
  </si>
  <si>
    <t>Rodney Bass</t>
  </si>
  <si>
    <t>Marvin Jones</t>
  </si>
  <si>
    <t>Kara Clark</t>
  </si>
  <si>
    <t>Breanna White</t>
  </si>
  <si>
    <t>Colin Perry</t>
  </si>
  <si>
    <t>Karina Gordon</t>
  </si>
  <si>
    <t>Sarah Horton</t>
  </si>
  <si>
    <t>Cheryl Kent</t>
  </si>
  <si>
    <t>Jerry Meyer</t>
  </si>
  <si>
    <t>Jessica Hernandez</t>
  </si>
  <si>
    <t>Sandra Porter</t>
  </si>
  <si>
    <t>Kyle Sanchez</t>
  </si>
  <si>
    <t>Sheri Stanley</t>
  </si>
  <si>
    <t>Nicholas Gonzalez</t>
  </si>
  <si>
    <t>John Watts</t>
  </si>
  <si>
    <t>Danielle Garcia</t>
  </si>
  <si>
    <t>Hector Parsons</t>
  </si>
  <si>
    <t>Michael Chang</t>
  </si>
  <si>
    <t>Kathleen Greer</t>
  </si>
  <si>
    <t>John Frye</t>
  </si>
  <si>
    <t>Crystal Rivera</t>
  </si>
  <si>
    <t>Mark Barnes</t>
  </si>
  <si>
    <t>Lindsay Cooper</t>
  </si>
  <si>
    <t>Bryan Perez</t>
  </si>
  <si>
    <t>Paul Bullock</t>
  </si>
  <si>
    <t>Cindy Roman</t>
  </si>
  <si>
    <t>Mr. Garrett Johnson</t>
  </si>
  <si>
    <t>Morgan Sullivan</t>
  </si>
  <si>
    <t>Crystal Cooper</t>
  </si>
  <si>
    <t>Robert Wilson</t>
  </si>
  <si>
    <t>Abigail Blevins</t>
  </si>
  <si>
    <t>Jackie Dyer</t>
  </si>
  <si>
    <t>Malik Rose PhD</t>
  </si>
  <si>
    <t>Jeffrey Farrell</t>
  </si>
  <si>
    <t>Jeremy Mahoney</t>
  </si>
  <si>
    <t>Steven Robinson</t>
  </si>
  <si>
    <t>David Garrison</t>
  </si>
  <si>
    <t>Brian Smith</t>
  </si>
  <si>
    <t>George Anderson</t>
  </si>
  <si>
    <t>Sean Lee</t>
  </si>
  <si>
    <t>Shelly Schneider</t>
  </si>
  <si>
    <t>Adam Mcclure</t>
  </si>
  <si>
    <t>Christina Richardson</t>
  </si>
  <si>
    <t>Craig Lee</t>
  </si>
  <si>
    <t>Matthew Delacruz</t>
  </si>
  <si>
    <t>Jeanette Jefferson</t>
  </si>
  <si>
    <t>Robert Jones</t>
  </si>
  <si>
    <t>Julia Clarke</t>
  </si>
  <si>
    <t>Michelle Alvarado</t>
  </si>
  <si>
    <t>Shannon Houston</t>
  </si>
  <si>
    <t>Rodney Parks</t>
  </si>
  <si>
    <t>Kimberly Macdonald</t>
  </si>
  <si>
    <t>Craig Brennan</t>
  </si>
  <si>
    <t>Heidi Brown</t>
  </si>
  <si>
    <t>Colin Andersen</t>
  </si>
  <si>
    <t>Lisa Gutierrez</t>
  </si>
  <si>
    <t>Rachel Wood</t>
  </si>
  <si>
    <t>Travis Matthews</t>
  </si>
  <si>
    <t>Ronald Mosley</t>
  </si>
  <si>
    <t>Dakota Cain</t>
  </si>
  <si>
    <t>Rebecca Patel</t>
  </si>
  <si>
    <t>Andre Nelson</t>
  </si>
  <si>
    <t>Regina Graham</t>
  </si>
  <si>
    <t>Veronica Walsh</t>
  </si>
  <si>
    <t>Leslie Nichols</t>
  </si>
  <si>
    <t>Vincent Foley</t>
  </si>
  <si>
    <t>Duane Vasquez</t>
  </si>
  <si>
    <t>Calvin Blanchard</t>
  </si>
  <si>
    <t>Daniel Green</t>
  </si>
  <si>
    <t>Debra Marshall</t>
  </si>
  <si>
    <t>Mr. Eric Dean</t>
  </si>
  <si>
    <t>Tiffany Miller MD</t>
  </si>
  <si>
    <t>Madison Johnson</t>
  </si>
  <si>
    <t>Kathy Hood</t>
  </si>
  <si>
    <t>Allen Lowe</t>
  </si>
  <si>
    <t>Anna King</t>
  </si>
  <si>
    <t>Kevin Wright V</t>
  </si>
  <si>
    <t>Robert Watkins</t>
  </si>
  <si>
    <t>Maria Ruiz</t>
  </si>
  <si>
    <t>Kelsey Chandler</t>
  </si>
  <si>
    <t>Timothy Delgado</t>
  </si>
  <si>
    <t>Kevin Morales</t>
  </si>
  <si>
    <t>Jennifer Ray</t>
  </si>
  <si>
    <t>Jeff Gardner</t>
  </si>
  <si>
    <t>Ian Chandler</t>
  </si>
  <si>
    <t>Kimberly Stuart</t>
  </si>
  <si>
    <t>Ashley Dean</t>
  </si>
  <si>
    <t>Penny Buchanan</t>
  </si>
  <si>
    <t>Tammy Howe</t>
  </si>
  <si>
    <t>Brenda Hart</t>
  </si>
  <si>
    <t>Lisa Kennedy</t>
  </si>
  <si>
    <t>Hannah Patrick</t>
  </si>
  <si>
    <t>Joshua Perez</t>
  </si>
  <si>
    <t>James Martin</t>
  </si>
  <si>
    <t>Patrick Lee</t>
  </si>
  <si>
    <t>Robert Lloyd</t>
  </si>
  <si>
    <t>Kevin Huff</t>
  </si>
  <si>
    <t>Adrian Harris</t>
  </si>
  <si>
    <t>Tyler Swanson</t>
  </si>
  <si>
    <t>Catherine Scott</t>
  </si>
  <si>
    <t>Dr. Samuel Elliott PhD</t>
  </si>
  <si>
    <t>Allison Brown</t>
  </si>
  <si>
    <t>Jeffrey Palmer</t>
  </si>
  <si>
    <t>Julie Mcbride</t>
  </si>
  <si>
    <t>John Ford</t>
  </si>
  <si>
    <t>Jenna Freeman</t>
  </si>
  <si>
    <t>Tanya Williamson</t>
  </si>
  <si>
    <t>Johnny Taylor</t>
  </si>
  <si>
    <t>Nicholas Hughes</t>
  </si>
  <si>
    <t>Teresa Hill</t>
  </si>
  <si>
    <t>Michele Richard</t>
  </si>
  <si>
    <t>William Miller</t>
  </si>
  <si>
    <t>Stephanie Kline</t>
  </si>
  <si>
    <t>Corey Bates</t>
  </si>
  <si>
    <t>Valerie Alvarez</t>
  </si>
  <si>
    <t>Darlene Santos</t>
  </si>
  <si>
    <t>Melanie Wong</t>
  </si>
  <si>
    <t>Sharon Pierce</t>
  </si>
  <si>
    <t>Tyler Wilkerson</t>
  </si>
  <si>
    <t>Eric Richardson</t>
  </si>
  <si>
    <t>Catherine Small</t>
  </si>
  <si>
    <t>Brandy Murphy</t>
  </si>
  <si>
    <t>Kimberly Gomez</t>
  </si>
  <si>
    <t>Tammy Koch</t>
  </si>
  <si>
    <t>Michael Nguyen</t>
  </si>
  <si>
    <t>Dylan Mcmahon</t>
  </si>
  <si>
    <t>Shannon Green</t>
  </si>
  <si>
    <t>Christy Perez</t>
  </si>
  <si>
    <t>Tony Pennington</t>
  </si>
  <si>
    <t>Anna Jackson</t>
  </si>
  <si>
    <t>Christopher Wall</t>
  </si>
  <si>
    <t>Xavier Delgado</t>
  </si>
  <si>
    <t>Regina Price</t>
  </si>
  <si>
    <t>Sarah Kennedy</t>
  </si>
  <si>
    <t>Alexander Harmon</t>
  </si>
  <si>
    <t>Mary Vazquez</t>
  </si>
  <si>
    <t>Scott Maldonado MD</t>
  </si>
  <si>
    <t>Caleb Tran</t>
  </si>
  <si>
    <t>Lisa Macdonald MD</t>
  </si>
  <si>
    <t>Cody Torres</t>
  </si>
  <si>
    <t>Jasmine James MD</t>
  </si>
  <si>
    <t>Andrew Lewis</t>
  </si>
  <si>
    <t>Brandon Coleman</t>
  </si>
  <si>
    <t>Sarah Roberson</t>
  </si>
  <si>
    <t>Jessica Townsend</t>
  </si>
  <si>
    <t>Michael Jenkins</t>
  </si>
  <si>
    <t>Timothy Rivas</t>
  </si>
  <si>
    <t>Linda Wang</t>
  </si>
  <si>
    <t>Jenna Meyer</t>
  </si>
  <si>
    <t>Jason Nicholson</t>
  </si>
  <si>
    <t>Emily Phelps</t>
  </si>
  <si>
    <t>Melissa Huber</t>
  </si>
  <si>
    <t>Donna Fisher</t>
  </si>
  <si>
    <t>Darryl Webster</t>
  </si>
  <si>
    <t>Tamara Williams</t>
  </si>
  <si>
    <t>Steven Martinez</t>
  </si>
  <si>
    <t>Jeffery Harvey</t>
  </si>
  <si>
    <t>Steven Galvan</t>
  </si>
  <si>
    <t>Anthony Cooper</t>
  </si>
  <si>
    <t>Kimberly Rojas DVM</t>
  </si>
  <si>
    <t>Brittany Garza</t>
  </si>
  <si>
    <t>Nicholas Wilson</t>
  </si>
  <si>
    <t>Keith Simmons</t>
  </si>
  <si>
    <t>Juan Pierce</t>
  </si>
  <si>
    <t>Kelsey Ortiz</t>
  </si>
  <si>
    <t>Katherine Martinez</t>
  </si>
  <si>
    <t>Tracy Miller</t>
  </si>
  <si>
    <t>Emma Cherry</t>
  </si>
  <si>
    <t>John Nguyen</t>
  </si>
  <si>
    <t>Courtney Long</t>
  </si>
  <si>
    <t>Diane Parker</t>
  </si>
  <si>
    <t>Linda Brown</t>
  </si>
  <si>
    <t>Sabrina Benjamin</t>
  </si>
  <si>
    <t>Richard Bowman</t>
  </si>
  <si>
    <t>Desiree Berry</t>
  </si>
  <si>
    <t>Brandon Bird</t>
  </si>
  <si>
    <t>James Collins</t>
  </si>
  <si>
    <t>Jesse Martin</t>
  </si>
  <si>
    <t>Jennifer Mendoza</t>
  </si>
  <si>
    <t>Matthew Kennedy</t>
  </si>
  <si>
    <t>Douglas Thomas</t>
  </si>
  <si>
    <t>Kayla Herman</t>
  </si>
  <si>
    <t>Bobby Preston</t>
  </si>
  <si>
    <t>Austin Anderson</t>
  </si>
  <si>
    <t>Richard Moore</t>
  </si>
  <si>
    <t>Kevin Chandler</t>
  </si>
  <si>
    <t>Dr. Justin Brown</t>
  </si>
  <si>
    <t>Jodi Williams MD</t>
  </si>
  <si>
    <t>Michelle Rivera</t>
  </si>
  <si>
    <t>Bradley Mclaughlin</t>
  </si>
  <si>
    <t>Stephen Carson</t>
  </si>
  <si>
    <t>Savannah Holmes</t>
  </si>
  <si>
    <t>David Bailey</t>
  </si>
  <si>
    <t>Susan Garcia DVM</t>
  </si>
  <si>
    <t>Laurie Terry</t>
  </si>
  <si>
    <t>Jose Reeves</t>
  </si>
  <si>
    <t>Susan Scott</t>
  </si>
  <si>
    <t>James Jones</t>
  </si>
  <si>
    <t>Steven Anderson</t>
  </si>
  <si>
    <t>Diane Lewis</t>
  </si>
  <si>
    <t>Travis Gross</t>
  </si>
  <si>
    <t>Alyssa Martin</t>
  </si>
  <si>
    <t>Dawn Taylor</t>
  </si>
  <si>
    <t>Kevin Guerrero</t>
  </si>
  <si>
    <t>Laura Leon</t>
  </si>
  <si>
    <t>James Henson</t>
  </si>
  <si>
    <t>Robin Goodman</t>
  </si>
  <si>
    <t>Crystal Roberts</t>
  </si>
  <si>
    <t>Charlotte Shaw</t>
  </si>
  <si>
    <t>Thomas Garcia</t>
  </si>
  <si>
    <t>Colleen Hendricks</t>
  </si>
  <si>
    <t>Jamie Norris</t>
  </si>
  <si>
    <t>Adam Sullivan</t>
  </si>
  <si>
    <t>Luis Vaughn</t>
  </si>
  <si>
    <t>Stephanie Johnson</t>
  </si>
  <si>
    <t>Barbara Woodward</t>
  </si>
  <si>
    <t>Beverly Gray</t>
  </si>
  <si>
    <t>Brandy Miller</t>
  </si>
  <si>
    <t>Melissa Miles</t>
  </si>
  <si>
    <t>Emily Carey</t>
  </si>
  <si>
    <t>Tammy Quinn</t>
  </si>
  <si>
    <t>Brian Johnson</t>
  </si>
  <si>
    <t>Ruth Martin</t>
  </si>
  <si>
    <t>Felicia Vasquez</t>
  </si>
  <si>
    <t>Kristin King</t>
  </si>
  <si>
    <t>Ms. Kayla Grant</t>
  </si>
  <si>
    <t>Stephanie Lee</t>
  </si>
  <si>
    <t>Christina Anderson</t>
  </si>
  <si>
    <t>Debra Jones</t>
  </si>
  <si>
    <t>John Mckenzie</t>
  </si>
  <si>
    <t>Sara Reese</t>
  </si>
  <si>
    <t>Jeffrey Torres</t>
  </si>
  <si>
    <t>James Lopez</t>
  </si>
  <si>
    <t>Brandon Daniels</t>
  </si>
  <si>
    <t>Lee Owen</t>
  </si>
  <si>
    <t>Autumn Garcia</t>
  </si>
  <si>
    <t>Scott Castro</t>
  </si>
  <si>
    <t>Connie Warren</t>
  </si>
  <si>
    <t>Theresa Lee</t>
  </si>
  <si>
    <t>Lisa Brooks</t>
  </si>
  <si>
    <t>Karina Jackson</t>
  </si>
  <si>
    <t>Lauren Miller</t>
  </si>
  <si>
    <t>Becky Vazquez</t>
  </si>
  <si>
    <t>Timothy Turner</t>
  </si>
  <si>
    <t>James Johnson</t>
  </si>
  <si>
    <t>Patrick Tate</t>
  </si>
  <si>
    <t>Barbara Owen</t>
  </si>
  <si>
    <t>Timothy Miller</t>
  </si>
  <si>
    <t>Marcus Frank</t>
  </si>
  <si>
    <t>Mary Freeman</t>
  </si>
  <si>
    <t>Jonathan Frederick</t>
  </si>
  <si>
    <t>Michelle Farrell</t>
  </si>
  <si>
    <t>Dr. David Thompson DVM</t>
  </si>
  <si>
    <t>Dakota Gardner</t>
  </si>
  <si>
    <t>Ralph Powell</t>
  </si>
  <si>
    <t>Adam Gilbert</t>
  </si>
  <si>
    <t>Zachary Miller</t>
  </si>
  <si>
    <t>Mrs. Jamie Morales</t>
  </si>
  <si>
    <t>Sandra Wilson</t>
  </si>
  <si>
    <t>Rhonda Glover</t>
  </si>
  <si>
    <t>Courtney Mcdonald</t>
  </si>
  <si>
    <t>Randall Snow</t>
  </si>
  <si>
    <t>Joseph Pearson</t>
  </si>
  <si>
    <t>Roy Williams</t>
  </si>
  <si>
    <t>Olivia Foley</t>
  </si>
  <si>
    <t>Dr. Rodney Kelley</t>
  </si>
  <si>
    <t>Michael Baker</t>
  </si>
  <si>
    <t>Jennifer Black</t>
  </si>
  <si>
    <t>Tami Shaw</t>
  </si>
  <si>
    <t>Steven Smith</t>
  </si>
  <si>
    <t>Derek Adams</t>
  </si>
  <si>
    <t>Ian Lamb</t>
  </si>
  <si>
    <t>Pamela Tucker</t>
  </si>
  <si>
    <t>Scott Smith</t>
  </si>
  <si>
    <t>Jason Mckenzie</t>
  </si>
  <si>
    <t>Jody Griffin</t>
  </si>
  <si>
    <t>Sergio Burton</t>
  </si>
  <si>
    <t>Stephanie Gomez DDS</t>
  </si>
  <si>
    <t>William Patel</t>
  </si>
  <si>
    <t>Natalie Wilson</t>
  </si>
  <si>
    <t>Emily Fields</t>
  </si>
  <si>
    <t>Sarah Crawford</t>
  </si>
  <si>
    <t>Jessica Randall</t>
  </si>
  <si>
    <t>Jamie Jacobson</t>
  </si>
  <si>
    <t>Kevin Gross</t>
  </si>
  <si>
    <t>Natalie Johnson</t>
  </si>
  <si>
    <t>Olivia Hudson</t>
  </si>
  <si>
    <t>Erin Baker</t>
  </si>
  <si>
    <t>Rebecca Jackson</t>
  </si>
  <si>
    <t>Dr. Lee Robinson</t>
  </si>
  <si>
    <t>Collin Moore</t>
  </si>
  <si>
    <t>Eric Sherman</t>
  </si>
  <si>
    <t>Abigail Coleman</t>
  </si>
  <si>
    <t>Paul Davis</t>
  </si>
  <si>
    <t>Carla Spencer</t>
  </si>
  <si>
    <t>Ashley Stephens</t>
  </si>
  <si>
    <t>Grant Price</t>
  </si>
  <si>
    <t>Miss Ashley Lawson</t>
  </si>
  <si>
    <t>Kara Mcclure</t>
  </si>
  <si>
    <t>Robin Robinson</t>
  </si>
  <si>
    <t>Brittney Rose</t>
  </si>
  <si>
    <t>Henry Callahan</t>
  </si>
  <si>
    <t>David Evans</t>
  </si>
  <si>
    <t>Samantha Stevens</t>
  </si>
  <si>
    <t>Jeffrey Simpson</t>
  </si>
  <si>
    <t>Margaret Burke</t>
  </si>
  <si>
    <t>Alexander Green</t>
  </si>
  <si>
    <t>Kathleen Carrillo</t>
  </si>
  <si>
    <t>Norma Jenkins</t>
  </si>
  <si>
    <t>Kyle Ortiz</t>
  </si>
  <si>
    <t>Dorothy Harvey</t>
  </si>
  <si>
    <t>Rodney Ray</t>
  </si>
  <si>
    <t>Christopher Spears</t>
  </si>
  <si>
    <t>Karl Best</t>
  </si>
  <si>
    <t>Rachel Brown</t>
  </si>
  <si>
    <t>John Mitchell</t>
  </si>
  <si>
    <t>Anna Johnson</t>
  </si>
  <si>
    <t>Steven Sparks</t>
  </si>
  <si>
    <t>Jessica King</t>
  </si>
  <si>
    <t>Nancy Blackwell</t>
  </si>
  <si>
    <t>Ryan Ruiz</t>
  </si>
  <si>
    <t>Walter Steele</t>
  </si>
  <si>
    <t>Cynthia Hayden</t>
  </si>
  <si>
    <t>Robert Newman</t>
  </si>
  <si>
    <t>Jamie Nelson</t>
  </si>
  <si>
    <t>Rachel Martinez</t>
  </si>
  <si>
    <t>Lisa Mills</t>
  </si>
  <si>
    <t>Stephanie Bell</t>
  </si>
  <si>
    <t>Cory Taylor</t>
  </si>
  <si>
    <t>Natalie Moss</t>
  </si>
  <si>
    <t>Andrea Jacobs</t>
  </si>
  <si>
    <t>Karen Morgan</t>
  </si>
  <si>
    <t>Amy Taylor</t>
  </si>
  <si>
    <t>Laura Collins</t>
  </si>
  <si>
    <t>Joyce Hill</t>
  </si>
  <si>
    <t>Brian Kirby</t>
  </si>
  <si>
    <t>Kerry Nelson</t>
  </si>
  <si>
    <t>Sandra Richards</t>
  </si>
  <si>
    <t>Bruce Miller</t>
  </si>
  <si>
    <t>Danny Green</t>
  </si>
  <si>
    <t>Jermaine Peck</t>
  </si>
  <si>
    <t>Seth Martin</t>
  </si>
  <si>
    <t>Jeff Davidson</t>
  </si>
  <si>
    <t>Timothy Dominguez</t>
  </si>
  <si>
    <t>Brett Johnston</t>
  </si>
  <si>
    <t>Rachel Willis</t>
  </si>
  <si>
    <t>Marcus Thompson</t>
  </si>
  <si>
    <t>Sophia Scott</t>
  </si>
  <si>
    <t>Sandra Sosa</t>
  </si>
  <si>
    <t>Christopher Hart</t>
  </si>
  <si>
    <t>Laura Smith</t>
  </si>
  <si>
    <t>John Jackson</t>
  </si>
  <si>
    <t>James Lynn</t>
  </si>
  <si>
    <t>Brandon Reilly MD</t>
  </si>
  <si>
    <t>Jeffrey Charles</t>
  </si>
  <si>
    <t>Zachary Jones</t>
  </si>
  <si>
    <t>Emma Smith</t>
  </si>
  <si>
    <t>Wanda Leon</t>
  </si>
  <si>
    <t>Lance Smith</t>
  </si>
  <si>
    <t>Jeffrey Stephenson</t>
  </si>
  <si>
    <t>Joseph Nielsen</t>
  </si>
  <si>
    <t>Ann King</t>
  </si>
  <si>
    <t>Brian Nguyen</t>
  </si>
  <si>
    <t>Richard Richards</t>
  </si>
  <si>
    <t>Caleb Stewart</t>
  </si>
  <si>
    <t>Desiree Moore</t>
  </si>
  <si>
    <t>Daniel Santiago</t>
  </si>
  <si>
    <t>Teresa Phillips</t>
  </si>
  <si>
    <t>Christopher Vazquez</t>
  </si>
  <si>
    <t>Brandon Martin</t>
  </si>
  <si>
    <t>Sara Smith</t>
  </si>
  <si>
    <t>Nicole Rodriguez</t>
  </si>
  <si>
    <t>William Anderson</t>
  </si>
  <si>
    <t>Elizabeth Gould</t>
  </si>
  <si>
    <t>Kimberly Evans</t>
  </si>
  <si>
    <t>Elizabeth Pearson</t>
  </si>
  <si>
    <t>Kaitlyn Hernandez</t>
  </si>
  <si>
    <t>Timothy Rodriguez</t>
  </si>
  <si>
    <t>Wendy Price</t>
  </si>
  <si>
    <t>Randall Welch</t>
  </si>
  <si>
    <t>Christopher Mckinney</t>
  </si>
  <si>
    <t>Michelle Hart</t>
  </si>
  <si>
    <t>Joshua Hardy</t>
  </si>
  <si>
    <t>Jonathan Ortiz</t>
  </si>
  <si>
    <t>Ralph Durham</t>
  </si>
  <si>
    <t>Sarah Wu</t>
  </si>
  <si>
    <t>Nicholas Black</t>
  </si>
  <si>
    <t>Beth Thompson</t>
  </si>
  <si>
    <t>Francisco Casey</t>
  </si>
  <si>
    <t>Priscilla Gibbs</t>
  </si>
  <si>
    <t>Meredith Turner</t>
  </si>
  <si>
    <t>Tamara Arnold</t>
  </si>
  <si>
    <t>Samuel Harris</t>
  </si>
  <si>
    <t>Devin Robinson</t>
  </si>
  <si>
    <t>William Smith</t>
  </si>
  <si>
    <t>Kayla Patel</t>
  </si>
  <si>
    <t>Richard Hartman</t>
  </si>
  <si>
    <t>Rachel Wagner</t>
  </si>
  <si>
    <t>Travis Davis</t>
  </si>
  <si>
    <t>Adam Odom</t>
  </si>
  <si>
    <t>Scott Rios</t>
  </si>
  <si>
    <t>Christian Swanson</t>
  </si>
  <si>
    <t>Destiny Garrett</t>
  </si>
  <si>
    <t>Loretta Jones</t>
  </si>
  <si>
    <t>Jason Horne</t>
  </si>
  <si>
    <t>Dr. Ryan Barron</t>
  </si>
  <si>
    <t>Amy Henson</t>
  </si>
  <si>
    <t>Jason Smith</t>
  </si>
  <si>
    <t>Andrew Meza</t>
  </si>
  <si>
    <t>James Hodge</t>
  </si>
  <si>
    <t>Mary Wolf</t>
  </si>
  <si>
    <t>Nancy Moody</t>
  </si>
  <si>
    <t>Cynthia Shaw</t>
  </si>
  <si>
    <t>Donna Watson</t>
  </si>
  <si>
    <t>Molly Adams</t>
  </si>
  <si>
    <t>Brittney Chen</t>
  </si>
  <si>
    <t>Jennifer Torres</t>
  </si>
  <si>
    <t>Michael Wallace</t>
  </si>
  <si>
    <t>Kevin Allen</t>
  </si>
  <si>
    <t>Ashley Ellis</t>
  </si>
  <si>
    <t>Lisa Smith</t>
  </si>
  <si>
    <t>Amanda Berry MD</t>
  </si>
  <si>
    <t>Yolanda Schneider</t>
  </si>
  <si>
    <t>Richard Smith</t>
  </si>
  <si>
    <t>Amy Hooper</t>
  </si>
  <si>
    <t>Brandon Copeland</t>
  </si>
  <si>
    <t>Henry Wade</t>
  </si>
  <si>
    <t>Rachel Bridges</t>
  </si>
  <si>
    <t>Jeffrey King</t>
  </si>
  <si>
    <t>Thomas Jones</t>
  </si>
  <si>
    <t>Jennifer Spencer MD</t>
  </si>
  <si>
    <t>Alicia Miller</t>
  </si>
  <si>
    <t>Alicia Rowe</t>
  </si>
  <si>
    <t>Wendy Sherman</t>
  </si>
  <si>
    <t>Brian Lopez</t>
  </si>
  <si>
    <t>Jonathan Rojas</t>
  </si>
  <si>
    <t>Don Lane</t>
  </si>
  <si>
    <t>Shane Chang</t>
  </si>
  <si>
    <t>Kimberly Farmer</t>
  </si>
  <si>
    <t>Melissa Conner</t>
  </si>
  <si>
    <t>Deborah Long</t>
  </si>
  <si>
    <t>Paul Brown</t>
  </si>
  <si>
    <t>George Strong</t>
  </si>
  <si>
    <t>William Sampson</t>
  </si>
  <si>
    <t>Christian Rodriguez</t>
  </si>
  <si>
    <t>Anthony Ali</t>
  </si>
  <si>
    <t>Savannah Gonzalez</t>
  </si>
  <si>
    <t>Drew Fowler</t>
  </si>
  <si>
    <t>Scott Todd</t>
  </si>
  <si>
    <t>John Lowery</t>
  </si>
  <si>
    <t>Peter Fischer</t>
  </si>
  <si>
    <t>Brianna Bailey</t>
  </si>
  <si>
    <t>Brian Cooper</t>
  </si>
  <si>
    <t>Blake Owens</t>
  </si>
  <si>
    <t>Richard Reynolds</t>
  </si>
  <si>
    <t>Brittany Matthews</t>
  </si>
  <si>
    <t>Joe Reyes</t>
  </si>
  <si>
    <t>Gregory Rodriguez</t>
  </si>
  <si>
    <t>Jennifer Burton</t>
  </si>
  <si>
    <t>Ashley Diaz DDS</t>
  </si>
  <si>
    <t>George Maldonado</t>
  </si>
  <si>
    <t>Sheri Taylor</t>
  </si>
  <si>
    <t>Peter Jones</t>
  </si>
  <si>
    <t>Julia Hawkins</t>
  </si>
  <si>
    <t>William Hunter</t>
  </si>
  <si>
    <t>Allison Valenzuela</t>
  </si>
  <si>
    <t>Phillip Johnson</t>
  </si>
  <si>
    <t>Adrian Greene</t>
  </si>
  <si>
    <t>Dylan Cisneros</t>
  </si>
  <si>
    <t>Kevin Cooper</t>
  </si>
  <si>
    <t>Sabrina Rogers</t>
  </si>
  <si>
    <t>Diane Brown MD</t>
  </si>
  <si>
    <t>Preston Palmer</t>
  </si>
  <si>
    <t>Andrea Melton</t>
  </si>
  <si>
    <t>Bradley Jenkins</t>
  </si>
  <si>
    <t>Michele White</t>
  </si>
  <si>
    <t>Shane Scott</t>
  </si>
  <si>
    <t>Larry Dean</t>
  </si>
  <si>
    <t>Nancy Gregory</t>
  </si>
  <si>
    <t>Edward Powell</t>
  </si>
  <si>
    <t>Jamie Russo</t>
  </si>
  <si>
    <t>Emma Wheeler</t>
  </si>
  <si>
    <t>Colleen Nguyen</t>
  </si>
  <si>
    <t>Rebekah Carrillo</t>
  </si>
  <si>
    <t>David Hale</t>
  </si>
  <si>
    <t>Janet Velez</t>
  </si>
  <si>
    <t>Melissa Brooks</t>
  </si>
  <si>
    <t>Christina Summers</t>
  </si>
  <si>
    <t>Rhonda Mercado</t>
  </si>
  <si>
    <t>Douglas Coffey</t>
  </si>
  <si>
    <t>Kari Wright MD</t>
  </si>
  <si>
    <t>Jason Fox</t>
  </si>
  <si>
    <t>Craig Estrada</t>
  </si>
  <si>
    <t>Dawn Weaver</t>
  </si>
  <si>
    <t>Melinda Harris</t>
  </si>
  <si>
    <t>Carlos Garner</t>
  </si>
  <si>
    <t>Amy Adams</t>
  </si>
  <si>
    <t>Heather Baker</t>
  </si>
  <si>
    <t>Jaime Tran</t>
  </si>
  <si>
    <t>Erika Perez</t>
  </si>
  <si>
    <t>Michael Mcdaniel</t>
  </si>
  <si>
    <t>Alicia Anderson</t>
  </si>
  <si>
    <t>Melissa Miller</t>
  </si>
  <si>
    <t>Heather Lewis</t>
  </si>
  <si>
    <t>Angel Wilson</t>
  </si>
  <si>
    <t>Terry Schmidt</t>
  </si>
  <si>
    <t>Timothy Fisher</t>
  </si>
  <si>
    <t>Cindy Hobbs</t>
  </si>
  <si>
    <t>Carlos Sanford</t>
  </si>
  <si>
    <t>Stephanie Schmidt</t>
  </si>
  <si>
    <t>Mallory Shah</t>
  </si>
  <si>
    <t>Kim Lang</t>
  </si>
  <si>
    <t>Catherine Castillo</t>
  </si>
  <si>
    <t>Aaron Wilson</t>
  </si>
  <si>
    <t>Thomas Hernandez</t>
  </si>
  <si>
    <t>John Garcia</t>
  </si>
  <si>
    <t>Melvin Morrow</t>
  </si>
  <si>
    <t>Tracy Elliott</t>
  </si>
  <si>
    <t>Jessica Bruce</t>
  </si>
  <si>
    <t>Cindy Holmes</t>
  </si>
  <si>
    <t>Tiffany Buckley</t>
  </si>
  <si>
    <t>Alicia Hall</t>
  </si>
  <si>
    <t>Katherine Castaneda</t>
  </si>
  <si>
    <t>Hayden Huffman</t>
  </si>
  <si>
    <t>Shannon Jenkins</t>
  </si>
  <si>
    <t>Michael Bush</t>
  </si>
  <si>
    <t>Amy Brown</t>
  </si>
  <si>
    <t>Tiffany Hill</t>
  </si>
  <si>
    <t>Dustin Moore</t>
  </si>
  <si>
    <t>Christina Pena</t>
  </si>
  <si>
    <t>Lauren Jefferson</t>
  </si>
  <si>
    <t>Katherine Boyle</t>
  </si>
  <si>
    <t>Gregory Pruitt</t>
  </si>
  <si>
    <t>George White</t>
  </si>
  <si>
    <t>Miranda Collins</t>
  </si>
  <si>
    <t>Heidi Barber</t>
  </si>
  <si>
    <t>Tonya Doyle</t>
  </si>
  <si>
    <t>Michael Shea</t>
  </si>
  <si>
    <t>Jason Cohen</t>
  </si>
  <si>
    <t>Rebecca Campbell DDS</t>
  </si>
  <si>
    <t>Benjamin Conley</t>
  </si>
  <si>
    <t>Heidi Perez</t>
  </si>
  <si>
    <t>Alexis Garcia</t>
  </si>
  <si>
    <t>Megan Hendricks</t>
  </si>
  <si>
    <t>Kevin Davis</t>
  </si>
  <si>
    <t>Dana Jones</t>
  </si>
  <si>
    <t>Isaac Morgan</t>
  </si>
  <si>
    <t>Julie Brown</t>
  </si>
  <si>
    <t>Peter Bautista</t>
  </si>
  <si>
    <t>Micheal Gray</t>
  </si>
  <si>
    <t>Sharon Lam</t>
  </si>
  <si>
    <t>Mary Kelly</t>
  </si>
  <si>
    <t>Douglas Snyder</t>
  </si>
  <si>
    <t>Ricky Burgess</t>
  </si>
  <si>
    <t>John White</t>
  </si>
  <si>
    <t>Misty Kim</t>
  </si>
  <si>
    <t>Stephen Cortez</t>
  </si>
  <si>
    <t>Katherine Kemp</t>
  </si>
  <si>
    <t>Mr. William Bradley</t>
  </si>
  <si>
    <t>Deborah Carpenter</t>
  </si>
  <si>
    <t>Dennis Phillips</t>
  </si>
  <si>
    <t>Jerry Lawson</t>
  </si>
  <si>
    <t>Elizabeth Hatfield</t>
  </si>
  <si>
    <t>Crystal Gutierrez</t>
  </si>
  <si>
    <t>George Shannon</t>
  </si>
  <si>
    <t>Shawn Smith</t>
  </si>
  <si>
    <t>Gary Wells</t>
  </si>
  <si>
    <t>David Griffin</t>
  </si>
  <si>
    <t>Victoria Burton DDS</t>
  </si>
  <si>
    <t>Keith Williams</t>
  </si>
  <si>
    <t>Misty Schmidt</t>
  </si>
  <si>
    <t>Anthony Cook</t>
  </si>
  <si>
    <t>Mark Montes</t>
  </si>
  <si>
    <t>Mark Chan</t>
  </si>
  <si>
    <t>Christopher Mccoy</t>
  </si>
  <si>
    <t>Aaron Lucero</t>
  </si>
  <si>
    <t>Patrick Williams</t>
  </si>
  <si>
    <t>Jacob Sparks</t>
  </si>
  <si>
    <t>Catherine Robinson</t>
  </si>
  <si>
    <t>Lindsey Petersen</t>
  </si>
  <si>
    <t>Christina Evans</t>
  </si>
  <si>
    <t>James Morrison</t>
  </si>
  <si>
    <t>Michelle Jensen</t>
  </si>
  <si>
    <t>Melanie Meyer</t>
  </si>
  <si>
    <t>Nicole Green</t>
  </si>
  <si>
    <t>Luis Jackson</t>
  </si>
  <si>
    <t>Ashley Jennings</t>
  </si>
  <si>
    <t>Nathan Clarke</t>
  </si>
  <si>
    <t>Antonio Newton</t>
  </si>
  <si>
    <t>John Payne</t>
  </si>
  <si>
    <t>Ryan Lee</t>
  </si>
  <si>
    <t>Kelly Fowler</t>
  </si>
  <si>
    <t>Julie Avila</t>
  </si>
  <si>
    <t>Mark Walsh</t>
  </si>
  <si>
    <t>Mr. William Juarez</t>
  </si>
  <si>
    <t>Sean Young</t>
  </si>
  <si>
    <t>Samantha Hill</t>
  </si>
  <si>
    <t>Christy Parks</t>
  </si>
  <si>
    <t>Jennifer Bradford</t>
  </si>
  <si>
    <t>Zachary Nelson</t>
  </si>
  <si>
    <t>Mr. Robert Holmes</t>
  </si>
  <si>
    <t>Mary Lang</t>
  </si>
  <si>
    <t>Matthew Gibbs</t>
  </si>
  <si>
    <t>Adam Perez</t>
  </si>
  <si>
    <t>Angela Irwin</t>
  </si>
  <si>
    <t>Melinda Neal</t>
  </si>
  <si>
    <t>Lisa Reyes</t>
  </si>
  <si>
    <t>Tammy Mitchell</t>
  </si>
  <si>
    <t>William Moon</t>
  </si>
  <si>
    <t>Rhonda Jackson</t>
  </si>
  <si>
    <t>Brett Hoover</t>
  </si>
  <si>
    <t>Kimberly Edwards</t>
  </si>
  <si>
    <t>Emily Turner</t>
  </si>
  <si>
    <t>David Duarte</t>
  </si>
  <si>
    <t>Michelle Fuentes</t>
  </si>
  <si>
    <t>Trevor Pennington</t>
  </si>
  <si>
    <t>Emily Jensen</t>
  </si>
  <si>
    <t>Sarah Olson</t>
  </si>
  <si>
    <t>Haley Taylor DVM</t>
  </si>
  <si>
    <t>Vanessa Meyers</t>
  </si>
  <si>
    <t>Lisa Holt</t>
  </si>
  <si>
    <t>Kendra Martin</t>
  </si>
  <si>
    <t>Colleen Anderson</t>
  </si>
  <si>
    <t>Sherry Higgins</t>
  </si>
  <si>
    <t>Steven Lewis</t>
  </si>
  <si>
    <t>Richard Wallace</t>
  </si>
  <si>
    <t>Jason Ferguson</t>
  </si>
  <si>
    <t>Jasmine Mills</t>
  </si>
  <si>
    <t>Eric Roberts</t>
  </si>
  <si>
    <t>Susan Gordon</t>
  </si>
  <si>
    <t>Seth Ramirez</t>
  </si>
  <si>
    <t>Dawn Oconnell</t>
  </si>
  <si>
    <t>Robert Boyer</t>
  </si>
  <si>
    <t>Ryan Day</t>
  </si>
  <si>
    <t>Alexander Rodriguez</t>
  </si>
  <si>
    <t>Stephanie Rojas</t>
  </si>
  <si>
    <t>Denise Anderson</t>
  </si>
  <si>
    <t>Louis Smith</t>
  </si>
  <si>
    <t>Michael Price</t>
  </si>
  <si>
    <t>Gregory Sanchez</t>
  </si>
  <si>
    <t>Emily Shaw</t>
  </si>
  <si>
    <t>Jamie Price</t>
  </si>
  <si>
    <t>Brandon Arnold</t>
  </si>
  <si>
    <t>Joshua Crane</t>
  </si>
  <si>
    <t>Robert Rodgers</t>
  </si>
  <si>
    <t>Jocelyn Hamilton</t>
  </si>
  <si>
    <t>Jonathon Anderson</t>
  </si>
  <si>
    <t>Walter Davis</t>
  </si>
  <si>
    <t>Kelsey Collins</t>
  </si>
  <si>
    <t>Hannah Taylor</t>
  </si>
  <si>
    <t>Andrea Vaughn</t>
  </si>
  <si>
    <t>Aaron Alexander</t>
  </si>
  <si>
    <t>Anthony Phillips</t>
  </si>
  <si>
    <t>Eric Herring</t>
  </si>
  <si>
    <t>Susan Black</t>
  </si>
  <si>
    <t>Linda Mcclure</t>
  </si>
  <si>
    <t>Tracy Cox</t>
  </si>
  <si>
    <t>Joy Cox</t>
  </si>
  <si>
    <t>Cindy Martin</t>
  </si>
  <si>
    <t>Danielle Taylor</t>
  </si>
  <si>
    <t>Daniel Bass</t>
  </si>
  <si>
    <t>Kayla Pena</t>
  </si>
  <si>
    <t>Jeffrey Murray</t>
  </si>
  <si>
    <t>Joshua Schmitt</t>
  </si>
  <si>
    <t>Savannah Cooke</t>
  </si>
  <si>
    <t>Juan Dean</t>
  </si>
  <si>
    <t>Michele Rodriguez</t>
  </si>
  <si>
    <t>Tina Harris</t>
  </si>
  <si>
    <t>Cynthia Molina</t>
  </si>
  <si>
    <t>Jessica Acosta</t>
  </si>
  <si>
    <t>Kristen Cervantes</t>
  </si>
  <si>
    <t>Karen Berger</t>
  </si>
  <si>
    <t>Steven Odonnell</t>
  </si>
  <si>
    <t>Emily Fisher</t>
  </si>
  <si>
    <t>Brandon Mclaughlin</t>
  </si>
  <si>
    <t>Edward Kelley</t>
  </si>
  <si>
    <t>Sharon Adkins</t>
  </si>
  <si>
    <t>Andrew Boyd</t>
  </si>
  <si>
    <t>Robert Thompson</t>
  </si>
  <si>
    <t>James Watson</t>
  </si>
  <si>
    <t>Sheila Tucker</t>
  </si>
  <si>
    <t>Melanie Mooney</t>
  </si>
  <si>
    <t>Jerome Bowman</t>
  </si>
  <si>
    <t>Amy Calhoun</t>
  </si>
  <si>
    <t>Eric Coleman</t>
  </si>
  <si>
    <t>John Bell</t>
  </si>
  <si>
    <t>Charles Jones</t>
  </si>
  <si>
    <t>Charles Roman</t>
  </si>
  <si>
    <t>Pamela Martin</t>
  </si>
  <si>
    <t>Edwin Cobb</t>
  </si>
  <si>
    <t>Jamie Edwards</t>
  </si>
  <si>
    <t>Molly Lyons</t>
  </si>
  <si>
    <t>Timothy Brown</t>
  </si>
  <si>
    <t>Alexis Dean DVM</t>
  </si>
  <si>
    <t>Kathryn Velazquez</t>
  </si>
  <si>
    <t>Christopher Wade</t>
  </si>
  <si>
    <t>Paul Cabrera</t>
  </si>
  <si>
    <t>Alexis Phillips</t>
  </si>
  <si>
    <t>Pamela Robinson</t>
  </si>
  <si>
    <t>Dr. Sherry Jones MD</t>
  </si>
  <si>
    <t>Trevor Schroeder</t>
  </si>
  <si>
    <t>Kristy Huang</t>
  </si>
  <si>
    <t>Jennifer Mathis</t>
  </si>
  <si>
    <t>Daisy Jones</t>
  </si>
  <si>
    <t>Andrew Leblanc</t>
  </si>
  <si>
    <t>Peggy Smith</t>
  </si>
  <si>
    <t>Kathy Reed</t>
  </si>
  <si>
    <t>Douglas Gentry</t>
  </si>
  <si>
    <t>Beth Johnson</t>
  </si>
  <si>
    <t>Juan Ford</t>
  </si>
  <si>
    <t>Timothy Ortiz</t>
  </si>
  <si>
    <t>Jessica Maldonado</t>
  </si>
  <si>
    <t>Suzanne Peterson</t>
  </si>
  <si>
    <t>Lisa Walker</t>
  </si>
  <si>
    <t>Rodney Nguyen</t>
  </si>
  <si>
    <t>Leslie Pena</t>
  </si>
  <si>
    <t>George Walker</t>
  </si>
  <si>
    <t>Ashley Adams</t>
  </si>
  <si>
    <t>Nicole Williams</t>
  </si>
  <si>
    <t>Curtis Owens</t>
  </si>
  <si>
    <t>Lisa Vasquez</t>
  </si>
  <si>
    <t>Charles Austin</t>
  </si>
  <si>
    <t>Timothy Buchanan</t>
  </si>
  <si>
    <t>Kevin Peters</t>
  </si>
  <si>
    <t>Glenn Jackson</t>
  </si>
  <si>
    <t>Steve Wood</t>
  </si>
  <si>
    <t>Wayne Gibson</t>
  </si>
  <si>
    <t>Hayley Harris</t>
  </si>
  <si>
    <t>Laurie Scott</t>
  </si>
  <si>
    <t>Kathryn Ryan</t>
  </si>
  <si>
    <t>Richard Castillo</t>
  </si>
  <si>
    <t>Jason Boyer</t>
  </si>
  <si>
    <t>Andrea Powell</t>
  </si>
  <si>
    <t>Franklin Bailey</t>
  </si>
  <si>
    <t>Whitney Williams</t>
  </si>
  <si>
    <t>Janet Taylor</t>
  </si>
  <si>
    <t>Lisa Murray</t>
  </si>
  <si>
    <t>Crystal Ball</t>
  </si>
  <si>
    <t>Ashley Robertson</t>
  </si>
  <si>
    <t>Angela Erickson</t>
  </si>
  <si>
    <t>Zachary King</t>
  </si>
  <si>
    <t>Jackson Lopez</t>
  </si>
  <si>
    <t>Lori Quinn</t>
  </si>
  <si>
    <t>Cathy Baker</t>
  </si>
  <si>
    <t>Amanda Whitehead</t>
  </si>
  <si>
    <t>Michael Henderson</t>
  </si>
  <si>
    <t>Willie Weaver</t>
  </si>
  <si>
    <t>Michelle Harding</t>
  </si>
  <si>
    <t>Vicki Mendoza</t>
  </si>
  <si>
    <t>Karen Mayer</t>
  </si>
  <si>
    <t>Holly Garza</t>
  </si>
  <si>
    <t>Alex Freeman</t>
  </si>
  <si>
    <t>Amanda Jordan</t>
  </si>
  <si>
    <t>Miguel Johnson</t>
  </si>
  <si>
    <t>Katie Underwood</t>
  </si>
  <si>
    <t>Jamie Lane</t>
  </si>
  <si>
    <t>Ashley Lewis</t>
  </si>
  <si>
    <t>Pamela Salazar</t>
  </si>
  <si>
    <t>John Howard</t>
  </si>
  <si>
    <t>Steven Brown DVM</t>
  </si>
  <si>
    <t>Jay Bradley</t>
  </si>
  <si>
    <t>Lori Landry</t>
  </si>
  <si>
    <t>Paul Garcia</t>
  </si>
  <si>
    <t>Jaclyn Colon</t>
  </si>
  <si>
    <t>Christopher Lambert</t>
  </si>
  <si>
    <t>Antonio Hobbs</t>
  </si>
  <si>
    <t>Catherine Collins</t>
  </si>
  <si>
    <t>Helen Martin</t>
  </si>
  <si>
    <t>Debra Williams</t>
  </si>
  <si>
    <t>Matthew Alexander</t>
  </si>
  <si>
    <t>Luis Austin</t>
  </si>
  <si>
    <t>Daniel Rosales</t>
  </si>
  <si>
    <t>Cynthia Stark</t>
  </si>
  <si>
    <t>Danielle Morales</t>
  </si>
  <si>
    <t>Louis James</t>
  </si>
  <si>
    <t>Emily Scott</t>
  </si>
  <si>
    <t>Mark Cross</t>
  </si>
  <si>
    <t>Brent Sanchez</t>
  </si>
  <si>
    <t>Robert Miller</t>
  </si>
  <si>
    <t>Carolyn Taylor</t>
  </si>
  <si>
    <t>Brooke Morgan</t>
  </si>
  <si>
    <t>Kristin Johnson</t>
  </si>
  <si>
    <t>Travis Butler</t>
  </si>
  <si>
    <t>Makayla Duke</t>
  </si>
  <si>
    <t>Andrea Hood</t>
  </si>
  <si>
    <t>Mary Wright</t>
  </si>
  <si>
    <t>Brent Mclaughlin</t>
  </si>
  <si>
    <t>Kathy Delacruz</t>
  </si>
  <si>
    <t>Franklin Mathews</t>
  </si>
  <si>
    <t>Christine Davis MD</t>
  </si>
  <si>
    <t>Kelly Huber</t>
  </si>
  <si>
    <t>Scott Lewis</t>
  </si>
  <si>
    <t>Elizabeth Williams</t>
  </si>
  <si>
    <t>Kimberly Wilson</t>
  </si>
  <si>
    <t>Emily Mendez</t>
  </si>
  <si>
    <t>Renee Gates DDS</t>
  </si>
  <si>
    <t>Christy Mendoza</t>
  </si>
  <si>
    <t>Ann Marquez</t>
  </si>
  <si>
    <t>George Morris</t>
  </si>
  <si>
    <t>Jay Brown</t>
  </si>
  <si>
    <t>Gregory Perkins</t>
  </si>
  <si>
    <t>Matthew Bridges</t>
  </si>
  <si>
    <t>Daniel Owens</t>
  </si>
  <si>
    <t>Chloe Hernandez</t>
  </si>
  <si>
    <t>John Frank</t>
  </si>
  <si>
    <t>Donna King</t>
  </si>
  <si>
    <t>Daniel Thomas</t>
  </si>
  <si>
    <t>Marissa Ramos</t>
  </si>
  <si>
    <t>Mark Mcclain</t>
  </si>
  <si>
    <t>Allison Logan</t>
  </si>
  <si>
    <t>Diane Arroyo</t>
  </si>
  <si>
    <t>Ellen Bishop</t>
  </si>
  <si>
    <t>Tyler Atkins</t>
  </si>
  <si>
    <t>Nicholas Scott</t>
  </si>
  <si>
    <t>Taylor Harrison</t>
  </si>
  <si>
    <t>Jonathan Anderson</t>
  </si>
  <si>
    <t>Shawn Brown</t>
  </si>
  <si>
    <t>Karen Matthews</t>
  </si>
  <si>
    <t>Tyler Burgess</t>
  </si>
  <si>
    <t>Jessica Wright</t>
  </si>
  <si>
    <t>Meredith Davis DVM</t>
  </si>
  <si>
    <t>John Hale</t>
  </si>
  <si>
    <t>Terri Garcia</t>
  </si>
  <si>
    <t>Mr. Louis Ramirez DDS</t>
  </si>
  <si>
    <t>Brianna Kelly</t>
  </si>
  <si>
    <t>James Wood</t>
  </si>
  <si>
    <t>Alexandra Best</t>
  </si>
  <si>
    <t>Melinda Brock</t>
  </si>
  <si>
    <t>Carlos Salinas</t>
  </si>
  <si>
    <t>Kelsey Parker</t>
  </si>
  <si>
    <t>Miss Teresa Jones</t>
  </si>
  <si>
    <t>Veronica Compton</t>
  </si>
  <si>
    <t>Scott Bray</t>
  </si>
  <si>
    <t>Samantha Carr</t>
  </si>
  <si>
    <t>Justin Dodson</t>
  </si>
  <si>
    <t>Gabriel Mckinney</t>
  </si>
  <si>
    <t>Kristy Cole</t>
  </si>
  <si>
    <t>Robert Reese</t>
  </si>
  <si>
    <t>Joel Ingram</t>
  </si>
  <si>
    <t>Erik Alexander</t>
  </si>
  <si>
    <t>Corey Solomon</t>
  </si>
  <si>
    <t>Amber Clark</t>
  </si>
  <si>
    <t>Daniel Henry</t>
  </si>
  <si>
    <t>Kelly Casey</t>
  </si>
  <si>
    <t>Scott Hill</t>
  </si>
  <si>
    <t>Terri Crosby</t>
  </si>
  <si>
    <t>Lisa Wallace</t>
  </si>
  <si>
    <t>John Evans</t>
  </si>
  <si>
    <t>George Osborn</t>
  </si>
  <si>
    <t>Jamie Robbins</t>
  </si>
  <si>
    <t>Michael Ruiz</t>
  </si>
  <si>
    <t>John Carrillo</t>
  </si>
  <si>
    <t>Christopher Cain</t>
  </si>
  <si>
    <t>Sherri Gardner</t>
  </si>
  <si>
    <t>Victoria Peck</t>
  </si>
  <si>
    <t>Veronica Walker</t>
  </si>
  <si>
    <t>Kenneth Nicholson</t>
  </si>
  <si>
    <t>Patricia White</t>
  </si>
  <si>
    <t>Laura Hubbard</t>
  </si>
  <si>
    <t>April Wood</t>
  </si>
  <si>
    <t>Bradley Maldonado</t>
  </si>
  <si>
    <t>Virginia Lane</t>
  </si>
  <si>
    <t>Linda Cole</t>
  </si>
  <si>
    <t>Keith Vargas</t>
  </si>
  <si>
    <t>Sarah Garcia</t>
  </si>
  <si>
    <t>Christopher Martin</t>
  </si>
  <si>
    <t>Lauren Thompson</t>
  </si>
  <si>
    <t>Jose Peterson</t>
  </si>
  <si>
    <t>William Williams</t>
  </si>
  <si>
    <t>Madison Conway</t>
  </si>
  <si>
    <t>Natalie Hernandez</t>
  </si>
  <si>
    <t>Bradley Carroll</t>
  </si>
  <si>
    <t>Jose Barber PhD</t>
  </si>
  <si>
    <t>Rick Aguirre</t>
  </si>
  <si>
    <t>Michelle Mendez</t>
  </si>
  <si>
    <t>Krista Molina</t>
  </si>
  <si>
    <t>April Leonard</t>
  </si>
  <si>
    <t>Kendra Rodriguez</t>
  </si>
  <si>
    <t>Kimberly Bell</t>
  </si>
  <si>
    <t>Daniel Gaines</t>
  </si>
  <si>
    <t>Luke Weaver</t>
  </si>
  <si>
    <t>Dr. Melissa Hernandez</t>
  </si>
  <si>
    <t>Nicholas Gibson</t>
  </si>
  <si>
    <t>Ivan Carlson</t>
  </si>
  <si>
    <t>Douglas Long</t>
  </si>
  <si>
    <t>Lisa Huffman</t>
  </si>
  <si>
    <t>Benjamin Fisher</t>
  </si>
  <si>
    <t>Brian Wallace</t>
  </si>
  <si>
    <t>Scott Pierce</t>
  </si>
  <si>
    <t>Robert Collins</t>
  </si>
  <si>
    <t>Bill Bowman</t>
  </si>
  <si>
    <t>Robert Carr</t>
  </si>
  <si>
    <t>Luis Turner</t>
  </si>
  <si>
    <t>Reginald Baker</t>
  </si>
  <si>
    <t>Kristina Miller</t>
  </si>
  <si>
    <t>Shannon Mason</t>
  </si>
  <si>
    <t>Elizabeth Brooks</t>
  </si>
  <si>
    <t>Allen Solis</t>
  </si>
  <si>
    <t>Anthony Preston</t>
  </si>
  <si>
    <t>Katie Rivera</t>
  </si>
  <si>
    <t>Nicholas Alexander</t>
  </si>
  <si>
    <t>Jessica Fritz</t>
  </si>
  <si>
    <t>Eric Lynch DDS</t>
  </si>
  <si>
    <t>Ms. Ariel Levine</t>
  </si>
  <si>
    <t>Eric Byrd</t>
  </si>
  <si>
    <t>Jesse Green</t>
  </si>
  <si>
    <t>Austin Lewis</t>
  </si>
  <si>
    <t>Mario Aguirre</t>
  </si>
  <si>
    <t>Patrick Horn</t>
  </si>
  <si>
    <t>John Mcmillan</t>
  </si>
  <si>
    <t>Jerry Johnson</t>
  </si>
  <si>
    <t>Rebecca Walton</t>
  </si>
  <si>
    <t>Shelley Hampton</t>
  </si>
  <si>
    <t>Craig Gonzalez</t>
  </si>
  <si>
    <t>April Gomez</t>
  </si>
  <si>
    <t>Kyle Walters</t>
  </si>
  <si>
    <t>Jacob Hall</t>
  </si>
  <si>
    <t>Kenneth Bennett</t>
  </si>
  <si>
    <t>William Hernandez</t>
  </si>
  <si>
    <t>Christopher Daugherty</t>
  </si>
  <si>
    <t>Katherine Pierce</t>
  </si>
  <si>
    <t>Jessica Moon</t>
  </si>
  <si>
    <t>Angela Young</t>
  </si>
  <si>
    <t>Ryan Nguyen</t>
  </si>
  <si>
    <t>Amanda Morales</t>
  </si>
  <si>
    <t>Preston Brown</t>
  </si>
  <si>
    <t>Martha Chavez</t>
  </si>
  <si>
    <t>Brandon White</t>
  </si>
  <si>
    <t>Jeffery Taylor</t>
  </si>
  <si>
    <t>Andrea Flores</t>
  </si>
  <si>
    <t>Debra Lee DVM</t>
  </si>
  <si>
    <t>Jerry Howell</t>
  </si>
  <si>
    <t>Jason Juarez</t>
  </si>
  <si>
    <t>Valerie Raymond</t>
  </si>
  <si>
    <t>Melissa Wyatt</t>
  </si>
  <si>
    <t>Ryan Romero</t>
  </si>
  <si>
    <t>Dustin Dunn</t>
  </si>
  <si>
    <t>Lisa Hammond</t>
  </si>
  <si>
    <t>Gabriel Pittman</t>
  </si>
  <si>
    <t>Phillip Sanders</t>
  </si>
  <si>
    <t>Ryan Martinez</t>
  </si>
  <si>
    <t>Jerry Branch</t>
  </si>
  <si>
    <t>John Hall</t>
  </si>
  <si>
    <t>Jerry Noble</t>
  </si>
  <si>
    <t>Nichole Mcpherson</t>
  </si>
  <si>
    <t>John Frazier</t>
  </si>
  <si>
    <t>William Young</t>
  </si>
  <si>
    <t>Ruth Ruiz</t>
  </si>
  <si>
    <t>Thomas Berg</t>
  </si>
  <si>
    <t>Yolanda Durham</t>
  </si>
  <si>
    <t>Robert Evans</t>
  </si>
  <si>
    <t>Kiara Harding</t>
  </si>
  <si>
    <t>Courtney Knapp</t>
  </si>
  <si>
    <t>Frederick Davis</t>
  </si>
  <si>
    <t>John Ellis</t>
  </si>
  <si>
    <t>Chase Sanders</t>
  </si>
  <si>
    <t>Kristin Miller</t>
  </si>
  <si>
    <t>Patricia Gross</t>
  </si>
  <si>
    <t>Harry Hood</t>
  </si>
  <si>
    <t>Ronald Wood</t>
  </si>
  <si>
    <t>Wendy Cooper</t>
  </si>
  <si>
    <t>Stephen Nelson</t>
  </si>
  <si>
    <t>Andres Mueller</t>
  </si>
  <si>
    <t>Russell Cooper</t>
  </si>
  <si>
    <t>Joshua Davis</t>
  </si>
  <si>
    <t>Jeffrey Thomas</t>
  </si>
  <si>
    <t>Heather Gray</t>
  </si>
  <si>
    <t>Matthew Meyer</t>
  </si>
  <si>
    <t>Caitlin Cuevas</t>
  </si>
  <si>
    <t>Debbie Kemp</t>
  </si>
  <si>
    <t>Joseph Parks</t>
  </si>
  <si>
    <t>Michael Carrillo</t>
  </si>
  <si>
    <t>Jason Diaz</t>
  </si>
  <si>
    <t>Deborah Aguilar</t>
  </si>
  <si>
    <t>Jared Palmer</t>
  </si>
  <si>
    <t>Jared Woodward</t>
  </si>
  <si>
    <t>Jaclyn Christensen</t>
  </si>
  <si>
    <t>Catherine Vargas MD</t>
  </si>
  <si>
    <t>Barbara Miller</t>
  </si>
  <si>
    <t>Jessica Salazar</t>
  </si>
  <si>
    <t>Mark Rogers</t>
  </si>
  <si>
    <t>Shawn Alvarado</t>
  </si>
  <si>
    <t>Lori Brown</t>
  </si>
  <si>
    <t>Angelica Fox</t>
  </si>
  <si>
    <t>Jeremy Wilcox</t>
  </si>
  <si>
    <t>Jaime Dillon</t>
  </si>
  <si>
    <t>Crystal Perkins</t>
  </si>
  <si>
    <t>Veronica Hunter</t>
  </si>
  <si>
    <t>Michele Wilcox</t>
  </si>
  <si>
    <t>Angela Allen</t>
  </si>
  <si>
    <t>Brandon May</t>
  </si>
  <si>
    <t>Ashley Anderson</t>
  </si>
  <si>
    <t>Adam Allen</t>
  </si>
  <si>
    <t>Sharon Knapp</t>
  </si>
  <si>
    <t>Brandon Ashley</t>
  </si>
  <si>
    <t>Erin Alvarez</t>
  </si>
  <si>
    <t>James Bryant</t>
  </si>
  <si>
    <t>Becky Moreno</t>
  </si>
  <si>
    <t>Daniel Strong</t>
  </si>
  <si>
    <t>Dr. Reginald Haley DVM</t>
  </si>
  <si>
    <t>Brad Medina</t>
  </si>
  <si>
    <t>Jeffrey Mckinney</t>
  </si>
  <si>
    <t>Sandy Yang</t>
  </si>
  <si>
    <t>James Hall</t>
  </si>
  <si>
    <t>Lisa Howard</t>
  </si>
  <si>
    <t>Kevin Joyce</t>
  </si>
  <si>
    <t>Tracy Cole</t>
  </si>
  <si>
    <t>Vanessa Wood</t>
  </si>
  <si>
    <t>Miss Megan Galvan</t>
  </si>
  <si>
    <t>Jeffrey Duarte</t>
  </si>
  <si>
    <t>Kevin Patel</t>
  </si>
  <si>
    <t>Timothy Walsh</t>
  </si>
  <si>
    <t>Crystal Thompson</t>
  </si>
  <si>
    <t>Kristine Baker</t>
  </si>
  <si>
    <t>Timothy Frey</t>
  </si>
  <si>
    <t>Lorraine Nelson</t>
  </si>
  <si>
    <t>Marie Wu</t>
  </si>
  <si>
    <t>Nancy Abbott</t>
  </si>
  <si>
    <t>Mr. Shaun Collins</t>
  </si>
  <si>
    <t>Melissa Fisher</t>
  </si>
  <si>
    <t>Alexander Terry</t>
  </si>
  <si>
    <t>Jessica Williams</t>
  </si>
  <si>
    <t>Robert Lewis</t>
  </si>
  <si>
    <t>Theresa Wilson</t>
  </si>
  <si>
    <t>Jillian Garcia</t>
  </si>
  <si>
    <t>Stuart Hunt</t>
  </si>
  <si>
    <t>Stephanie Holder</t>
  </si>
  <si>
    <t>Angela Bush</t>
  </si>
  <si>
    <t>Jeremy Conrad</t>
  </si>
  <si>
    <t>David Berger</t>
  </si>
  <si>
    <t>Todd Martinez</t>
  </si>
  <si>
    <t>David Johnson</t>
  </si>
  <si>
    <t>Tiffany Dunn</t>
  </si>
  <si>
    <t>Robert Smith DVM</t>
  </si>
  <si>
    <t>Alicia Hoover</t>
  </si>
  <si>
    <t>Todd Brown</t>
  </si>
  <si>
    <t>Stanley Garcia</t>
  </si>
  <si>
    <t>Lisa Elliott</t>
  </si>
  <si>
    <t>Brian Sampson</t>
  </si>
  <si>
    <t>Tim Taylor</t>
  </si>
  <si>
    <t>Joel Young</t>
  </si>
  <si>
    <t>Lisa Huff</t>
  </si>
  <si>
    <t>Kimberly Adams</t>
  </si>
  <si>
    <t>Christopher Steele</t>
  </si>
  <si>
    <t>Sergio Powers</t>
  </si>
  <si>
    <t>Marcus Vasquez</t>
  </si>
  <si>
    <t>Nathan Jones</t>
  </si>
  <si>
    <t>Patricia Boyer</t>
  </si>
  <si>
    <t>Sarah Baker</t>
  </si>
  <si>
    <t>Joshua Park</t>
  </si>
  <si>
    <t>Peggy Allen</t>
  </si>
  <si>
    <t>Brianna Harris</t>
  </si>
  <si>
    <t>Melanie Marshall</t>
  </si>
  <si>
    <t>Antonio King</t>
  </si>
  <si>
    <t>Jonathan Marquez</t>
  </si>
  <si>
    <t>Vickie Soto</t>
  </si>
  <si>
    <t>Jose Sandoval</t>
  </si>
  <si>
    <t>Brandi Wells</t>
  </si>
  <si>
    <t>Anthony Phelps</t>
  </si>
  <si>
    <t>Andrew Sparks</t>
  </si>
  <si>
    <t>Hannah Watkins</t>
  </si>
  <si>
    <t>Sheena Burke</t>
  </si>
  <si>
    <t>Alicia Watts</t>
  </si>
  <si>
    <t>Carlos Liu</t>
  </si>
  <si>
    <t>Jamie Pierce</t>
  </si>
  <si>
    <t>Elizabeth Espinoza</t>
  </si>
  <si>
    <t>David Knapp</t>
  </si>
  <si>
    <t>Nicholas Keith</t>
  </si>
  <si>
    <t>Tony Medina</t>
  </si>
  <si>
    <t>Mandy Russell</t>
  </si>
  <si>
    <t>Gregory Werner</t>
  </si>
  <si>
    <t>Elizabeth Lawrence</t>
  </si>
  <si>
    <t>Michael Marshall</t>
  </si>
  <si>
    <t>Brandon Burton</t>
  </si>
  <si>
    <t>Dorothy Russell</t>
  </si>
  <si>
    <t>Sandy Jenkins</t>
  </si>
  <si>
    <t>Jordan Miranda</t>
  </si>
  <si>
    <t>Kenneth Edwards</t>
  </si>
  <si>
    <t>Mary Smith</t>
  </si>
  <si>
    <t>Ruben Lindsey</t>
  </si>
  <si>
    <t>Brandon Cole</t>
  </si>
  <si>
    <t>Katelyn Campbell</t>
  </si>
  <si>
    <t>Stephen Barber</t>
  </si>
  <si>
    <t>Richard Cruz MD</t>
  </si>
  <si>
    <t>Cody Miller Jr.</t>
  </si>
  <si>
    <t>Lindsey Howard</t>
  </si>
  <si>
    <t>Paul Owen</t>
  </si>
  <si>
    <t>Richard Wu</t>
  </si>
  <si>
    <t>John Hines</t>
  </si>
  <si>
    <t>Carrie Johnson</t>
  </si>
  <si>
    <t>Kristen Foster</t>
  </si>
  <si>
    <t>William Oliver</t>
  </si>
  <si>
    <t>Melanie Lewis</t>
  </si>
  <si>
    <t>David Weaver</t>
  </si>
  <si>
    <t>Brittany Davenport</t>
  </si>
  <si>
    <t>Elizabeth Martinez</t>
  </si>
  <si>
    <t>Stephanie Fuller</t>
  </si>
  <si>
    <t>Angela Flores</t>
  </si>
  <si>
    <t>Lisa Bartlett</t>
  </si>
  <si>
    <t>Donna Jones</t>
  </si>
  <si>
    <t>Mary Nelson</t>
  </si>
  <si>
    <t>Jennifer Mann</t>
  </si>
  <si>
    <t>Kimberly Mullins</t>
  </si>
  <si>
    <t>Tara Gibson</t>
  </si>
  <si>
    <t>Jesse Johnson</t>
  </si>
  <si>
    <t>Aimee Scott</t>
  </si>
  <si>
    <t>Anna Castro</t>
  </si>
  <si>
    <t>Kristen White</t>
  </si>
  <si>
    <t>Cynthia Mendoza</t>
  </si>
  <si>
    <t>Cynthia Gonzalez</t>
  </si>
  <si>
    <t>Stephanie Ward</t>
  </si>
  <si>
    <t>Erin Schultz</t>
  </si>
  <si>
    <t>James Flores</t>
  </si>
  <si>
    <t>Michael Murphy</t>
  </si>
  <si>
    <t>Seth Yates</t>
  </si>
  <si>
    <t>Randy Hale</t>
  </si>
  <si>
    <t>John Harmon</t>
  </si>
  <si>
    <t>Andrew Andrade</t>
  </si>
  <si>
    <t>Anthony Rowe</t>
  </si>
  <si>
    <t>Justin Butler</t>
  </si>
  <si>
    <t>Jeremiah Johnson</t>
  </si>
  <si>
    <t>Christopher Baker</t>
  </si>
  <si>
    <t>Nathaniel Thomas</t>
  </si>
  <si>
    <t>Sean Simmons DDS</t>
  </si>
  <si>
    <t>Alexander Fitzgerald</t>
  </si>
  <si>
    <t>Jennifer Gonzalez</t>
  </si>
  <si>
    <t>William Taylor</t>
  </si>
  <si>
    <t>Fernando Mosley</t>
  </si>
  <si>
    <t>Ricky Elliott</t>
  </si>
  <si>
    <t>Jared Williams</t>
  </si>
  <si>
    <t>Carlos Thompson</t>
  </si>
  <si>
    <t>Randy Thompson</t>
  </si>
  <si>
    <t>Perry Love</t>
  </si>
  <si>
    <t>Andre Walters</t>
  </si>
  <si>
    <t>Eric Perez</t>
  </si>
  <si>
    <t>Patricia Knapp</t>
  </si>
  <si>
    <t>Jody Lyons</t>
  </si>
  <si>
    <t>Matthew Gaines</t>
  </si>
  <si>
    <t>Colton Barry</t>
  </si>
  <si>
    <t>Jose Taylor</t>
  </si>
  <si>
    <t>Marilyn Turner</t>
  </si>
  <si>
    <t>Sharon Mcbride</t>
  </si>
  <si>
    <t>Antonio Hill</t>
  </si>
  <si>
    <t>Brian Lee</t>
  </si>
  <si>
    <t>Deanna Holland</t>
  </si>
  <si>
    <t>Timothy Blake</t>
  </si>
  <si>
    <t>Taylor Douglas</t>
  </si>
  <si>
    <t>Philip Holmes</t>
  </si>
  <si>
    <t>Tricia Wallace</t>
  </si>
  <si>
    <t>Casey Banks</t>
  </si>
  <si>
    <t>Tammy Thompson</t>
  </si>
  <si>
    <t>Isabel Sanchez</t>
  </si>
  <si>
    <t>Curtis Romero</t>
  </si>
  <si>
    <t>Desiree Mitchell</t>
  </si>
  <si>
    <t>Christopher Roberts</t>
  </si>
  <si>
    <t>Mark Evans</t>
  </si>
  <si>
    <t>Douglas Michael</t>
  </si>
  <si>
    <t>Lori Nelson</t>
  </si>
  <si>
    <t>Jerry Jackson</t>
  </si>
  <si>
    <t>Christopher Higgins</t>
  </si>
  <si>
    <t>Melissa Hoffman</t>
  </si>
  <si>
    <t>Darryl Mueller</t>
  </si>
  <si>
    <t>Taylor Calderon</t>
  </si>
  <si>
    <t>Jon Downs</t>
  </si>
  <si>
    <t>Tyler Lopez</t>
  </si>
  <si>
    <t>Katherine Johnson</t>
  </si>
  <si>
    <t>Amber Osborn</t>
  </si>
  <si>
    <t>Allen Ortega</t>
  </si>
  <si>
    <t>Roger Campbell</t>
  </si>
  <si>
    <t>Alexis Welch</t>
  </si>
  <si>
    <t>Jason Burton</t>
  </si>
  <si>
    <t>Brian Marshall</t>
  </si>
  <si>
    <t>Valerie Crawford</t>
  </si>
  <si>
    <t>Karen Thomas</t>
  </si>
  <si>
    <t>Natalie Savage</t>
  </si>
  <si>
    <t>Benjamin Johnson</t>
  </si>
  <si>
    <t>Teresa Williams</t>
  </si>
  <si>
    <t>Samantha Bell</t>
  </si>
  <si>
    <t>Jerry Patrick</t>
  </si>
  <si>
    <t>Rachel Campbell</t>
  </si>
  <si>
    <t>Maria Cobb</t>
  </si>
  <si>
    <t>Kenneth Miller</t>
  </si>
  <si>
    <t>Patricia Schwartz</t>
  </si>
  <si>
    <t>Robert Alvarado</t>
  </si>
  <si>
    <t>Joseph Parker</t>
  </si>
  <si>
    <t>Michael Kim</t>
  </si>
  <si>
    <t>Lauren Mayer</t>
  </si>
  <si>
    <t>Erin Parker</t>
  </si>
  <si>
    <t>Amy Rivas</t>
  </si>
  <si>
    <t>Whitney Allen</t>
  </si>
  <si>
    <t>Daniel Nicholson</t>
  </si>
  <si>
    <t>Michele Mcdonald</t>
  </si>
  <si>
    <t>Edward Coleman</t>
  </si>
  <si>
    <t>Douglas Kelly</t>
  </si>
  <si>
    <t>Thomas Garrison</t>
  </si>
  <si>
    <t>Erica Hansen</t>
  </si>
  <si>
    <t>Laura Kaiser</t>
  </si>
  <si>
    <t>Katie Terry</t>
  </si>
  <si>
    <t>Monica Barton</t>
  </si>
  <si>
    <t>Penny Vance</t>
  </si>
  <si>
    <t>Joanna Reed</t>
  </si>
  <si>
    <t>Toni Williams</t>
  </si>
  <si>
    <t>Katie Roberts</t>
  </si>
  <si>
    <t>Rebekah Garcia</t>
  </si>
  <si>
    <t>Jennifer Nguyen</t>
  </si>
  <si>
    <t>Jennifer Leon</t>
  </si>
  <si>
    <t>Karen Lucas</t>
  </si>
  <si>
    <t>Gregory English</t>
  </si>
  <si>
    <t>Catherine Smith</t>
  </si>
  <si>
    <t>Douglas Vasquez</t>
  </si>
  <si>
    <t>Mark Giles</t>
  </si>
  <si>
    <t>Renee Wagner MD</t>
  </si>
  <si>
    <t>Michael Phillips</t>
  </si>
  <si>
    <t>Mary Marshall</t>
  </si>
  <si>
    <t>Larry Gutierrez</t>
  </si>
  <si>
    <t>Jeremy Lin</t>
  </si>
  <si>
    <t>Rita Christensen</t>
  </si>
  <si>
    <t>Robert Knight</t>
  </si>
  <si>
    <t>Joe Gardner</t>
  </si>
  <si>
    <t>Nancy Ponce</t>
  </si>
  <si>
    <t>Tammy Forbes</t>
  </si>
  <si>
    <t>Megan Lopez</t>
  </si>
  <si>
    <t>Rebecca Burgess</t>
  </si>
  <si>
    <t>Chad Phillips</t>
  </si>
  <si>
    <t>Jacqueline Dawson</t>
  </si>
  <si>
    <t>Jennifer Moore</t>
  </si>
  <si>
    <t>Christopher Nash</t>
  </si>
  <si>
    <t>Mrs. Kimberly Bennett</t>
  </si>
  <si>
    <t>Sonia Kent</t>
  </si>
  <si>
    <t>Regina Dyer</t>
  </si>
  <si>
    <t>Courtney Hill</t>
  </si>
  <si>
    <t>Stephanie Carroll</t>
  </si>
  <si>
    <t>Wayne Vasquez</t>
  </si>
  <si>
    <t>Dr. George Baker</t>
  </si>
  <si>
    <t>Raymond Harper</t>
  </si>
  <si>
    <t>Jeffrey Cruz</t>
  </si>
  <si>
    <t>Nathaniel Bennett</t>
  </si>
  <si>
    <t>Sharon Sweeney</t>
  </si>
  <si>
    <t>Olivia Davidson</t>
  </si>
  <si>
    <t>Eileen Smith</t>
  </si>
  <si>
    <t>Mr. John Morris</t>
  </si>
  <si>
    <t>Kelly Barrera</t>
  </si>
  <si>
    <t>Tyler Case</t>
  </si>
  <si>
    <t>Matthew Ruiz</t>
  </si>
  <si>
    <t>Donna Lawrence</t>
  </si>
  <si>
    <t>Eric Brewer</t>
  </si>
  <si>
    <t>Norma Barker</t>
  </si>
  <si>
    <t>Todd Phillips</t>
  </si>
  <si>
    <t>Matthew Boyd</t>
  </si>
  <si>
    <t>Ashley Wade</t>
  </si>
  <si>
    <t>Michelle Gomez</t>
  </si>
  <si>
    <t>Cassandra Collins</t>
  </si>
  <si>
    <t>Patrick Thomas</t>
  </si>
  <si>
    <t>Molly Whitaker</t>
  </si>
  <si>
    <t>John Finley</t>
  </si>
  <si>
    <t>Alexandra Sanchez</t>
  </si>
  <si>
    <t>Sophia Stevens</t>
  </si>
  <si>
    <t>Anthony Harrell</t>
  </si>
  <si>
    <t>Nicole Oliver</t>
  </si>
  <si>
    <t>Jonathan Stevens</t>
  </si>
  <si>
    <t>Geoffrey Washington</t>
  </si>
  <si>
    <t>Gail Gordon</t>
  </si>
  <si>
    <t>Jennifer Patel MD</t>
  </si>
  <si>
    <t>Tony Guzman</t>
  </si>
  <si>
    <t>Katie Snyder</t>
  </si>
  <si>
    <t>Victoria Parker</t>
  </si>
  <si>
    <t>Cody Robbins</t>
  </si>
  <si>
    <t>Christine Nelson</t>
  </si>
  <si>
    <t>Julia Marquez</t>
  </si>
  <si>
    <t>George Nelson</t>
  </si>
  <si>
    <t>Emma Austin</t>
  </si>
  <si>
    <t>Bianca Fletcher</t>
  </si>
  <si>
    <t>Steve King</t>
  </si>
  <si>
    <t>Jeffrey Rice</t>
  </si>
  <si>
    <t>Andrew Murphy</t>
  </si>
  <si>
    <t>Brian Stark</t>
  </si>
  <si>
    <t>Stephen Gray</t>
  </si>
  <si>
    <t>Mary Soto</t>
  </si>
  <si>
    <t>George Campbell</t>
  </si>
  <si>
    <t>Robert Kennedy</t>
  </si>
  <si>
    <t>Emily Pham MD</t>
  </si>
  <si>
    <t>Jennifer Cooper</t>
  </si>
  <si>
    <t>Ryan Hoffman</t>
  </si>
  <si>
    <t>Eric Martin</t>
  </si>
  <si>
    <t>Kayla Aguirre</t>
  </si>
  <si>
    <t>Mark Rivers</t>
  </si>
  <si>
    <t>Jennifer Hughes</t>
  </si>
  <si>
    <t>Bryan Christensen</t>
  </si>
  <si>
    <t>Patricia Rasmussen MD</t>
  </si>
  <si>
    <t>Barbara Gallagher</t>
  </si>
  <si>
    <t>Robert Hernandez</t>
  </si>
  <si>
    <t>Mr. Steven Jimenez</t>
  </si>
  <si>
    <t>Cody Guerrero</t>
  </si>
  <si>
    <t>Alexander Cooper</t>
  </si>
  <si>
    <t>Mr. Marc Avery</t>
  </si>
  <si>
    <t>Michael Elliott</t>
  </si>
  <si>
    <t>Kimberly Avila</t>
  </si>
  <si>
    <t>Mark Daniel</t>
  </si>
  <si>
    <t>Cody Scott</t>
  </si>
  <si>
    <t>Barbara Gomez</t>
  </si>
  <si>
    <t>Diana Oconnell</t>
  </si>
  <si>
    <t>Ryan James</t>
  </si>
  <si>
    <t>Douglas Pena</t>
  </si>
  <si>
    <t>Stacey Kim</t>
  </si>
  <si>
    <t>William Deleon</t>
  </si>
  <si>
    <t>John Barnes</t>
  </si>
  <si>
    <t>Samantha Luna</t>
  </si>
  <si>
    <t>Matthew Cook</t>
  </si>
  <si>
    <t>Kenneth Austin MD</t>
  </si>
  <si>
    <t>Amy Rios</t>
  </si>
  <si>
    <t>Bailey Fitzgerald</t>
  </si>
  <si>
    <t>Luis Reeves</t>
  </si>
  <si>
    <t>Alisha Giles</t>
  </si>
  <si>
    <t>James Burnett</t>
  </si>
  <si>
    <t>Lisa Crawford</t>
  </si>
  <si>
    <t>Christian Gonzalez</t>
  </si>
  <si>
    <t>Tristan Drake</t>
  </si>
  <si>
    <t>Joshua Hoffman</t>
  </si>
  <si>
    <t>Jaime Delacruz</t>
  </si>
  <si>
    <t>Jill Baird</t>
  </si>
  <si>
    <t>Amber Martinez</t>
  </si>
  <si>
    <t>Tammy Velez</t>
  </si>
  <si>
    <t>Roberto Arias</t>
  </si>
  <si>
    <t>Joyce Schaefer</t>
  </si>
  <si>
    <t>Thomas Church</t>
  </si>
  <si>
    <t>Kevin Sosa</t>
  </si>
  <si>
    <t>Nichole Mcintyre</t>
  </si>
  <si>
    <t>Anthony Mathews</t>
  </si>
  <si>
    <t>Wesley Walker</t>
  </si>
  <si>
    <t>Karen Weber</t>
  </si>
  <si>
    <t>Holly Rivas</t>
  </si>
  <si>
    <t>Wayne Berry</t>
  </si>
  <si>
    <t>Angel Tran</t>
  </si>
  <si>
    <t>Melanie Jackson</t>
  </si>
  <si>
    <t>Jonathan Kent</t>
  </si>
  <si>
    <t>Daniel Jackson</t>
  </si>
  <si>
    <t>Brian Hall</t>
  </si>
  <si>
    <t>Michael Espinoza</t>
  </si>
  <si>
    <t>Robert Hooper</t>
  </si>
  <si>
    <t>Dakota Bryant</t>
  </si>
  <si>
    <t>Tiffany Diaz</t>
  </si>
  <si>
    <t>Eric Davis</t>
  </si>
  <si>
    <t>Sandra Navarro</t>
  </si>
  <si>
    <t>Amanda Maxwell</t>
  </si>
  <si>
    <t>Scott Gardner</t>
  </si>
  <si>
    <t>Courtney Rodriguez</t>
  </si>
  <si>
    <t>Ryan Coleman</t>
  </si>
  <si>
    <t>Lori Wilson</t>
  </si>
  <si>
    <t>Kathy Thompson</t>
  </si>
  <si>
    <t>Nathan Bowman</t>
  </si>
  <si>
    <t>Anne Hernandez</t>
  </si>
  <si>
    <t>Derek Roman</t>
  </si>
  <si>
    <t>Michele Ellis</t>
  </si>
  <si>
    <t>Mr. Daniel Thompson</t>
  </si>
  <si>
    <t>Marie Carr</t>
  </si>
  <si>
    <t>Terry Smith</t>
  </si>
  <si>
    <t>Steven Yates</t>
  </si>
  <si>
    <t>Seth Kim</t>
  </si>
  <si>
    <t>David Martin</t>
  </si>
  <si>
    <t>Kayla Evans</t>
  </si>
  <si>
    <t>Chad Barnes</t>
  </si>
  <si>
    <t>Cynthia Barrett</t>
  </si>
  <si>
    <t>Matthew Bonilla</t>
  </si>
  <si>
    <t>Mrs. Stephanie Williams</t>
  </si>
  <si>
    <t>Samantha Greer</t>
  </si>
  <si>
    <t>Martha Bradley</t>
  </si>
  <si>
    <t>Eric Long</t>
  </si>
  <si>
    <t>Harold Davis</t>
  </si>
  <si>
    <t>Sarah Braun</t>
  </si>
  <si>
    <t>Brittney Dunn</t>
  </si>
  <si>
    <t>Tina Walker</t>
  </si>
  <si>
    <t>John Bishop</t>
  </si>
  <si>
    <t>Philip Miller</t>
  </si>
  <si>
    <t>Jasmine Ellis</t>
  </si>
  <si>
    <t>Jonathan Lang</t>
  </si>
  <si>
    <t>Martin Johnson</t>
  </si>
  <si>
    <t>Manuel Reeves</t>
  </si>
  <si>
    <t>Scott Nelson</t>
  </si>
  <si>
    <t>Kathleen Garrett</t>
  </si>
  <si>
    <t>Matthew Smith</t>
  </si>
  <si>
    <t>Tamara Thomas</t>
  </si>
  <si>
    <t>Michael Wells</t>
  </si>
  <si>
    <t>Rachel Newman</t>
  </si>
  <si>
    <t>Lauren Rodriguez</t>
  </si>
  <si>
    <t>Nicholas Peters</t>
  </si>
  <si>
    <t>Patricia Taylor</t>
  </si>
  <si>
    <t>Sherry Reynolds</t>
  </si>
  <si>
    <t>Christine Hanson</t>
  </si>
  <si>
    <t>James Little</t>
  </si>
  <si>
    <t>Erin Harris</t>
  </si>
  <si>
    <t>Monica Smith</t>
  </si>
  <si>
    <t>Tammy Caldwell</t>
  </si>
  <si>
    <t>Deborah Lucero</t>
  </si>
  <si>
    <t>Michael Landry</t>
  </si>
  <si>
    <t>Carlos Martinez</t>
  </si>
  <si>
    <t>Kevin Johnson</t>
  </si>
  <si>
    <t>Nicholas Miller</t>
  </si>
  <si>
    <t>Erica Simmons</t>
  </si>
  <si>
    <t>Christopher Potts</t>
  </si>
  <si>
    <t>Matthew Mcguire</t>
  </si>
  <si>
    <t>Frederick Phillips</t>
  </si>
  <si>
    <t>Linda Green</t>
  </si>
  <si>
    <t>Tyler Hurley</t>
  </si>
  <si>
    <t>Ian Williams</t>
  </si>
  <si>
    <t>Gabriella Sanchez</t>
  </si>
  <si>
    <t>Tiffany Burke</t>
  </si>
  <si>
    <t>John James</t>
  </si>
  <si>
    <t>Matthew Vasquez</t>
  </si>
  <si>
    <t>Wanda Ward</t>
  </si>
  <si>
    <t>Brooke Long</t>
  </si>
  <si>
    <t>Angela Gonzalez</t>
  </si>
  <si>
    <t>Heather Moore</t>
  </si>
  <si>
    <t>Sabrina Dillon</t>
  </si>
  <si>
    <t>Jacqueline James</t>
  </si>
  <si>
    <t>Tiffany Baker</t>
  </si>
  <si>
    <t>Johnny Bennett</t>
  </si>
  <si>
    <t>David Estrada</t>
  </si>
  <si>
    <t>Leon Crawford</t>
  </si>
  <si>
    <t>Anthony Farmer</t>
  </si>
  <si>
    <t>Patrick Taylor</t>
  </si>
  <si>
    <t>Angel Velasquez</t>
  </si>
  <si>
    <t>Marc Francis</t>
  </si>
  <si>
    <t>Mikayla Cooper</t>
  </si>
  <si>
    <t>Sheena Weaver</t>
  </si>
  <si>
    <t>Nathan Dixon</t>
  </si>
  <si>
    <t>Lindsey Gay</t>
  </si>
  <si>
    <t>Valerie Hernandez</t>
  </si>
  <si>
    <t>Jerome Ramirez</t>
  </si>
  <si>
    <t>Javier Weber</t>
  </si>
  <si>
    <t>David Harvey</t>
  </si>
  <si>
    <t>Logan Frey</t>
  </si>
  <si>
    <t>Kristen Moore</t>
  </si>
  <si>
    <t>Jessica Chavez</t>
  </si>
  <si>
    <t>Michael Washington</t>
  </si>
  <si>
    <t>Ruben Pineda</t>
  </si>
  <si>
    <t>Mark Mills</t>
  </si>
  <si>
    <t>Peter Perez</t>
  </si>
  <si>
    <t>Jennifer Ross</t>
  </si>
  <si>
    <t>Tom Brown</t>
  </si>
  <si>
    <t>Tammy Shelton</t>
  </si>
  <si>
    <t>John Sanchez</t>
  </si>
  <si>
    <t>Megan Kelley</t>
  </si>
  <si>
    <t>Melissa Hayden</t>
  </si>
  <si>
    <t>Sharon Garcia</t>
  </si>
  <si>
    <t>Deborah Watson</t>
  </si>
  <si>
    <t>Suzanne Mitchell</t>
  </si>
  <si>
    <t>Andrea Miller</t>
  </si>
  <si>
    <t>James Graves</t>
  </si>
  <si>
    <t>Vickie Mcbride</t>
  </si>
  <si>
    <t>Cory Rhodes</t>
  </si>
  <si>
    <t>Grace Sutton</t>
  </si>
  <si>
    <t>Mr. Jason Duran</t>
  </si>
  <si>
    <t>Kenneth Evans</t>
  </si>
  <si>
    <t>Danielle Stout</t>
  </si>
  <si>
    <t>Felicia Johnson</t>
  </si>
  <si>
    <t>Sylvia Freeman</t>
  </si>
  <si>
    <t>Zachary Sutton</t>
  </si>
  <si>
    <t>Lawrence Robinson</t>
  </si>
  <si>
    <t>Allison Payne</t>
  </si>
  <si>
    <t>Elizabeth Smith DDS</t>
  </si>
  <si>
    <t>Robert Lynn</t>
  </si>
  <si>
    <t>Marie Padilla</t>
  </si>
  <si>
    <t>Martha Gonzales</t>
  </si>
  <si>
    <t>Diana Reeves</t>
  </si>
  <si>
    <t>Charles Brown</t>
  </si>
  <si>
    <t>John Sanders</t>
  </si>
  <si>
    <t>Kayla Ramirez</t>
  </si>
  <si>
    <t>Stephanie Hernandez</t>
  </si>
  <si>
    <t>Catherine Porter</t>
  </si>
  <si>
    <t>Joseph Prince</t>
  </si>
  <si>
    <t>Kelsey Woods</t>
  </si>
  <si>
    <t>John Gray</t>
  </si>
  <si>
    <t>Ethan Moyer</t>
  </si>
  <si>
    <t>Russell York</t>
  </si>
  <si>
    <t>Emily Fowler</t>
  </si>
  <si>
    <t>Frank Barnes</t>
  </si>
  <si>
    <t>Kevin Weber</t>
  </si>
  <si>
    <t>Ian Hayes</t>
  </si>
  <si>
    <t>Brian Hicks</t>
  </si>
  <si>
    <t>Laurie Boyd</t>
  </si>
  <si>
    <t>Briana Johnson</t>
  </si>
  <si>
    <t>Steven Thompson</t>
  </si>
  <si>
    <t>Cameron Wheeler</t>
  </si>
  <si>
    <t>Tiffany Shaffer</t>
  </si>
  <si>
    <t>Duane Bridges</t>
  </si>
  <si>
    <t>Justin Perez</t>
  </si>
  <si>
    <t>Andrew Robertson</t>
  </si>
  <si>
    <t>Lee Brooks</t>
  </si>
  <si>
    <t>Edward Hudson</t>
  </si>
  <si>
    <t>Michael Simmons</t>
  </si>
  <si>
    <t>Cindy Hunt</t>
  </si>
  <si>
    <t>Paul Schmidt</t>
  </si>
  <si>
    <t>Megan Morrison</t>
  </si>
  <si>
    <t>Marissa Burton</t>
  </si>
  <si>
    <t>Leah Harris</t>
  </si>
  <si>
    <t>Richard Long</t>
  </si>
  <si>
    <t>Shane Gomez</t>
  </si>
  <si>
    <t>Tyler Mccoy</t>
  </si>
  <si>
    <t>Jay Thomas</t>
  </si>
  <si>
    <t>Juan Davis</t>
  </si>
  <si>
    <t>Gregory Steele</t>
  </si>
  <si>
    <t>Joseph Durham</t>
  </si>
  <si>
    <t>Julian Gonzalez</t>
  </si>
  <si>
    <t>Carla Powers</t>
  </si>
  <si>
    <t>Hannah Harris</t>
  </si>
  <si>
    <t>Michael Graham</t>
  </si>
  <si>
    <t>Kathy King</t>
  </si>
  <si>
    <t>Adam Miller</t>
  </si>
  <si>
    <t>Linda Mejia</t>
  </si>
  <si>
    <t>Paul Moore MD</t>
  </si>
  <si>
    <t>Alexa Huber</t>
  </si>
  <si>
    <t>Corey Griffin</t>
  </si>
  <si>
    <t>Kristy Sampson</t>
  </si>
  <si>
    <t>Jill Foster</t>
  </si>
  <si>
    <t>Charles Matthews</t>
  </si>
  <si>
    <t>Justin Monroe</t>
  </si>
  <si>
    <t>Mario Lewis</t>
  </si>
  <si>
    <t>Christopher Miller</t>
  </si>
  <si>
    <t>Joseph Wade</t>
  </si>
  <si>
    <t>Jason Chavez</t>
  </si>
  <si>
    <t>Lisa Sanchez</t>
  </si>
  <si>
    <t>Jessica Stone</t>
  </si>
  <si>
    <t>Gina Austin</t>
  </si>
  <si>
    <t>Kimberly Anderson</t>
  </si>
  <si>
    <t>Melissa Mitchell</t>
  </si>
  <si>
    <t>Joshua Castillo</t>
  </si>
  <si>
    <t>Samantha Merritt</t>
  </si>
  <si>
    <t>Stacey Burke</t>
  </si>
  <si>
    <t>Allen Larson</t>
  </si>
  <si>
    <t>Susan Pollard</t>
  </si>
  <si>
    <t>Randy Mcdonald</t>
  </si>
  <si>
    <t>Ashley Brennan</t>
  </si>
  <si>
    <t>Tyler Long</t>
  </si>
  <si>
    <t>Isabella Baker</t>
  </si>
  <si>
    <t>Ashley Russell</t>
  </si>
  <si>
    <t>Andrew Washington</t>
  </si>
  <si>
    <t>Gerald Turner</t>
  </si>
  <si>
    <t>Kathryn Young</t>
  </si>
  <si>
    <t>Anthony Hill Jr.</t>
  </si>
  <si>
    <t>Nicole Davis</t>
  </si>
  <si>
    <t>Anthony Johnson</t>
  </si>
  <si>
    <t>Catherine Park</t>
  </si>
  <si>
    <t>Michael Wade</t>
  </si>
  <si>
    <t>Nicholas Orr</t>
  </si>
  <si>
    <t>Brett Beard</t>
  </si>
  <si>
    <t>Stephanie Hall</t>
  </si>
  <si>
    <t>Teresa Perez</t>
  </si>
  <si>
    <t>Alex Frey</t>
  </si>
  <si>
    <t>Brandy Mann</t>
  </si>
  <si>
    <t>Sonya Ferguson</t>
  </si>
  <si>
    <t>Stephanie Jimenez</t>
  </si>
  <si>
    <t>Teresa Gonzalez</t>
  </si>
  <si>
    <t>Brandy Cooper</t>
  </si>
  <si>
    <t>Marissa Mckee</t>
  </si>
  <si>
    <t>Darrell Graham</t>
  </si>
  <si>
    <t>Madison Harper</t>
  </si>
  <si>
    <t>Andre Wilkins</t>
  </si>
  <si>
    <t>Christina Woods</t>
  </si>
  <si>
    <t>Daniel Hood</t>
  </si>
  <si>
    <t>John Oliver</t>
  </si>
  <si>
    <t>Ricky Morris</t>
  </si>
  <si>
    <t>Edgar Jones</t>
  </si>
  <si>
    <t>Patricia Thomas</t>
  </si>
  <si>
    <t>Kathleen Carter</t>
  </si>
  <si>
    <t>Nicole Daugherty</t>
  </si>
  <si>
    <t>Megan Gates</t>
  </si>
  <si>
    <t>Mark Parker</t>
  </si>
  <si>
    <t>Courtney Robinson</t>
  </si>
  <si>
    <t>Samantha Garcia</t>
  </si>
  <si>
    <t>Christy Edwards</t>
  </si>
  <si>
    <t>James Richardson</t>
  </si>
  <si>
    <t>Ariel Allen</t>
  </si>
  <si>
    <t>Melissa Black</t>
  </si>
  <si>
    <t>Phillip Baker</t>
  </si>
  <si>
    <t>Patricia Long</t>
  </si>
  <si>
    <t>Elizabeth Moore</t>
  </si>
  <si>
    <t>Derek Richards</t>
  </si>
  <si>
    <t>Miguel Baker</t>
  </si>
  <si>
    <t>Dylan Brooks</t>
  </si>
  <si>
    <t>William Moore</t>
  </si>
  <si>
    <t>Tina Sawyer</t>
  </si>
  <si>
    <t>Lauren Oliver</t>
  </si>
  <si>
    <t>Erica Harrell</t>
  </si>
  <si>
    <t>Breanna Morales</t>
  </si>
  <si>
    <t>Lance Holland</t>
  </si>
  <si>
    <t>Patrick Gray</t>
  </si>
  <si>
    <t>Joseph Barrett</t>
  </si>
  <si>
    <t>Kayla Jackson</t>
  </si>
  <si>
    <t>Mackenzie Harvey</t>
  </si>
  <si>
    <t>John Powers</t>
  </si>
  <si>
    <t>Michelle Rodriguez</t>
  </si>
  <si>
    <t>Nathan Smith MD</t>
  </si>
  <si>
    <t>Cynthia Johnson</t>
  </si>
  <si>
    <t>Daniel Jones</t>
  </si>
  <si>
    <t>Charles Gilbert</t>
  </si>
  <si>
    <t>David Hodge</t>
  </si>
  <si>
    <t>Allison Davis</t>
  </si>
  <si>
    <t>Christopher Gutierrez</t>
  </si>
  <si>
    <t>Amanda Clark</t>
  </si>
  <si>
    <t>Melissa Wagner</t>
  </si>
  <si>
    <t>Robert Ellis</t>
  </si>
  <si>
    <t>Ashley Lee</t>
  </si>
  <si>
    <t>Amanda Green</t>
  </si>
  <si>
    <t>John Cline</t>
  </si>
  <si>
    <t>Sara Adkins</t>
  </si>
  <si>
    <t>Kevin Watkins</t>
  </si>
  <si>
    <t>James Whitehead</t>
  </si>
  <si>
    <t>Michaela Nash</t>
  </si>
  <si>
    <t>Leslie Mcdonald</t>
  </si>
  <si>
    <t>Peter Castaneda</t>
  </si>
  <si>
    <t>Emily Fox</t>
  </si>
  <si>
    <t>Patrick Pierce</t>
  </si>
  <si>
    <t>Claudia Hayden</t>
  </si>
  <si>
    <t>Glen Vasquez</t>
  </si>
  <si>
    <t>Melissa Harris</t>
  </si>
  <si>
    <t>Rachel Norton</t>
  </si>
  <si>
    <t>Teresa Taylor</t>
  </si>
  <si>
    <t>Michael Ponce</t>
  </si>
  <si>
    <t>Michelle Mathis</t>
  </si>
  <si>
    <t>Elizabeth Chavez</t>
  </si>
  <si>
    <t>Eugene Thompson</t>
  </si>
  <si>
    <t>Teresa Joseph</t>
  </si>
  <si>
    <t>Todd Moon</t>
  </si>
  <si>
    <t>Jill Klein</t>
  </si>
  <si>
    <t>Jeffrey Jones</t>
  </si>
  <si>
    <t>Robert Ramirez</t>
  </si>
  <si>
    <t>Colleen Lewis</t>
  </si>
  <si>
    <t>Nicholas Bullock</t>
  </si>
  <si>
    <t>Sandra Jackson</t>
  </si>
  <si>
    <t>Jason Quinn</t>
  </si>
  <si>
    <t>Patricia Koch</t>
  </si>
  <si>
    <t>Kenneth Hubbard</t>
  </si>
  <si>
    <t>Debra Anderson</t>
  </si>
  <si>
    <t>Tyler Williams</t>
  </si>
  <si>
    <t>Kristin Nelson</t>
  </si>
  <si>
    <t>Karen Reese</t>
  </si>
  <si>
    <t>Emily Bennett MD</t>
  </si>
  <si>
    <t>Susan Jenkins</t>
  </si>
  <si>
    <t>Stefanie Wright</t>
  </si>
  <si>
    <t>Andrea Patton</t>
  </si>
  <si>
    <t>Kathryn Lara</t>
  </si>
  <si>
    <t>Sean Vazquez</t>
  </si>
  <si>
    <t>Robert Odonnell</t>
  </si>
  <si>
    <t>Denise Mcgee</t>
  </si>
  <si>
    <t>Brittany Vincent</t>
  </si>
  <si>
    <t>Kathryn Castro</t>
  </si>
  <si>
    <t>Christine Anderson</t>
  </si>
  <si>
    <t>Samantha Ross</t>
  </si>
  <si>
    <t>Andre Santos</t>
  </si>
  <si>
    <t>Monica Lee</t>
  </si>
  <si>
    <t>Shelly Harrison DDS</t>
  </si>
  <si>
    <t>Mikayla Houston</t>
  </si>
  <si>
    <t>David Heath</t>
  </si>
  <si>
    <t>Tyler Smith</t>
  </si>
  <si>
    <t>Mary Wagner</t>
  </si>
  <si>
    <t>Cody Keith</t>
  </si>
  <si>
    <t>Jordan Ramos</t>
  </si>
  <si>
    <t>John Petersen</t>
  </si>
  <si>
    <t>Christopher Washington</t>
  </si>
  <si>
    <t>Jennifer Love</t>
  </si>
  <si>
    <t>Michelle Stevenson</t>
  </si>
  <si>
    <t>Robert Pace</t>
  </si>
  <si>
    <t>Edward Black</t>
  </si>
  <si>
    <t>Seth Fuentes</t>
  </si>
  <si>
    <t>Philip Hood</t>
  </si>
  <si>
    <t>Brian Davila</t>
  </si>
  <si>
    <t>William Morales</t>
  </si>
  <si>
    <t>Jodi Lopez</t>
  </si>
  <si>
    <t>Greg Lopez</t>
  </si>
  <si>
    <t>Carmen Anderson</t>
  </si>
  <si>
    <t>Christina Ryan</t>
  </si>
  <si>
    <t>Jeffrey Fisher</t>
  </si>
  <si>
    <t>Andrea Bray</t>
  </si>
  <si>
    <t>Shawn Moran</t>
  </si>
  <si>
    <t>Lisa Brown</t>
  </si>
  <si>
    <t>Mark Ramos</t>
  </si>
  <si>
    <t>Kayla Wilkins</t>
  </si>
  <si>
    <t>Natasha Dudley</t>
  </si>
  <si>
    <t>Kimberly Price</t>
  </si>
  <si>
    <t>Arthur Tran</t>
  </si>
  <si>
    <t>Alexis Francis</t>
  </si>
  <si>
    <t>Francisco Schmidt</t>
  </si>
  <si>
    <t>Claudia Diaz</t>
  </si>
  <si>
    <t>Brandy Richardson</t>
  </si>
  <si>
    <t>Mark Reed</t>
  </si>
  <si>
    <t>David Leach</t>
  </si>
  <si>
    <t>Julie Strickland</t>
  </si>
  <si>
    <t>Mary Hayes</t>
  </si>
  <si>
    <t>Lisa Carter</t>
  </si>
  <si>
    <t>Julie Gutierrez DDS</t>
  </si>
  <si>
    <t>Christine Wong</t>
  </si>
  <si>
    <t>Brandi Best</t>
  </si>
  <si>
    <t>Jill Harris</t>
  </si>
  <si>
    <t>Ryan Brown</t>
  </si>
  <si>
    <t>Amy Juarez</t>
  </si>
  <si>
    <t>Tyrone Ward</t>
  </si>
  <si>
    <t>Melissa Brown</t>
  </si>
  <si>
    <t>Patricia Stephens</t>
  </si>
  <si>
    <t>Zachary Kelly</t>
  </si>
  <si>
    <t>Stacy Simpson</t>
  </si>
  <si>
    <t>Adam Stanton</t>
  </si>
  <si>
    <t>Robert Barber</t>
  </si>
  <si>
    <t>Patricia Morse</t>
  </si>
  <si>
    <t>Cody Richardson</t>
  </si>
  <si>
    <t>Kevin Henderson</t>
  </si>
  <si>
    <t>Christina Pollard</t>
  </si>
  <si>
    <t>Amy Medina</t>
  </si>
  <si>
    <t>Kelly Davis</t>
  </si>
  <si>
    <t>Michael Adams</t>
  </si>
  <si>
    <t>Catherine Schmidt DVM</t>
  </si>
  <si>
    <t>Christy Cross</t>
  </si>
  <si>
    <t>Courtney Stevens</t>
  </si>
  <si>
    <t>Angela Alvarez</t>
  </si>
  <si>
    <t>Michael Randolph</t>
  </si>
  <si>
    <t>Daniel Lewis</t>
  </si>
  <si>
    <t>Mary Mcguire</t>
  </si>
  <si>
    <t>Courtney Mays</t>
  </si>
  <si>
    <t>Anthony Cole</t>
  </si>
  <si>
    <t>Robert George</t>
  </si>
  <si>
    <t>Kimberly Lopez</t>
  </si>
  <si>
    <t>Amanda Evans</t>
  </si>
  <si>
    <t>Patrick Jimenez</t>
  </si>
  <si>
    <t>Brittany Harrington</t>
  </si>
  <si>
    <t>Stephanie Valencia</t>
  </si>
  <si>
    <t>Cindy Smith</t>
  </si>
  <si>
    <t>Lisa Price</t>
  </si>
  <si>
    <t>Kelly Johnson</t>
  </si>
  <si>
    <t>Mackenzie Gordon</t>
  </si>
  <si>
    <t>Brandy Arnold</t>
  </si>
  <si>
    <t>Timothy Williams</t>
  </si>
  <si>
    <t>Julie Mcdowell</t>
  </si>
  <si>
    <t>Jon Rogers</t>
  </si>
  <si>
    <t>Sarah Carpenter</t>
  </si>
  <si>
    <t>Erin Roman</t>
  </si>
  <si>
    <t>Kiara Khan</t>
  </si>
  <si>
    <t>Kim Salazar</t>
  </si>
  <si>
    <t>Brent Petersen</t>
  </si>
  <si>
    <t>Margaret Benjamin</t>
  </si>
  <si>
    <t>Julie Ferguson</t>
  </si>
  <si>
    <t>April Jensen</t>
  </si>
  <si>
    <t>Nicole Hampton</t>
  </si>
  <si>
    <t>Melissa Roberts</t>
  </si>
  <si>
    <t>Anne Miller</t>
  </si>
  <si>
    <t>Joseph West</t>
  </si>
  <si>
    <t>Brandon Mcmahon</t>
  </si>
  <si>
    <t>Laura Hoffman</t>
  </si>
  <si>
    <t>Wayne Todd</t>
  </si>
  <si>
    <t>Jason Anderson</t>
  </si>
  <si>
    <t>Kelly Moss</t>
  </si>
  <si>
    <t>Samuel Duffy</t>
  </si>
  <si>
    <t>James Harvey</t>
  </si>
  <si>
    <t>Deborah Pham</t>
  </si>
  <si>
    <t>Evan Dean</t>
  </si>
  <si>
    <t>Sarah Wallace</t>
  </si>
  <si>
    <t>Michael Wilson</t>
  </si>
  <si>
    <t>Lauren Boyd</t>
  </si>
  <si>
    <t>Vanessa Williams</t>
  </si>
  <si>
    <t>Erik Johnson</t>
  </si>
  <si>
    <t>Kaitlin Gray</t>
  </si>
  <si>
    <t>Ruth Chandler</t>
  </si>
  <si>
    <t>Cynthia King</t>
  </si>
  <si>
    <t>Jennifer Hendricks</t>
  </si>
  <si>
    <t>David Schmidt</t>
  </si>
  <si>
    <t>Andrea Mcdonald</t>
  </si>
  <si>
    <t>Douglas Bennett</t>
  </si>
  <si>
    <t>Geoffrey Harrison</t>
  </si>
  <si>
    <t>Carolyn Murphy</t>
  </si>
  <si>
    <t>Andrew Chavez</t>
  </si>
  <si>
    <t>Matthew Perry</t>
  </si>
  <si>
    <t>Hailey Pacheco</t>
  </si>
  <si>
    <t>Heather Mcclain</t>
  </si>
  <si>
    <t>Elizabeth Mclaughlin</t>
  </si>
  <si>
    <t>Julie Bullock</t>
  </si>
  <si>
    <t>Stacey Hopkins</t>
  </si>
  <si>
    <t>Kristen Richardson</t>
  </si>
  <si>
    <t>Sydney Gomez</t>
  </si>
  <si>
    <t>Victor Krueger</t>
  </si>
  <si>
    <t>Jasmine Anderson</t>
  </si>
  <si>
    <t>Nathan George</t>
  </si>
  <si>
    <t>Shannon Brown</t>
  </si>
  <si>
    <t>Heather Santiago</t>
  </si>
  <si>
    <t>Dawn Nguyen</t>
  </si>
  <si>
    <t>Dr. Sarah Chandler MD</t>
  </si>
  <si>
    <t>Amber Reynolds</t>
  </si>
  <si>
    <t>Kara Hoffman</t>
  </si>
  <si>
    <t>Jeremiah Jenkins</t>
  </si>
  <si>
    <t>Amy Scott</t>
  </si>
  <si>
    <t>Nicole Hansen</t>
  </si>
  <si>
    <t>Dr. David Schmitt</t>
  </si>
  <si>
    <t>Brandy Smith</t>
  </si>
  <si>
    <t>Michael Combs</t>
  </si>
  <si>
    <t>Sarah Fowler</t>
  </si>
  <si>
    <t>Victoria Jordan</t>
  </si>
  <si>
    <t>Daniel Brock</t>
  </si>
  <si>
    <t>Jessica Blair</t>
  </si>
  <si>
    <t>Kristopher Burgess</t>
  </si>
  <si>
    <t>Justin Carrillo</t>
  </si>
  <si>
    <t>Benjamin Kim</t>
  </si>
  <si>
    <t>Patricia Estes</t>
  </si>
  <si>
    <t>Aaron Woodard</t>
  </si>
  <si>
    <t>Joshua Stanley</t>
  </si>
  <si>
    <t>Luis Davis</t>
  </si>
  <si>
    <t>Chad Shepard</t>
  </si>
  <si>
    <t>Theresa Clark</t>
  </si>
  <si>
    <t>Christopher Gibson</t>
  </si>
  <si>
    <t>Natalie Lin</t>
  </si>
  <si>
    <t>Kristine Melton</t>
  </si>
  <si>
    <t>Brianna Barton</t>
  </si>
  <si>
    <t>Robert Martin</t>
  </si>
  <si>
    <t>Taylor Martinez</t>
  </si>
  <si>
    <t>Christopher Moreno</t>
  </si>
  <si>
    <t>Mary Morales</t>
  </si>
  <si>
    <t>Michael Jones</t>
  </si>
  <si>
    <t>Jenna Ryan</t>
  </si>
  <si>
    <t>Nicholas Adkins</t>
  </si>
  <si>
    <t>Nancy Gillespie</t>
  </si>
  <si>
    <t>Olivia Reynolds</t>
  </si>
  <si>
    <t>Russell Richardson</t>
  </si>
  <si>
    <t>Keith Jones</t>
  </si>
  <si>
    <t>Levi Hernandez</t>
  </si>
  <si>
    <t>Shannon Chavez</t>
  </si>
  <si>
    <t>Patricia Fisher</t>
  </si>
  <si>
    <t>Russell Hess</t>
  </si>
  <si>
    <t>Ms. Julie Molina MD</t>
  </si>
  <si>
    <t>Malik Woodard</t>
  </si>
  <si>
    <t>Amber Ferguson</t>
  </si>
  <si>
    <t>Kelsey Lewis</t>
  </si>
  <si>
    <t>James Harris</t>
  </si>
  <si>
    <t>Vanessa Porter</t>
  </si>
  <si>
    <t>Olivia Odom</t>
  </si>
  <si>
    <t>Deanna Murray</t>
  </si>
  <si>
    <t>Rebecca Schwartz</t>
  </si>
  <si>
    <t>Leslie Phillips</t>
  </si>
  <si>
    <t>Stacy Williams</t>
  </si>
  <si>
    <t>Mary Thompson</t>
  </si>
  <si>
    <t>Sydney Hall</t>
  </si>
  <si>
    <t>Jesse Shields</t>
  </si>
  <si>
    <t>Danielle Villarreal</t>
  </si>
  <si>
    <t>Jonathan Montgomery</t>
  </si>
  <si>
    <t>Michele Kline</t>
  </si>
  <si>
    <t>Ashley Jones</t>
  </si>
  <si>
    <t>Jesse Wilson</t>
  </si>
  <si>
    <t>Regina Taylor</t>
  </si>
  <si>
    <t>Natalie Oconnell</t>
  </si>
  <si>
    <t>Jeff Reeves</t>
  </si>
  <si>
    <t>Christine Dixon</t>
  </si>
  <si>
    <t>Patrick Wiley</t>
  </si>
  <si>
    <t>Jason Scott</t>
  </si>
  <si>
    <t>Eugene Gomez</t>
  </si>
  <si>
    <t>Corey Jefferson</t>
  </si>
  <si>
    <t>Dakota Taylor</t>
  </si>
  <si>
    <t>Joseph Joseph</t>
  </si>
  <si>
    <t>Angelica Farmer</t>
  </si>
  <si>
    <t>Daniel Bryant</t>
  </si>
  <si>
    <t>Henry Williams</t>
  </si>
  <si>
    <t>Louis Walsh</t>
  </si>
  <si>
    <t>Matthew Robinson</t>
  </si>
  <si>
    <t>Kevin Lynn</t>
  </si>
  <si>
    <t>Mr. William Aguilar</t>
  </si>
  <si>
    <t>Ashley Edwards</t>
  </si>
  <si>
    <t>Barbara Cook</t>
  </si>
  <si>
    <t>Brandy Chandler</t>
  </si>
  <si>
    <t>Scott Wallace</t>
  </si>
  <si>
    <t>Kevin Farmer</t>
  </si>
  <si>
    <t>Matthew Parker</t>
  </si>
  <si>
    <t>Sarah Scott</t>
  </si>
  <si>
    <t>Christian Smith</t>
  </si>
  <si>
    <t>Amanda Fields DDS</t>
  </si>
  <si>
    <t>Shawn Crawford</t>
  </si>
  <si>
    <t>Paul Faulkner</t>
  </si>
  <si>
    <t>Joseph Santiago</t>
  </si>
  <si>
    <t>Rachel Stevenson</t>
  </si>
  <si>
    <t>Jessica Wyatt</t>
  </si>
  <si>
    <t>Joshua Brown MD</t>
  </si>
  <si>
    <t>Edgar Reynolds</t>
  </si>
  <si>
    <t>Nicholas Snyder</t>
  </si>
  <si>
    <t>Carolyn Hernandez</t>
  </si>
  <si>
    <t>Dorothy Davis</t>
  </si>
  <si>
    <t>Tyler Richardson MD</t>
  </si>
  <si>
    <t>Hunter Grimes</t>
  </si>
  <si>
    <t>Frederick Richardson</t>
  </si>
  <si>
    <t>Angela Williamson</t>
  </si>
  <si>
    <t>Alexander Aguirre</t>
  </si>
  <si>
    <t>Steven Frank</t>
  </si>
  <si>
    <t>Stephen Stevens</t>
  </si>
  <si>
    <t>Courtney Allison</t>
  </si>
  <si>
    <t>James Atkins</t>
  </si>
  <si>
    <t>Gregory Robles</t>
  </si>
  <si>
    <t>Tracy Wheeler MD</t>
  </si>
  <si>
    <t>Carrie Gilbert</t>
  </si>
  <si>
    <t>Anne Todd</t>
  </si>
  <si>
    <t>Henry Johnson</t>
  </si>
  <si>
    <t>Cathy Burns</t>
  </si>
  <si>
    <t>Amanda Adams</t>
  </si>
  <si>
    <t>Patrick Burns</t>
  </si>
  <si>
    <t>Dean Glass</t>
  </si>
  <si>
    <t>Brooke Cummings</t>
  </si>
  <si>
    <t>Lisa Walls</t>
  </si>
  <si>
    <t>Heidi Porter</t>
  </si>
  <si>
    <t>Antonio Brown</t>
  </si>
  <si>
    <t>Larry Wright</t>
  </si>
  <si>
    <t>Shelly Richardson</t>
  </si>
  <si>
    <t>April Wolfe</t>
  </si>
  <si>
    <t>Daniel Marsh</t>
  </si>
  <si>
    <t>Mark Larsen</t>
  </si>
  <si>
    <t>Garrett Carpenter</t>
  </si>
  <si>
    <t>Jennifer Mckenzie DDS</t>
  </si>
  <si>
    <t>Ryan Ballard</t>
  </si>
  <si>
    <t>Scott Griffin</t>
  </si>
  <si>
    <t>Erik Stone</t>
  </si>
  <si>
    <t>Danielle Torres</t>
  </si>
  <si>
    <t>Max Kennedy</t>
  </si>
  <si>
    <t>Lori Mclean</t>
  </si>
  <si>
    <t>Ryan Jacobs</t>
  </si>
  <si>
    <t>Jeremy Palmer</t>
  </si>
  <si>
    <t>Kevin Nichols</t>
  </si>
  <si>
    <t>Alexis Morris</t>
  </si>
  <si>
    <t>Hayley Fowler</t>
  </si>
  <si>
    <t>Adam Haynes</t>
  </si>
  <si>
    <t>Kathryn Peterson</t>
  </si>
  <si>
    <t>Anita French</t>
  </si>
  <si>
    <t>Crystal Anderson</t>
  </si>
  <si>
    <t>Ryan Strickland</t>
  </si>
  <si>
    <t>Katrina Hayden</t>
  </si>
  <si>
    <t>Kara Mcneil</t>
  </si>
  <si>
    <t>Jocelyn Dixon</t>
  </si>
  <si>
    <t>Kathleen White</t>
  </si>
  <si>
    <t>Lisa Stark</t>
  </si>
  <si>
    <t>Amanda Mills</t>
  </si>
  <si>
    <t>Jerry Fowler</t>
  </si>
  <si>
    <t>Jeremy Benson</t>
  </si>
  <si>
    <t>Debra Roberts</t>
  </si>
  <si>
    <t>Maureen Garcia</t>
  </si>
  <si>
    <t>Rachel Adams</t>
  </si>
  <si>
    <t>Veronica Johnson</t>
  </si>
  <si>
    <t>Stanley Weber</t>
  </si>
  <si>
    <t>Steven Barker</t>
  </si>
  <si>
    <t>Carrie Evans</t>
  </si>
  <si>
    <t>Sarah Johnson</t>
  </si>
  <si>
    <t>Corey Ball</t>
  </si>
  <si>
    <t>Taylor Hess</t>
  </si>
  <si>
    <t>Ashley Clayton</t>
  </si>
  <si>
    <t>Gabrielle Robinson</t>
  </si>
  <si>
    <t>Heather Rivera</t>
  </si>
  <si>
    <t>Jesse Bell</t>
  </si>
  <si>
    <t>Gail Oliver</t>
  </si>
  <si>
    <t>Christopher Simmons</t>
  </si>
  <si>
    <t>Robert Cowan</t>
  </si>
  <si>
    <t>Heather Thompson</t>
  </si>
  <si>
    <t>Jane Cooper</t>
  </si>
  <si>
    <t>Belinda Conley</t>
  </si>
  <si>
    <t>Vanessa Kirby</t>
  </si>
  <si>
    <t>Zachary Scott</t>
  </si>
  <si>
    <t>Elizabeth Edwards</t>
  </si>
  <si>
    <t>Benjamin Bates</t>
  </si>
  <si>
    <t>Jay Love</t>
  </si>
  <si>
    <t>Dr. Andrea Rodriguez DDS</t>
  </si>
  <si>
    <t>Kevin Watson</t>
  </si>
  <si>
    <t>Brittany Fields</t>
  </si>
  <si>
    <t>Jo Manning</t>
  </si>
  <si>
    <t>Mitchell Cunningham</t>
  </si>
  <si>
    <t>Michael Ward</t>
  </si>
  <si>
    <t>Beth Edwards</t>
  </si>
  <si>
    <t>James Ortega</t>
  </si>
  <si>
    <t>Mathew Hughes</t>
  </si>
  <si>
    <t>Neil Mora</t>
  </si>
  <si>
    <t>Curtis Smith</t>
  </si>
  <si>
    <t>Joe Liu</t>
  </si>
  <si>
    <t>Jacqueline Little</t>
  </si>
  <si>
    <t>Angela Price</t>
  </si>
  <si>
    <t>Paul Buckley</t>
  </si>
  <si>
    <t>Kimberly Lee</t>
  </si>
  <si>
    <t>Jordan Burns</t>
  </si>
  <si>
    <t>Darryl Glenn</t>
  </si>
  <si>
    <t>Wendy Peters</t>
  </si>
  <si>
    <t>Justin Kelly</t>
  </si>
  <si>
    <t>Jody Simon</t>
  </si>
  <si>
    <t>Jacob Cooper</t>
  </si>
  <si>
    <t>Sean Levine</t>
  </si>
  <si>
    <t>Sandra Rogers</t>
  </si>
  <si>
    <t>Richard Higgins MD</t>
  </si>
  <si>
    <t>Roger Patterson</t>
  </si>
  <si>
    <t>Kimberly Liu</t>
  </si>
  <si>
    <t>Stephanie Ray</t>
  </si>
  <si>
    <t>Carla Hogan</t>
  </si>
  <si>
    <t>Jamie Hanson</t>
  </si>
  <si>
    <t>Karen Miller</t>
  </si>
  <si>
    <t>David Turner</t>
  </si>
  <si>
    <t>Stephanie Rios</t>
  </si>
  <si>
    <t>Troy Hernandez</t>
  </si>
  <si>
    <t>Rebecca Douglas</t>
  </si>
  <si>
    <t>Bianca Allen</t>
  </si>
  <si>
    <t>Robert Pugh</t>
  </si>
  <si>
    <t>Adam Williams</t>
  </si>
  <si>
    <t>Clifford Rodriguez</t>
  </si>
  <si>
    <t>Thomas Young DDS</t>
  </si>
  <si>
    <t>Wesley Brown</t>
  </si>
  <si>
    <t>Sharon Miller</t>
  </si>
  <si>
    <t>Eddie Wiggins</t>
  </si>
  <si>
    <t>Amanda Bell</t>
  </si>
  <si>
    <t>Jesus Adams</t>
  </si>
  <si>
    <t>William Murray</t>
  </si>
  <si>
    <t>Katherine Calderon</t>
  </si>
  <si>
    <t>Katherine Mclaughlin</t>
  </si>
  <si>
    <t>Bradley Alexander</t>
  </si>
  <si>
    <t>Michael Brown</t>
  </si>
  <si>
    <t>Charlotte Johnson</t>
  </si>
  <si>
    <t>Tammy Medina</t>
  </si>
  <si>
    <t>Lori Jones</t>
  </si>
  <si>
    <t>Christopher Blake</t>
  </si>
  <si>
    <t>Matthew Wright</t>
  </si>
  <si>
    <t>Matthew Oconnor</t>
  </si>
  <si>
    <t>Mr. Christian Brown</t>
  </si>
  <si>
    <t>Carol Jensen</t>
  </si>
  <si>
    <t>Tommy Williams</t>
  </si>
  <si>
    <t>Morgan Schwartz</t>
  </si>
  <si>
    <t>Megan Green</t>
  </si>
  <si>
    <t>Dustin Hayes</t>
  </si>
  <si>
    <t>Nicole Duke</t>
  </si>
  <si>
    <t>Erica Lane</t>
  </si>
  <si>
    <t>Karen Roy</t>
  </si>
  <si>
    <t>Danny Barnes</t>
  </si>
  <si>
    <t>Donald Miles</t>
  </si>
  <si>
    <t>Luke Andrews</t>
  </si>
  <si>
    <t>Henry King</t>
  </si>
  <si>
    <t>Mr. Tyler Long</t>
  </si>
  <si>
    <t>Daniel Rice</t>
  </si>
  <si>
    <t>Richard Perez</t>
  </si>
  <si>
    <t>Rebecca Greer</t>
  </si>
  <si>
    <t>Michelle Stevens</t>
  </si>
  <si>
    <t>Shannon Roy</t>
  </si>
  <si>
    <t>Kyle Daniels</t>
  </si>
  <si>
    <t>Jordan Porter</t>
  </si>
  <si>
    <t>William Rios</t>
  </si>
  <si>
    <t>Gina Miller</t>
  </si>
  <si>
    <t>Julia Lee</t>
  </si>
  <si>
    <t>Russell Shea</t>
  </si>
  <si>
    <t>Charles Morales</t>
  </si>
  <si>
    <t>James Ramirez</t>
  </si>
  <si>
    <t>Jacqueline Martinez</t>
  </si>
  <si>
    <t>Amanda Torres</t>
  </si>
  <si>
    <t>Timothy Fuentes</t>
  </si>
  <si>
    <t>Daniel Hanson</t>
  </si>
  <si>
    <t>Dr. Victoria Elliott DDS</t>
  </si>
  <si>
    <t>Derek Smith</t>
  </si>
  <si>
    <t>Michael Young</t>
  </si>
  <si>
    <t>Justin Potts</t>
  </si>
  <si>
    <t>Steven Baker</t>
  </si>
  <si>
    <t>Ryan Clark</t>
  </si>
  <si>
    <t>Eric Rivera</t>
  </si>
  <si>
    <t>Trevor Wilson</t>
  </si>
  <si>
    <t>Amanda Chambers</t>
  </si>
  <si>
    <t>Steven Stafford</t>
  </si>
  <si>
    <t>Dylan Harris</t>
  </si>
  <si>
    <t>Anita Martin</t>
  </si>
  <si>
    <t>Alexis Miller MD</t>
  </si>
  <si>
    <t>Lori Anderson</t>
  </si>
  <si>
    <t>Donald Ball</t>
  </si>
  <si>
    <t>George Harris</t>
  </si>
  <si>
    <t>Kenneth Buchanan</t>
  </si>
  <si>
    <t>Kathleen Jones</t>
  </si>
  <si>
    <t>Teresa Blair</t>
  </si>
  <si>
    <t>Mary Chapman</t>
  </si>
  <si>
    <t>Kelly Romero</t>
  </si>
  <si>
    <t>Marc Long</t>
  </si>
  <si>
    <t>Michele Guerrero</t>
  </si>
  <si>
    <t>Peter Randall</t>
  </si>
  <si>
    <t>Elizabeth Brown DVM</t>
  </si>
  <si>
    <t>John Thornton</t>
  </si>
  <si>
    <t>Jordan Contreras</t>
  </si>
  <si>
    <t>Sara Kennedy</t>
  </si>
  <si>
    <t>Misty Aguilar</t>
  </si>
  <si>
    <t>Robin Orr</t>
  </si>
  <si>
    <t>Logan Pittman</t>
  </si>
  <si>
    <t>Patricia Carpenter</t>
  </si>
  <si>
    <t>Laurie Dean</t>
  </si>
  <si>
    <t>Brent Gross</t>
  </si>
  <si>
    <t>Christopher Diaz</t>
  </si>
  <si>
    <t>Sierra Robinson</t>
  </si>
  <si>
    <t>Kelly Mills</t>
  </si>
  <si>
    <t>David Chavez</t>
  </si>
  <si>
    <t>Thomas Simpson</t>
  </si>
  <si>
    <t>James Taylor</t>
  </si>
  <si>
    <t>Kimberly Carlson</t>
  </si>
  <si>
    <t>Kenneth Hopkins</t>
  </si>
  <si>
    <t>Joseph Robinson</t>
  </si>
  <si>
    <t>Walter Patterson</t>
  </si>
  <si>
    <t>Anne Mills</t>
  </si>
  <si>
    <t>Brandi Huff</t>
  </si>
  <si>
    <t>Amy Lewis</t>
  </si>
  <si>
    <t>Margaret Wilson</t>
  </si>
  <si>
    <t>Brooke Murphy</t>
  </si>
  <si>
    <t>Rebecca Collins</t>
  </si>
  <si>
    <t>Dr. Tyler Allen</t>
  </si>
  <si>
    <t>Caitlin George</t>
  </si>
  <si>
    <t>Brenda Kent</t>
  </si>
  <si>
    <t>Reginald Daniels</t>
  </si>
  <si>
    <t>Martha Wilson</t>
  </si>
  <si>
    <t>Ryan Velazquez PhD</t>
  </si>
  <si>
    <t>Richard Stokes</t>
  </si>
  <si>
    <t>Jose Wright</t>
  </si>
  <si>
    <t>Jerry Maldonado</t>
  </si>
  <si>
    <t>Suzanne Reed</t>
  </si>
  <si>
    <t>Mark Williams</t>
  </si>
  <si>
    <t>Amy Henderson</t>
  </si>
  <si>
    <t>Chad Moody</t>
  </si>
  <si>
    <t>Faith Phillips</t>
  </si>
  <si>
    <t>Natalie Williams</t>
  </si>
  <si>
    <t>Ashley Smith</t>
  </si>
  <si>
    <t>Anthony Nguyen</t>
  </si>
  <si>
    <t>Madeline Zuniga</t>
  </si>
  <si>
    <t>Tyler Jones</t>
  </si>
  <si>
    <t>Jill Hurley</t>
  </si>
  <si>
    <t>Sarah Holloway</t>
  </si>
  <si>
    <t>Ernest Thompson</t>
  </si>
  <si>
    <t>Steven George</t>
  </si>
  <si>
    <t>William Tapia MD</t>
  </si>
  <si>
    <t>Luis Campbell</t>
  </si>
  <si>
    <t>Kyle Meyer</t>
  </si>
  <si>
    <t>Karen Smith</t>
  </si>
  <si>
    <t>Maria Woods</t>
  </si>
  <si>
    <t>Rhonda Barnett</t>
  </si>
  <si>
    <t>Karen Young</t>
  </si>
  <si>
    <t>Suzanne Singleton</t>
  </si>
  <si>
    <t>Angela White</t>
  </si>
  <si>
    <t>Rebecca Miller</t>
  </si>
  <si>
    <t>Kenneth Jennings</t>
  </si>
  <si>
    <t>Samuel Rios</t>
  </si>
  <si>
    <t>John Baird</t>
  </si>
  <si>
    <t>Kyle Webb</t>
  </si>
  <si>
    <t>Joshua Wang</t>
  </si>
  <si>
    <t>Olivia Mccarthy</t>
  </si>
  <si>
    <t>Curtis Simpson</t>
  </si>
  <si>
    <t>Randall Adams</t>
  </si>
  <si>
    <t>Casey Norton</t>
  </si>
  <si>
    <t>Michael Bell</t>
  </si>
  <si>
    <t>Mary Richardson</t>
  </si>
  <si>
    <t>James Nelson</t>
  </si>
  <si>
    <t>Sue Reed</t>
  </si>
  <si>
    <t>James Warner</t>
  </si>
  <si>
    <t>John Stafford</t>
  </si>
  <si>
    <t>Zachary Compton</t>
  </si>
  <si>
    <t>Andrew Gomez</t>
  </si>
  <si>
    <t>Ronald Walters</t>
  </si>
  <si>
    <t>Donald Torres</t>
  </si>
  <si>
    <t>Amanda Bishop</t>
  </si>
  <si>
    <t>Jessica Webb</t>
  </si>
  <si>
    <t>Tonya Parks</t>
  </si>
  <si>
    <t>Pamela Jacobs</t>
  </si>
  <si>
    <t>John Bullock</t>
  </si>
  <si>
    <t>Debra Randall</t>
  </si>
  <si>
    <t>Matthew Watson</t>
  </si>
  <si>
    <t>Aaron Patel Jr.</t>
  </si>
  <si>
    <t>Lauren Bailey</t>
  </si>
  <si>
    <t>Jesse Sims</t>
  </si>
  <si>
    <t>Tammy Erickson</t>
  </si>
  <si>
    <t>Alexis Carter</t>
  </si>
  <si>
    <t>Kevin Ellison</t>
  </si>
  <si>
    <t>Sandra Stevenson</t>
  </si>
  <si>
    <t>Stacey Juarez</t>
  </si>
  <si>
    <t>Troy Horn</t>
  </si>
  <si>
    <t>Christine Villa</t>
  </si>
  <si>
    <t>Troy Stevenson</t>
  </si>
  <si>
    <t>Whitney Smith</t>
  </si>
  <si>
    <t>Patrick Simon</t>
  </si>
  <si>
    <t>Barbara Brown</t>
  </si>
  <si>
    <t>Alexis Brooks</t>
  </si>
  <si>
    <t>Leah Riddle</t>
  </si>
  <si>
    <t>Michael Valentine</t>
  </si>
  <si>
    <t>Jessica Wells</t>
  </si>
  <si>
    <t>Dana Freeman</t>
  </si>
  <si>
    <t>Paul Nelson DVM</t>
  </si>
  <si>
    <t>Scott Moreno</t>
  </si>
  <si>
    <t>Tracy Martin</t>
  </si>
  <si>
    <t>Grant Tran</t>
  </si>
  <si>
    <t>Toni Andrews</t>
  </si>
  <si>
    <t>Kristie Cole</t>
  </si>
  <si>
    <t>Connie Atkinson</t>
  </si>
  <si>
    <t>Lauren Rogers</t>
  </si>
  <si>
    <t>Rebecca Mcguire</t>
  </si>
  <si>
    <t>Robert Mitchell</t>
  </si>
  <si>
    <t>Donna Harmon</t>
  </si>
  <si>
    <t>Courtney Bentley</t>
  </si>
  <si>
    <t>Rebecca Riley</t>
  </si>
  <si>
    <t>Tammy Richards</t>
  </si>
  <si>
    <t>Brian Mcmillan</t>
  </si>
  <si>
    <t>Samuel Garcia</t>
  </si>
  <si>
    <t>Jeffrey Romero</t>
  </si>
  <si>
    <t>Debra Evans</t>
  </si>
  <si>
    <t>Kevin Wilcox</t>
  </si>
  <si>
    <t>Scott Warren</t>
  </si>
  <si>
    <t>Sarah Hicks</t>
  </si>
  <si>
    <t>Elaine Poole</t>
  </si>
  <si>
    <t>Jon Moss</t>
  </si>
  <si>
    <t>Christopher Pitts</t>
  </si>
  <si>
    <t>Bonnie Stewart</t>
  </si>
  <si>
    <t>Christopher Harris</t>
  </si>
  <si>
    <t>Stephanie Smith</t>
  </si>
  <si>
    <t>Holly Mills</t>
  </si>
  <si>
    <t>Michelle Drake</t>
  </si>
  <si>
    <t>Pamela King</t>
  </si>
  <si>
    <t>Martha Morris</t>
  </si>
  <si>
    <t>Melissa Hensley</t>
  </si>
  <si>
    <t>Patricia Nelson</t>
  </si>
  <si>
    <t>Jennifer Clay</t>
  </si>
  <si>
    <t>Cynthia Hess</t>
  </si>
  <si>
    <t>Steven Rowe</t>
  </si>
  <si>
    <t>Corey Martinez Jr.</t>
  </si>
  <si>
    <t>Ronald Harmon</t>
  </si>
  <si>
    <t>Leslie Franco</t>
  </si>
  <si>
    <t>Cassandra Garza</t>
  </si>
  <si>
    <t>Brandon Hensley</t>
  </si>
  <si>
    <t>Connie Ochoa</t>
  </si>
  <si>
    <t>Laurie Rodriguez</t>
  </si>
  <si>
    <t>Monique Coleman</t>
  </si>
  <si>
    <t>Jennifer Martinez</t>
  </si>
  <si>
    <t>Tracy May</t>
  </si>
  <si>
    <t>Yolanda Weaver</t>
  </si>
  <si>
    <t>Dennis Gordon</t>
  </si>
  <si>
    <t>James Brooks</t>
  </si>
  <si>
    <t>Katherine Fisher</t>
  </si>
  <si>
    <t>Emily Wilson</t>
  </si>
  <si>
    <t>John Massey</t>
  </si>
  <si>
    <t>Ethan Russell</t>
  </si>
  <si>
    <t>Gilbert Johnson</t>
  </si>
  <si>
    <t>Fernando Norton</t>
  </si>
  <si>
    <t>Derek Pierce</t>
  </si>
  <si>
    <t>Richard Burns</t>
  </si>
  <si>
    <t>Richard Kaufman</t>
  </si>
  <si>
    <t>Amanda Bowman</t>
  </si>
  <si>
    <t>Jessica Richardson</t>
  </si>
  <si>
    <t>Robert Morales</t>
  </si>
  <si>
    <t>Alexis Li</t>
  </si>
  <si>
    <t>Nicolas Brown</t>
  </si>
  <si>
    <t>Geoffrey Summers</t>
  </si>
  <si>
    <t>Michael Gardner</t>
  </si>
  <si>
    <t>James Moore</t>
  </si>
  <si>
    <t>Jared Sherman</t>
  </si>
  <si>
    <t>James Proctor</t>
  </si>
  <si>
    <t>Jeffery Pittman</t>
  </si>
  <si>
    <t>Tammy Rosales</t>
  </si>
  <si>
    <t>Jeffrey Ortega</t>
  </si>
  <si>
    <t>Jared Johnson</t>
  </si>
  <si>
    <t>Stacy Mills</t>
  </si>
  <si>
    <t>Gabriel Green</t>
  </si>
  <si>
    <t>Michael Porter</t>
  </si>
  <si>
    <t>Samantha Evans</t>
  </si>
  <si>
    <t>Christian Chang</t>
  </si>
  <si>
    <t>Robert Stewart</t>
  </si>
  <si>
    <t>Alex Johnson</t>
  </si>
  <si>
    <t>Nancy Hall</t>
  </si>
  <si>
    <t>Victoria Thomas</t>
  </si>
  <si>
    <t>Lindsay Benitez</t>
  </si>
  <si>
    <t>Kara Black</t>
  </si>
  <si>
    <t>Sally Guerrero</t>
  </si>
  <si>
    <t>Randy Hayes</t>
  </si>
  <si>
    <t>Jason Wolfe</t>
  </si>
  <si>
    <t>Diane Hebert</t>
  </si>
  <si>
    <t>Casey Horton</t>
  </si>
  <si>
    <t>Mark Benson</t>
  </si>
  <si>
    <t>Alexa Walsh</t>
  </si>
  <si>
    <t>Michael Bauer</t>
  </si>
  <si>
    <t>Andrew Mcbride</t>
  </si>
  <si>
    <t>Kenneth Glass</t>
  </si>
  <si>
    <t>Willie Sexton</t>
  </si>
  <si>
    <t>Russell Oliver</t>
  </si>
  <si>
    <t>Jeff Hunt</t>
  </si>
  <si>
    <t>Tara Galvan</t>
  </si>
  <si>
    <t>Robert Hall</t>
  </si>
  <si>
    <t>Lynn Garcia</t>
  </si>
  <si>
    <t>Ralph Cameron</t>
  </si>
  <si>
    <t>Richard Jones</t>
  </si>
  <si>
    <t>Misty Bowman</t>
  </si>
  <si>
    <t>Brian Medina</t>
  </si>
  <si>
    <t>Amanda Nielsen</t>
  </si>
  <si>
    <t>Connie Jones</t>
  </si>
  <si>
    <t>Alan Santos</t>
  </si>
  <si>
    <t>Tammy Lynch</t>
  </si>
  <si>
    <t>Ronald Gray</t>
  </si>
  <si>
    <t>Lisa Johnson</t>
  </si>
  <si>
    <t>Kristen Mccall MD</t>
  </si>
  <si>
    <t>Cristian Larson III</t>
  </si>
  <si>
    <t>Jonathan Bennett</t>
  </si>
  <si>
    <t>Jennifer Turner</t>
  </si>
  <si>
    <t>Elizabeth Forbes</t>
  </si>
  <si>
    <t>Linda Smith</t>
  </si>
  <si>
    <t>Michele Smith</t>
  </si>
  <si>
    <t>Rebecca Anderson</t>
  </si>
  <si>
    <t>Amber Ramos DDS</t>
  </si>
  <si>
    <t>Brian Torres</t>
  </si>
  <si>
    <t>Brianna Burns</t>
  </si>
  <si>
    <t>Denise Sherman</t>
  </si>
  <si>
    <t>Derek Wilkerson</t>
  </si>
  <si>
    <t>Felicia Mcgrath</t>
  </si>
  <si>
    <t>Martha White</t>
  </si>
  <si>
    <t>Corey Ward</t>
  </si>
  <si>
    <t>Dillon Rosales</t>
  </si>
  <si>
    <t>Dawn Carter</t>
  </si>
  <si>
    <t>Kevin Young</t>
  </si>
  <si>
    <t>Alexis Johnson</t>
  </si>
  <si>
    <t>Joshua Simpson</t>
  </si>
  <si>
    <t>Rhonda Herrera</t>
  </si>
  <si>
    <t>Spencer Zimmerman</t>
  </si>
  <si>
    <t>Elizabeth Olson</t>
  </si>
  <si>
    <t>Michelle Robbins</t>
  </si>
  <si>
    <t>Joshua Turner</t>
  </si>
  <si>
    <t>Michael Moody</t>
  </si>
  <si>
    <t>Alan Rodriguez</t>
  </si>
  <si>
    <t>Elizabeth Lee</t>
  </si>
  <si>
    <t>April Collins</t>
  </si>
  <si>
    <t>Troy Ward</t>
  </si>
  <si>
    <t>Julia Kent</t>
  </si>
  <si>
    <t>Kimberly Hughes</t>
  </si>
  <si>
    <t>Steven Jordan</t>
  </si>
  <si>
    <t>Luke Fletcher</t>
  </si>
  <si>
    <t>Jay Johnson</t>
  </si>
  <si>
    <t>Brendan Atkinson</t>
  </si>
  <si>
    <t>Michael Rangel</t>
  </si>
  <si>
    <t>Edwin Wright</t>
  </si>
  <si>
    <t>Kevin Cameron</t>
  </si>
  <si>
    <t>Henry Olson</t>
  </si>
  <si>
    <t>Christian Robertson</t>
  </si>
  <si>
    <t>Richard Poole</t>
  </si>
  <si>
    <t>Alyssa Carter</t>
  </si>
  <si>
    <t>Miss Kathy Craig</t>
  </si>
  <si>
    <t>Adam Brown</t>
  </si>
  <si>
    <t>Nicole Valentine</t>
  </si>
  <si>
    <t>Robert Richmond</t>
  </si>
  <si>
    <t>Judy Stewart</t>
  </si>
  <si>
    <t>Mark Myers</t>
  </si>
  <si>
    <t>Alexandra Riley</t>
  </si>
  <si>
    <t>Jason Foster</t>
  </si>
  <si>
    <t>Carolyn Ortiz</t>
  </si>
  <si>
    <t>Casey Morgan</t>
  </si>
  <si>
    <t>Elizabeth Simmons</t>
  </si>
  <si>
    <t>William Davis</t>
  </si>
  <si>
    <t>Mark Morgan</t>
  </si>
  <si>
    <t>Anthony Smith</t>
  </si>
  <si>
    <t>William Kirby</t>
  </si>
  <si>
    <t>Thomas Harvey</t>
  </si>
  <si>
    <t>Cassandra Medina</t>
  </si>
  <si>
    <t>Kenneth Nelson</t>
  </si>
  <si>
    <t>Charles Singleton</t>
  </si>
  <si>
    <t>Jacqueline Hansen MD</t>
  </si>
  <si>
    <t>Sarah Brooks</t>
  </si>
  <si>
    <t>Brian Thomas</t>
  </si>
  <si>
    <t>Michelle Brooks</t>
  </si>
  <si>
    <t>Kevin Cruz</t>
  </si>
  <si>
    <t>Richard Lewis</t>
  </si>
  <si>
    <t>Shawn Richard</t>
  </si>
  <si>
    <t>Raymond Horn</t>
  </si>
  <si>
    <t>Kyle Obrien</t>
  </si>
  <si>
    <t>Eric Ayers</t>
  </si>
  <si>
    <t>Emily Kane</t>
  </si>
  <si>
    <t>Renee Taylor</t>
  </si>
  <si>
    <t>Jacqueline Dalton</t>
  </si>
  <si>
    <t>Alisha Macdonald</t>
  </si>
  <si>
    <t>Brenda Miller</t>
  </si>
  <si>
    <t>John Fox</t>
  </si>
  <si>
    <t>Marc Chavez</t>
  </si>
  <si>
    <t>Kimberly Rogers</t>
  </si>
  <si>
    <t>Stacy Hicks</t>
  </si>
  <si>
    <t>Jessica Byrd</t>
  </si>
  <si>
    <t>Elizabeth Allen</t>
  </si>
  <si>
    <t>Dennis Le</t>
  </si>
  <si>
    <t>Donna Harris</t>
  </si>
  <si>
    <t>Nathaniel Decker</t>
  </si>
  <si>
    <t>Christopher Bryant</t>
  </si>
  <si>
    <t>Anthony Brown</t>
  </si>
  <si>
    <t>Debra Rose</t>
  </si>
  <si>
    <t>Lisa Atkins</t>
  </si>
  <si>
    <t>Nancy Hicks</t>
  </si>
  <si>
    <t>Antonio Rose</t>
  </si>
  <si>
    <t>Danielle Sherman</t>
  </si>
  <si>
    <t>Gina Burns</t>
  </si>
  <si>
    <t>John Kim</t>
  </si>
  <si>
    <t>Julie Marquez</t>
  </si>
  <si>
    <t>Chase Foster</t>
  </si>
  <si>
    <t>Russell Huff</t>
  </si>
  <si>
    <t>Jonathan Forbes</t>
  </si>
  <si>
    <t>Kayla Sanchez</t>
  </si>
  <si>
    <t>Katherine Vance</t>
  </si>
  <si>
    <t>Edward Montoya</t>
  </si>
  <si>
    <t>Helen Allen</t>
  </si>
  <si>
    <t>Kelly Day</t>
  </si>
  <si>
    <t>Shelby Stone</t>
  </si>
  <si>
    <t>Brittany Newman</t>
  </si>
  <si>
    <t>Crystal Nelson</t>
  </si>
  <si>
    <t>Jessica Turner</t>
  </si>
  <si>
    <t>Jeffrey Morris</t>
  </si>
  <si>
    <t>Stacey Watkins</t>
  </si>
  <si>
    <t>Michele Daniel</t>
  </si>
  <si>
    <t>Michael Peterson</t>
  </si>
  <si>
    <t>Brent Moreno</t>
  </si>
  <si>
    <t>Marc Liu</t>
  </si>
  <si>
    <t>Heather Barron</t>
  </si>
  <si>
    <t>Jay Mata</t>
  </si>
  <si>
    <t>Randall Miller</t>
  </si>
  <si>
    <t>Stephen Bradley</t>
  </si>
  <si>
    <t>Linda Mcintyre</t>
  </si>
  <si>
    <t>Jonathan Boyd</t>
  </si>
  <si>
    <t>Raymond Orr</t>
  </si>
  <si>
    <t>Christine Hall</t>
  </si>
  <si>
    <t>Alicia Jackson</t>
  </si>
  <si>
    <t>Miss Courtney Hudson</t>
  </si>
  <si>
    <t>Sherry Stephens</t>
  </si>
  <si>
    <t>Angela Francis</t>
  </si>
  <si>
    <t>Russell Frey</t>
  </si>
  <si>
    <t>Tiffany Lopez</t>
  </si>
  <si>
    <t>Kenneth Phillips</t>
  </si>
  <si>
    <t>Jesse Adams</t>
  </si>
  <si>
    <t>Keith Lopez</t>
  </si>
  <si>
    <t>Joel Barnett</t>
  </si>
  <si>
    <t>Mitchell Stein</t>
  </si>
  <si>
    <t>Asthma</t>
  </si>
  <si>
    <t>Migraine</t>
  </si>
  <si>
    <t>Cancer</t>
  </si>
  <si>
    <t>Flu</t>
  </si>
  <si>
    <t>Stroke</t>
  </si>
  <si>
    <t>Hypertension</t>
  </si>
  <si>
    <t>Fracture</t>
  </si>
  <si>
    <t>Diabetes</t>
  </si>
  <si>
    <t>Covid-19</t>
  </si>
  <si>
    <t>Malaria</t>
  </si>
  <si>
    <t>Physiotherapy</t>
  </si>
  <si>
    <t>Medication</t>
  </si>
  <si>
    <t>Observation</t>
  </si>
  <si>
    <t>Counseling</t>
  </si>
  <si>
    <t>Chemotherapy</t>
  </si>
  <si>
    <t>Paid</t>
  </si>
  <si>
    <t>Insurance</t>
  </si>
  <si>
    <t>Pending</t>
  </si>
  <si>
    <t>Count of Patient_ID</t>
  </si>
  <si>
    <t>Row Labels</t>
  </si>
  <si>
    <t>Grand Total</t>
  </si>
  <si>
    <t>1-20</t>
  </si>
  <si>
    <t>21-40</t>
  </si>
  <si>
    <t>41-60</t>
  </si>
  <si>
    <t>61-80</t>
  </si>
  <si>
    <t>81-100</t>
  </si>
  <si>
    <t>1-2</t>
  </si>
  <si>
    <t>3-4</t>
  </si>
  <si>
    <t>5-6</t>
  </si>
  <si>
    <t>7-8</t>
  </si>
  <si>
    <t>9-10</t>
  </si>
  <si>
    <t>11-12</t>
  </si>
  <si>
    <t>Sep</t>
  </si>
  <si>
    <t>Oct</t>
  </si>
  <si>
    <t>Nov</t>
  </si>
  <si>
    <t>Dec</t>
  </si>
  <si>
    <t>Jan</t>
  </si>
  <si>
    <t>Feb</t>
  </si>
  <si>
    <t>Mar</t>
  </si>
  <si>
    <t>Apr</t>
  </si>
  <si>
    <t>May</t>
  </si>
  <si>
    <t>Jun</t>
  </si>
  <si>
    <t>Jul</t>
  </si>
  <si>
    <t>Aug</t>
  </si>
  <si>
    <t>Sum of Bill_Amount</t>
  </si>
  <si>
    <t>Average of Length_of_Stay</t>
  </si>
  <si>
    <t>13-14</t>
  </si>
  <si>
    <t>15-16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</si>
</sst>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quot;$&quot;#,##0.00"/>
    <numFmt numFmtId="166"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165" fontId="0" fillId="0" borderId="0" xfId="0" applyNumberFormat="1"/>
    <xf numFmtId="2" fontId="0" fillId="0" borderId="0" xfId="0" applyNumberFormat="1"/>
    <xf numFmtId="9" fontId="0" fillId="0" borderId="0" xfId="1" applyFont="1"/>
    <xf numFmtId="166" fontId="0" fillId="0" borderId="0" xfId="1" applyNumberFormat="1" applyFont="1"/>
    <xf numFmtId="0" fontId="0" fillId="2" borderId="0" xfId="0" applyFill="1"/>
  </cellXfs>
  <cellStyles count="2">
    <cellStyle name="Normal" xfId="0" builtinId="0"/>
    <cellStyle name="Percent" xfId="1" builtinId="5"/>
  </cellStyles>
  <dxfs count="13">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2" formatCode="0.00"/>
    </dxf>
    <dxf>
      <numFmt numFmtId="165" formatCode="&quot;$&quot;#,##0.00"/>
    </dxf>
    <dxf>
      <numFmt numFmtId="165" formatCode="&quot;$&quot;#,##0.00"/>
    </dxf>
    <dxf>
      <numFmt numFmtId="165" formatCode="&quot;$&quot;#,##0.00"/>
    </dxf>
    <dxf>
      <font>
        <b/>
        <i val="0"/>
        <sz val="10"/>
        <color theme="8" tint="-0.24994659260841701"/>
        <name val="Aptos Narrow"/>
        <family val="2"/>
        <scheme val="none"/>
      </font>
    </dxf>
    <dxf>
      <font>
        <b/>
        <i val="0"/>
        <color theme="3"/>
        <name val="Aptos Narrow"/>
        <family val="2"/>
        <scheme val="none"/>
      </font>
    </dxf>
  </dxfs>
  <tableStyles count="1" defaultTableStyle="TableStyleMedium9" defaultPivotStyle="PivotStyleLight16">
    <tableStyle name="Slicer Style 1" pivot="0" table="0" count="10" xr9:uid="{3D7A1544-FD52-4B3D-99F5-46F9293005FC}">
      <tableStyleElement type="wholeTable" dxfId="12"/>
      <tableStyleElement type="headerRow" dxfId="11"/>
    </tableStyle>
  </tableStyles>
  <extLst>
    <ext xmlns:x14="http://schemas.microsoft.com/office/spreadsheetml/2009/9/main" uri="{46F421CA-312F-682f-3DD2-61675219B42D}">
      <x14:dxfs count="8">
        <dxf>
          <font>
            <color theme="8" tint="-0.499984740745262"/>
          </font>
        </dxf>
        <dxf>
          <font>
            <color theme="8" tint="-0.499984740745262"/>
          </font>
        </dxf>
        <dxf>
          <font>
            <color theme="8" tint="-0.499984740745262"/>
          </font>
        </dxf>
        <dxf>
          <font>
            <color theme="8" tint="-0.499984740745262"/>
          </font>
        </dxf>
        <dxf>
          <font>
            <b/>
            <i val="0"/>
            <sz val="10"/>
            <color theme="8" tint="-0.24994659260841701"/>
            <name val="Aptos Narrow"/>
            <family val="2"/>
            <scheme val="none"/>
          </font>
        </dxf>
        <dxf>
          <font>
            <b/>
            <i val="0"/>
            <color theme="8" tint="-0.24994659260841701"/>
            <name val="Aptos Narrow"/>
            <family val="2"/>
            <scheme val="none"/>
          </font>
        </dxf>
        <dxf>
          <font>
            <color theme="8" tint="-0.499984740745262"/>
          </font>
        </dxf>
        <dxf>
          <font>
            <color theme="8" tint="-0.499984740745262"/>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[Hospital_Patient_Data.xlsx]KPI!PivotTable16</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Aptos Narrow" panose="020B0004020202020204" pitchFamily="34" charset="0"/>
                <a:ea typeface="+mn-ea"/>
                <a:cs typeface="+mn-cs"/>
              </a:defRPr>
            </a:pPr>
            <a:r>
              <a:rPr lang="en-US" b="1"/>
              <a:t>MONTHLY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KPI!$E$39</c:f>
              <c:strCache>
                <c:ptCount val="1"/>
                <c:pt idx="0">
                  <c:v>Total</c:v>
                </c:pt>
              </c:strCache>
            </c:strRef>
          </c:tx>
          <c:spPr>
            <a:ln w="38100" cap="rnd">
              <a:solidFill>
                <a:schemeClr val="bg1"/>
              </a:solidFill>
              <a:round/>
            </a:ln>
            <a:effectLst/>
          </c:spPr>
          <c:marker>
            <c:symbol val="none"/>
          </c:marker>
          <c:cat>
            <c:strRef>
              <c:f>KPI!$D$40:$D$52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KPI!$E$40:$E$52</c:f>
              <c:numCache>
                <c:formatCode>"$"#,##0.00</c:formatCode>
                <c:ptCount val="12"/>
                <c:pt idx="0">
                  <c:v>53364879.149999976</c:v>
                </c:pt>
                <c:pt idx="1">
                  <c:v>54581318.509999968</c:v>
                </c:pt>
                <c:pt idx="2">
                  <c:v>68208577.039999992</c:v>
                </c:pt>
                <c:pt idx="3">
                  <c:v>61290667.980000019</c:v>
                </c:pt>
                <c:pt idx="4">
                  <c:v>66438712.840000041</c:v>
                </c:pt>
                <c:pt idx="5">
                  <c:v>68068797.590000018</c:v>
                </c:pt>
                <c:pt idx="6">
                  <c:v>63704041.590000004</c:v>
                </c:pt>
                <c:pt idx="7">
                  <c:v>68289792.110000014</c:v>
                </c:pt>
                <c:pt idx="8">
                  <c:v>67182864.600000009</c:v>
                </c:pt>
                <c:pt idx="9">
                  <c:v>64752967.399999976</c:v>
                </c:pt>
                <c:pt idx="10">
                  <c:v>65446841.719999969</c:v>
                </c:pt>
                <c:pt idx="11">
                  <c:v>64825711.709999979</c:v>
                </c:pt>
              </c:numCache>
            </c:numRef>
          </c:val>
          <c:smooth val="0"/>
          <c:extLst>
            <c:ext xmlns:c16="http://schemas.microsoft.com/office/drawing/2014/chart" uri="{C3380CC4-5D6E-409C-BE32-E72D297353CC}">
              <c16:uniqueId val="{00000000-CFE4-4589-A0AD-F69F3787993C}"/>
            </c:ext>
          </c:extLst>
        </c:ser>
        <c:dLbls>
          <c:showLegendKey val="0"/>
          <c:showVal val="0"/>
          <c:showCatName val="0"/>
          <c:showSerName val="0"/>
          <c:showPercent val="0"/>
          <c:showBubbleSize val="0"/>
        </c:dLbls>
        <c:smooth val="0"/>
        <c:axId val="1860818831"/>
        <c:axId val="1860820271"/>
      </c:lineChart>
      <c:catAx>
        <c:axId val="18608188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Aptos Narrow" panose="020B0004020202020204" pitchFamily="34" charset="0"/>
                <a:ea typeface="+mn-ea"/>
                <a:cs typeface="+mn-cs"/>
              </a:defRPr>
            </a:pPr>
            <a:endParaRPr lang="en-US"/>
          </a:p>
        </c:txPr>
        <c:crossAx val="1860820271"/>
        <c:crosses val="autoZero"/>
        <c:auto val="1"/>
        <c:lblAlgn val="ctr"/>
        <c:lblOffset val="100"/>
        <c:noMultiLvlLbl val="0"/>
      </c:catAx>
      <c:valAx>
        <c:axId val="1860820271"/>
        <c:scaling>
          <c:orientation val="minMax"/>
        </c:scaling>
        <c:delete val="0"/>
        <c:axPos val="l"/>
        <c:majorGridlines>
          <c:spPr>
            <a:ln w="9525" cap="flat" cmpd="sng" algn="ctr">
              <a:solidFill>
                <a:schemeClr val="bg1"/>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Aptos Narrow" panose="020B0004020202020204" pitchFamily="34" charset="0"/>
                <a:ea typeface="+mn-ea"/>
                <a:cs typeface="+mn-cs"/>
              </a:defRPr>
            </a:pPr>
            <a:endParaRPr lang="en-US"/>
          </a:p>
        </c:txPr>
        <c:crossAx val="18608188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[Hospital_Patient_Data.xlsx]KPI!PivotTable7</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Aptos Narrow" panose="020B0004020202020204" pitchFamily="34" charset="0"/>
                <a:ea typeface="+mn-ea"/>
                <a:cs typeface="+mn-cs"/>
              </a:defRPr>
            </a:pPr>
            <a:r>
              <a:rPr lang="en-US" b="1">
                <a:solidFill>
                  <a:schemeClr val="bg1"/>
                </a:solidFill>
                <a:latin typeface="Aptos Narrow" panose="020B0004020202020204" pitchFamily="34" charset="0"/>
              </a:rPr>
              <a:t>DAYS</a:t>
            </a:r>
            <a:r>
              <a:rPr lang="en-US" b="1" baseline="0">
                <a:solidFill>
                  <a:schemeClr val="bg1"/>
                </a:solidFill>
                <a:latin typeface="Aptos Narrow" panose="020B0004020202020204" pitchFamily="34" charset="0"/>
              </a:rPr>
              <a:t> STAYED BY PATIENT</a:t>
            </a:r>
            <a:endParaRPr lang="en-US" b="1">
              <a:solidFill>
                <a:schemeClr val="bg1"/>
              </a:solidFill>
              <a:latin typeface="Aptos Narrow" panose="020B0004020202020204" pitchFamily="34" charset="0"/>
            </a:endParaRPr>
          </a:p>
        </c:rich>
      </c:tx>
      <c:layout>
        <c:manualLayout>
          <c:xMode val="edge"/>
          <c:yMode val="edge"/>
          <c:x val="0.32083676774445746"/>
          <c:y val="3.6363653716847397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bg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980781412932161"/>
          <c:y val="0.19283502062242219"/>
          <c:w val="0.85087729658792655"/>
          <c:h val="0.72088764946048411"/>
        </c:manualLayout>
      </c:layout>
      <c:barChart>
        <c:barDir val="bar"/>
        <c:grouping val="stacked"/>
        <c:varyColors val="0"/>
        <c:ser>
          <c:idx val="0"/>
          <c:order val="0"/>
          <c:tx>
            <c:strRef>
              <c:f>KPI!$E$13</c:f>
              <c:strCache>
                <c:ptCount val="1"/>
                <c:pt idx="0">
                  <c:v>Total</c:v>
                </c:pt>
              </c:strCache>
            </c:strRef>
          </c:tx>
          <c:spPr>
            <a:solidFill>
              <a:schemeClr val="bg1"/>
            </a:solidFill>
            <a:ln>
              <a:noFill/>
            </a:ln>
            <a:effectLst/>
          </c:spPr>
          <c:invertIfNegative val="0"/>
          <c:cat>
            <c:strRef>
              <c:f>KPI!$D$14:$D$22</c:f>
              <c:strCache>
                <c:ptCount val="8"/>
                <c:pt idx="0">
                  <c:v>1-2</c:v>
                </c:pt>
                <c:pt idx="1">
                  <c:v>11-12</c:v>
                </c:pt>
                <c:pt idx="2">
                  <c:v>7-8</c:v>
                </c:pt>
                <c:pt idx="3">
                  <c:v>13-14</c:v>
                </c:pt>
                <c:pt idx="4">
                  <c:v>5-6</c:v>
                </c:pt>
                <c:pt idx="5">
                  <c:v>3-4</c:v>
                </c:pt>
                <c:pt idx="6">
                  <c:v>9-10</c:v>
                </c:pt>
                <c:pt idx="7">
                  <c:v>15-16</c:v>
                </c:pt>
              </c:strCache>
            </c:strRef>
          </c:cat>
          <c:val>
            <c:numRef>
              <c:f>KPI!$E$14:$E$22</c:f>
              <c:numCache>
                <c:formatCode>General</c:formatCode>
                <c:ptCount val="8"/>
                <c:pt idx="0">
                  <c:v>453</c:v>
                </c:pt>
                <c:pt idx="1">
                  <c:v>415</c:v>
                </c:pt>
                <c:pt idx="2">
                  <c:v>415</c:v>
                </c:pt>
                <c:pt idx="3">
                  <c:v>390</c:v>
                </c:pt>
                <c:pt idx="4">
                  <c:v>383</c:v>
                </c:pt>
                <c:pt idx="5">
                  <c:v>374</c:v>
                </c:pt>
                <c:pt idx="6">
                  <c:v>371</c:v>
                </c:pt>
                <c:pt idx="7">
                  <c:v>199</c:v>
                </c:pt>
              </c:numCache>
            </c:numRef>
          </c:val>
          <c:extLst>
            <c:ext xmlns:c16="http://schemas.microsoft.com/office/drawing/2014/chart" uri="{C3380CC4-5D6E-409C-BE32-E72D297353CC}">
              <c16:uniqueId val="{00000000-D659-48C5-9493-99529802407D}"/>
            </c:ext>
          </c:extLst>
        </c:ser>
        <c:dLbls>
          <c:showLegendKey val="0"/>
          <c:showVal val="0"/>
          <c:showCatName val="0"/>
          <c:showSerName val="0"/>
          <c:showPercent val="0"/>
          <c:showBubbleSize val="0"/>
        </c:dLbls>
        <c:gapWidth val="150"/>
        <c:overlap val="100"/>
        <c:axId val="2103679887"/>
        <c:axId val="2103683727"/>
      </c:barChart>
      <c:catAx>
        <c:axId val="21036798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Aptos Narrow" panose="020B0004020202020204" pitchFamily="34" charset="0"/>
                <a:ea typeface="+mn-ea"/>
                <a:cs typeface="+mn-cs"/>
              </a:defRPr>
            </a:pPr>
            <a:endParaRPr lang="en-US"/>
          </a:p>
        </c:txPr>
        <c:crossAx val="2103683727"/>
        <c:crosses val="autoZero"/>
        <c:auto val="1"/>
        <c:lblAlgn val="ctr"/>
        <c:lblOffset val="100"/>
        <c:noMultiLvlLbl val="0"/>
      </c:catAx>
      <c:valAx>
        <c:axId val="2103683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Aptos Narrow" panose="020B0004020202020204" pitchFamily="34" charset="0"/>
                <a:ea typeface="+mn-ea"/>
                <a:cs typeface="+mn-cs"/>
              </a:defRPr>
            </a:pPr>
            <a:endParaRPr lang="en-US"/>
          </a:p>
        </c:txPr>
        <c:crossAx val="2103679887"/>
        <c:crosses val="autoZero"/>
        <c:crossBetween val="between"/>
      </c:valAx>
      <c:spPr>
        <a:noFill/>
        <a:ln w="25400">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[Hospital_Patient_Data.xlsx]KPI!PivotTable8</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Aptos Narrow" panose="020B0004020202020204" pitchFamily="34" charset="0"/>
                <a:ea typeface="+mn-ea"/>
                <a:cs typeface="+mn-cs"/>
              </a:defRPr>
            </a:pPr>
            <a:r>
              <a:rPr lang="en-US" b="1">
                <a:solidFill>
                  <a:schemeClr val="bg1"/>
                </a:solidFill>
                <a:latin typeface="Aptos Narrow" panose="020B0004020202020204" pitchFamily="34" charset="0"/>
              </a:rPr>
              <a:t>PATIENT</a:t>
            </a:r>
            <a:r>
              <a:rPr lang="en-US" b="1" baseline="0">
                <a:solidFill>
                  <a:schemeClr val="bg1"/>
                </a:solidFill>
                <a:latin typeface="Aptos Narrow" panose="020B0004020202020204" pitchFamily="34" charset="0"/>
              </a:rPr>
              <a:t> BY DEPARTMENT</a:t>
            </a:r>
            <a:endParaRPr lang="en-US" b="1">
              <a:solidFill>
                <a:schemeClr val="bg1"/>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078383991145159E-2"/>
          <c:y val="0.21239885809544884"/>
          <c:w val="0.8794551203020291"/>
          <c:h val="0.35674165709601252"/>
        </c:manualLayout>
      </c:layout>
      <c:barChart>
        <c:barDir val="col"/>
        <c:grouping val="stacked"/>
        <c:varyColors val="0"/>
        <c:ser>
          <c:idx val="0"/>
          <c:order val="0"/>
          <c:tx>
            <c:strRef>
              <c:f>KPI!$H$13</c:f>
              <c:strCache>
                <c:ptCount val="1"/>
                <c:pt idx="0">
                  <c:v>Total</c:v>
                </c:pt>
              </c:strCache>
            </c:strRef>
          </c:tx>
          <c:spPr>
            <a:solidFill>
              <a:schemeClr val="bg1"/>
            </a:solidFill>
            <a:ln>
              <a:noFill/>
            </a:ln>
            <a:effectLst/>
          </c:spPr>
          <c:invertIfNegative val="0"/>
          <c:cat>
            <c:strRef>
              <c:f>KPI!$G$14:$G$21</c:f>
              <c:strCache>
                <c:ptCount val="7"/>
                <c:pt idx="0">
                  <c:v>General Medicine</c:v>
                </c:pt>
                <c:pt idx="1">
                  <c:v>Orthopedics</c:v>
                </c:pt>
                <c:pt idx="2">
                  <c:v>Neurology</c:v>
                </c:pt>
                <c:pt idx="3">
                  <c:v>Oncology</c:v>
                </c:pt>
                <c:pt idx="4">
                  <c:v>Surgery</c:v>
                </c:pt>
                <c:pt idx="5">
                  <c:v>Cardiology</c:v>
                </c:pt>
                <c:pt idx="6">
                  <c:v>Pediatrics</c:v>
                </c:pt>
              </c:strCache>
            </c:strRef>
          </c:cat>
          <c:val>
            <c:numRef>
              <c:f>KPI!$H$14:$H$21</c:f>
              <c:numCache>
                <c:formatCode>General</c:formatCode>
                <c:ptCount val="7"/>
                <c:pt idx="0">
                  <c:v>407</c:v>
                </c:pt>
                <c:pt idx="1">
                  <c:v>415</c:v>
                </c:pt>
                <c:pt idx="2">
                  <c:v>422</c:v>
                </c:pt>
                <c:pt idx="3">
                  <c:v>426</c:v>
                </c:pt>
                <c:pt idx="4">
                  <c:v>432</c:v>
                </c:pt>
                <c:pt idx="5">
                  <c:v>434</c:v>
                </c:pt>
                <c:pt idx="6">
                  <c:v>464</c:v>
                </c:pt>
              </c:numCache>
            </c:numRef>
          </c:val>
          <c:extLst>
            <c:ext xmlns:c16="http://schemas.microsoft.com/office/drawing/2014/chart" uri="{C3380CC4-5D6E-409C-BE32-E72D297353CC}">
              <c16:uniqueId val="{00000000-7A9D-4934-B83E-02FD5D6818DA}"/>
            </c:ext>
          </c:extLst>
        </c:ser>
        <c:dLbls>
          <c:showLegendKey val="0"/>
          <c:showVal val="0"/>
          <c:showCatName val="0"/>
          <c:showSerName val="0"/>
          <c:showPercent val="0"/>
          <c:showBubbleSize val="0"/>
        </c:dLbls>
        <c:gapWidth val="150"/>
        <c:overlap val="100"/>
        <c:axId val="2103693327"/>
        <c:axId val="2103696207"/>
      </c:barChart>
      <c:catAx>
        <c:axId val="21036933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Aptos Narrow" panose="020B0004020202020204" pitchFamily="34" charset="0"/>
                <a:ea typeface="+mn-ea"/>
                <a:cs typeface="+mn-cs"/>
              </a:defRPr>
            </a:pPr>
            <a:endParaRPr lang="en-US"/>
          </a:p>
        </c:txPr>
        <c:crossAx val="2103696207"/>
        <c:crosses val="autoZero"/>
        <c:auto val="1"/>
        <c:lblAlgn val="ctr"/>
        <c:lblOffset val="100"/>
        <c:noMultiLvlLbl val="0"/>
      </c:catAx>
      <c:valAx>
        <c:axId val="2103696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Aptos Narrow" panose="020B0004020202020204" pitchFamily="34" charset="0"/>
                <a:ea typeface="+mn-ea"/>
                <a:cs typeface="+mn-cs"/>
              </a:defRPr>
            </a:pPr>
            <a:endParaRPr lang="en-US"/>
          </a:p>
        </c:txPr>
        <c:crossAx val="210369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[Hospital_Patient_Data.xlsx]KPI!PivotTable3</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Aptos Narrow" panose="020B0004020202020204" pitchFamily="34" charset="0"/>
                <a:ea typeface="+mn-ea"/>
                <a:cs typeface="+mn-cs"/>
              </a:defRPr>
            </a:pPr>
            <a:r>
              <a:rPr lang="en-US" b="1">
                <a:solidFill>
                  <a:schemeClr val="bg1"/>
                </a:solidFill>
                <a:latin typeface="Aptos Narrow" panose="020B0004020202020204" pitchFamily="34" charset="0"/>
              </a:rPr>
              <a:t>PATIENT BY 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KPI!$D$3</c:f>
              <c:strCache>
                <c:ptCount val="1"/>
                <c:pt idx="0">
                  <c:v>Total</c:v>
                </c:pt>
              </c:strCache>
            </c:strRef>
          </c:tx>
          <c:spPr>
            <a:solidFill>
              <a:schemeClr val="bg1"/>
            </a:solidFill>
            <a:ln>
              <a:noFill/>
            </a:ln>
            <a:effectLst/>
          </c:spPr>
          <c:invertIfNegative val="0"/>
          <c:cat>
            <c:strRef>
              <c:f>KPI!$C$4:$C$9</c:f>
              <c:strCache>
                <c:ptCount val="5"/>
                <c:pt idx="0">
                  <c:v>81-100</c:v>
                </c:pt>
                <c:pt idx="1">
                  <c:v>41-60</c:v>
                </c:pt>
                <c:pt idx="2">
                  <c:v>61-80</c:v>
                </c:pt>
                <c:pt idx="3">
                  <c:v>1-20</c:v>
                </c:pt>
                <c:pt idx="4">
                  <c:v>21-40</c:v>
                </c:pt>
              </c:strCache>
            </c:strRef>
          </c:cat>
          <c:val>
            <c:numRef>
              <c:f>KPI!$D$4:$D$9</c:f>
              <c:numCache>
                <c:formatCode>General</c:formatCode>
                <c:ptCount val="5"/>
                <c:pt idx="0">
                  <c:v>321</c:v>
                </c:pt>
                <c:pt idx="1">
                  <c:v>642</c:v>
                </c:pt>
                <c:pt idx="2">
                  <c:v>647</c:v>
                </c:pt>
                <c:pt idx="3">
                  <c:v>691</c:v>
                </c:pt>
                <c:pt idx="4">
                  <c:v>699</c:v>
                </c:pt>
              </c:numCache>
            </c:numRef>
          </c:val>
          <c:extLst>
            <c:ext xmlns:c16="http://schemas.microsoft.com/office/drawing/2014/chart" uri="{C3380CC4-5D6E-409C-BE32-E72D297353CC}">
              <c16:uniqueId val="{00000000-1F26-49D0-B9B7-2069371F3BA3}"/>
            </c:ext>
          </c:extLst>
        </c:ser>
        <c:dLbls>
          <c:showLegendKey val="0"/>
          <c:showVal val="0"/>
          <c:showCatName val="0"/>
          <c:showSerName val="0"/>
          <c:showPercent val="0"/>
          <c:showBubbleSize val="0"/>
        </c:dLbls>
        <c:gapWidth val="150"/>
        <c:overlap val="100"/>
        <c:axId val="252806511"/>
        <c:axId val="252790191"/>
      </c:barChart>
      <c:catAx>
        <c:axId val="2528065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Aptos Narrow" panose="020B0004020202020204" pitchFamily="34" charset="0"/>
                <a:ea typeface="+mn-ea"/>
                <a:cs typeface="+mn-cs"/>
              </a:defRPr>
            </a:pPr>
            <a:endParaRPr lang="en-US"/>
          </a:p>
        </c:txPr>
        <c:crossAx val="252790191"/>
        <c:crosses val="autoZero"/>
        <c:auto val="1"/>
        <c:lblAlgn val="ctr"/>
        <c:lblOffset val="100"/>
        <c:noMultiLvlLbl val="0"/>
      </c:catAx>
      <c:valAx>
        <c:axId val="252790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Aptos Narrow" panose="020B0004020202020204" pitchFamily="34" charset="0"/>
                <a:ea typeface="+mn-ea"/>
                <a:cs typeface="+mn-cs"/>
              </a:defRPr>
            </a:pPr>
            <a:endParaRPr lang="en-US"/>
          </a:p>
        </c:txPr>
        <c:crossAx val="25280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[Hospital_Patient_Data.xlsx]KPI!PivotTable4</c:name>
    <c:fmtId val="2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Aptos Narrow" panose="020B0004020202020204" pitchFamily="34" charset="0"/>
                <a:ea typeface="+mn-ea"/>
                <a:cs typeface="+mn-cs"/>
              </a:defRPr>
            </a:pPr>
            <a:r>
              <a:rPr lang="en-US" b="1">
                <a:latin typeface="Aptos Narrow" panose="020B0004020202020204" pitchFamily="34" charset="0"/>
              </a:rPr>
              <a:t>PATIENT</a:t>
            </a:r>
            <a:r>
              <a:rPr lang="en-US" b="1" baseline="0">
                <a:latin typeface="Aptos Narrow" panose="020B0004020202020204" pitchFamily="34" charset="0"/>
              </a:rPr>
              <a:t> BY AGE</a:t>
            </a:r>
            <a:endParaRPr lang="en-US"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Aptos Narrow" panose="020B0004020202020204" pitchFamily="34" charset="0"/>
              <a:ea typeface="+mn-ea"/>
              <a:cs typeface="+mn-cs"/>
            </a:defRPr>
          </a:pPr>
          <a:endParaRPr lang="en-US"/>
        </a:p>
      </c:txPr>
    </c:title>
    <c:autoTitleDeleted val="0"/>
    <c:pivotFmts>
      <c:pivotFmt>
        <c:idx val="0"/>
        <c:spPr>
          <a:solidFill>
            <a:schemeClr val="lt1"/>
          </a:solid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lt1"/>
          </a:solid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a:gsLst>
              <a:gs pos="0">
                <a:srgbClr val="7030A0">
                  <a:lumMod val="73000"/>
                </a:srgbClr>
              </a:gs>
              <a:gs pos="100000">
                <a:schemeClr val="accent4">
                  <a:lumMod val="60000"/>
                  <a:lumOff val="40000"/>
                </a:schemeClr>
              </a:gs>
            </a:gsLst>
            <a:lin ang="5400000" scaled="1"/>
          </a:gradFill>
          <a:ln w="19050">
            <a:noFill/>
          </a:ln>
          <a:effectLst/>
        </c:spPr>
        <c:dLbl>
          <c:idx val="0"/>
          <c:layout>
            <c:manualLayout>
              <c:x val="-0.25761403281379963"/>
              <c:y val="-6.5998792404476302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a:gsLst>
              <a:gs pos="0">
                <a:srgbClr val="7030A0"/>
              </a:gs>
              <a:gs pos="100000">
                <a:schemeClr val="accent4">
                  <a:lumMod val="60000"/>
                  <a:lumOff val="40000"/>
                </a:schemeClr>
              </a:gs>
            </a:gsLst>
            <a:lin ang="5400000" scaled="1"/>
          </a:gradFill>
          <a:ln w="19050">
            <a:noFill/>
          </a:ln>
          <a:effectLst/>
        </c:spPr>
        <c:dLbl>
          <c:idx val="0"/>
          <c:layout>
            <c:manualLayout>
              <c:x val="0.22601557521359208"/>
              <c:y val="5.6633765849691323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KPI!$G$3</c:f>
              <c:strCache>
                <c:ptCount val="1"/>
                <c:pt idx="0">
                  <c:v>Total</c:v>
                </c:pt>
              </c:strCache>
            </c:strRef>
          </c:tx>
          <c:spPr>
            <a:solidFill>
              <a:schemeClr val="lt1"/>
            </a:solidFill>
            <a:ln w="19050">
              <a:noFill/>
            </a:ln>
            <a:effectLst/>
          </c:spPr>
          <c:dPt>
            <c:idx val="0"/>
            <c:bubble3D val="0"/>
            <c:spPr>
              <a:gradFill>
                <a:gsLst>
                  <a:gs pos="0">
                    <a:srgbClr val="7030A0">
                      <a:lumMod val="73000"/>
                    </a:srgbClr>
                  </a:gs>
                  <a:gs pos="100000">
                    <a:schemeClr val="accent4">
                      <a:lumMod val="60000"/>
                      <a:lumOff val="40000"/>
                    </a:schemeClr>
                  </a:gs>
                </a:gsLst>
                <a:lin ang="5400000" scaled="1"/>
              </a:gradFill>
              <a:ln w="19050">
                <a:noFill/>
              </a:ln>
              <a:effectLst/>
            </c:spPr>
            <c:extLst>
              <c:ext xmlns:c16="http://schemas.microsoft.com/office/drawing/2014/chart" uri="{C3380CC4-5D6E-409C-BE32-E72D297353CC}">
                <c16:uniqueId val="{00000001-A48B-41AB-AAC5-CCE43A168D67}"/>
              </c:ext>
            </c:extLst>
          </c:dPt>
          <c:dPt>
            <c:idx val="1"/>
            <c:bubble3D val="0"/>
            <c:spPr>
              <a:gradFill>
                <a:gsLst>
                  <a:gs pos="0">
                    <a:srgbClr val="7030A0"/>
                  </a:gs>
                  <a:gs pos="100000">
                    <a:schemeClr val="accent4">
                      <a:lumMod val="60000"/>
                      <a:lumOff val="40000"/>
                    </a:schemeClr>
                  </a:gs>
                </a:gsLst>
                <a:lin ang="5400000" scaled="1"/>
              </a:gradFill>
              <a:ln w="19050">
                <a:noFill/>
              </a:ln>
              <a:effectLst/>
            </c:spPr>
            <c:extLst>
              <c:ext xmlns:c16="http://schemas.microsoft.com/office/drawing/2014/chart" uri="{C3380CC4-5D6E-409C-BE32-E72D297353CC}">
                <c16:uniqueId val="{00000003-A48B-41AB-AAC5-CCE43A168D67}"/>
              </c:ext>
            </c:extLst>
          </c:dPt>
          <c:dLbls>
            <c:dLbl>
              <c:idx val="0"/>
              <c:layout>
                <c:manualLayout>
                  <c:x val="-0.25761403281379963"/>
                  <c:y val="-6.5998792404476302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48B-41AB-AAC5-CCE43A168D67}"/>
                </c:ext>
              </c:extLst>
            </c:dLbl>
            <c:dLbl>
              <c:idx val="1"/>
              <c:layout>
                <c:manualLayout>
                  <c:x val="0.22601557521359208"/>
                  <c:y val="5.6633765849691323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48B-41AB-AAC5-CCE43A168D6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KPI!$F$4:$F$6</c:f>
              <c:strCache>
                <c:ptCount val="2"/>
                <c:pt idx="0">
                  <c:v>Female</c:v>
                </c:pt>
                <c:pt idx="1">
                  <c:v>Male</c:v>
                </c:pt>
              </c:strCache>
            </c:strRef>
          </c:cat>
          <c:val>
            <c:numRef>
              <c:f>KPI!$G$4:$G$6</c:f>
              <c:numCache>
                <c:formatCode>General</c:formatCode>
                <c:ptCount val="2"/>
                <c:pt idx="0">
                  <c:v>1503</c:v>
                </c:pt>
                <c:pt idx="1">
                  <c:v>1497</c:v>
                </c:pt>
              </c:numCache>
            </c:numRef>
          </c:val>
          <c:extLst>
            <c:ext xmlns:c16="http://schemas.microsoft.com/office/drawing/2014/chart" uri="{C3380CC4-5D6E-409C-BE32-E72D297353CC}">
              <c16:uniqueId val="{00000004-A48B-41AB-AAC5-CCE43A168D67}"/>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data id="1">
      <cx:strDim type="cat">
        <cx:f>_xlchart.v1.0</cx:f>
      </cx:strDim>
      <cx:numDim type="val">
        <cx:f>_xlchart.v1.2</cx:f>
      </cx:numDim>
    </cx:data>
  </cx:chartData>
  <cx:chart>
    <cx:title pos="t" align="ctr" overlay="0">
      <cx:tx>
        <cx:txData>
          <cx:v>PATIENT BY DIAGNOSIS</cx:v>
        </cx:txData>
      </cx:tx>
      <cx:txPr>
        <a:bodyPr spcFirstLastPara="1" vertOverflow="ellipsis" horzOverflow="overflow" wrap="square" lIns="0" tIns="0" rIns="0" bIns="0" anchor="ctr" anchorCtr="1"/>
        <a:lstStyle/>
        <a:p>
          <a:pPr algn="ctr" rtl="0">
            <a:defRPr b="1">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r>
            <a:rPr lang="en-US" sz="1400" b="1" i="0" u="none" strike="noStrike" baseline="0">
              <a:solidFill>
                <a:schemeClr val="bg1"/>
              </a:solidFill>
              <a:latin typeface="Aptos Narrow" panose="020B0004020202020204" pitchFamily="34" charset="0"/>
            </a:rPr>
            <a:t>PATIENT BY DIAGNOSIS</a:t>
          </a:r>
        </a:p>
      </cx:txPr>
    </cx:title>
    <cx:plotArea>
      <cx:plotAreaRegion>
        <cx:series layoutId="waterfall" uniqueId="{B02AB691-761F-45F3-80C0-8B89EB27228D}" formatIdx="0">
          <cx:spPr>
            <a:solidFill>
              <a:schemeClr val="bg1"/>
            </a:solidFill>
            <a:ln>
              <a:noFill/>
            </a:ln>
          </cx:spPr>
          <cx:dataLabels pos="outEnd">
            <cx:txPr>
              <a:bodyPr spcFirstLastPara="1" vertOverflow="ellipsis" horzOverflow="overflow" wrap="square" lIns="0" tIns="0" rIns="0" bIns="0" anchor="ctr" anchorCtr="1"/>
              <a:lstStyle/>
              <a:p>
                <a:pPr algn="ctr" rtl="0">
                  <a:defRPr b="1">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sz="900" b="1" i="0" u="none" strike="noStrike" baseline="0">
                  <a:solidFill>
                    <a:schemeClr val="bg1"/>
                  </a:solidFill>
                  <a:latin typeface="Aptos Narrow" panose="020B0004020202020204" pitchFamily="34" charset="0"/>
                </a:endParaRPr>
              </a:p>
            </cx:txPr>
            <cx:visibility seriesName="0" categoryName="0" value="1"/>
          </cx:dataLabels>
          <cx:dataId val="0"/>
          <cx:layoutPr>
            <cx:subtotals/>
          </cx:layoutPr>
        </cx:series>
        <cx:series layoutId="waterfall" hidden="1" uniqueId="{2CA6E299-D496-4EC7-85C9-9BC11CD80238}" formatIdx="1">
          <cx:dataLabels pos="outEnd">
            <cx:visibility seriesName="0" categoryName="0" value="1"/>
          </cx:dataLabels>
          <cx:dataId val="1"/>
          <cx:layoutPr>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b="1">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sz="900" b="1" i="0" u="none" strike="noStrike" baseline="0">
              <a:solidFill>
                <a:schemeClr val="bg1"/>
              </a:solidFill>
              <a:latin typeface="Aptos Narrow" panose="020B0004020202020204" pitchFamily="34" charset="0"/>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561975</xdr:colOff>
      <xdr:row>0</xdr:row>
      <xdr:rowOff>133350</xdr:rowOff>
    </xdr:from>
    <xdr:to>
      <xdr:col>25</xdr:col>
      <xdr:colOff>266700</xdr:colOff>
      <xdr:row>5</xdr:row>
      <xdr:rowOff>85725</xdr:rowOff>
    </xdr:to>
    <xdr:sp macro="" textlink="">
      <xdr:nvSpPr>
        <xdr:cNvPr id="3" name="Rectangle: Rounded Corners 2">
          <a:extLst>
            <a:ext uri="{FF2B5EF4-FFF2-40B4-BE49-F238E27FC236}">
              <a16:creationId xmlns:a16="http://schemas.microsoft.com/office/drawing/2014/main" id="{31477A98-30BE-55DD-EA92-562C129D8933}"/>
            </a:ext>
          </a:extLst>
        </xdr:cNvPr>
        <xdr:cNvSpPr/>
      </xdr:nvSpPr>
      <xdr:spPr>
        <a:xfrm>
          <a:off x="1171575" y="133350"/>
          <a:ext cx="14335125" cy="904875"/>
        </a:xfrm>
        <a:prstGeom prst="roundRect">
          <a:avLst>
            <a:gd name="adj" fmla="val 2983"/>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390524</xdr:colOff>
      <xdr:row>0</xdr:row>
      <xdr:rowOff>133350</xdr:rowOff>
    </xdr:from>
    <xdr:to>
      <xdr:col>21</xdr:col>
      <xdr:colOff>361949</xdr:colOff>
      <xdr:row>4</xdr:row>
      <xdr:rowOff>114300</xdr:rowOff>
    </xdr:to>
    <xdr:sp macro="" textlink="">
      <xdr:nvSpPr>
        <xdr:cNvPr id="4" name="TextBox 3">
          <a:extLst>
            <a:ext uri="{FF2B5EF4-FFF2-40B4-BE49-F238E27FC236}">
              <a16:creationId xmlns:a16="http://schemas.microsoft.com/office/drawing/2014/main" id="{8E185249-84FD-26F0-BEDE-C48CC046A544}"/>
            </a:ext>
          </a:extLst>
        </xdr:cNvPr>
        <xdr:cNvSpPr txBox="1"/>
      </xdr:nvSpPr>
      <xdr:spPr>
        <a:xfrm>
          <a:off x="4048124" y="133350"/>
          <a:ext cx="9115425"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a:solidFill>
                <a:schemeClr val="bg1"/>
              </a:solidFill>
              <a:latin typeface="Aptos Narrow" panose="020B0004020202020204" pitchFamily="34" charset="0"/>
            </a:rPr>
            <a:t>HOSPITAL PATIENT</a:t>
          </a:r>
          <a:r>
            <a:rPr lang="en-US" sz="5400" b="1" baseline="0">
              <a:solidFill>
                <a:schemeClr val="bg1"/>
              </a:solidFill>
              <a:latin typeface="Aptos Narrow" panose="020B0004020202020204" pitchFamily="34" charset="0"/>
            </a:rPr>
            <a:t> DASHBORD</a:t>
          </a:r>
          <a:endParaRPr lang="en-US" sz="5400" b="1">
            <a:solidFill>
              <a:schemeClr val="bg1"/>
            </a:solidFill>
            <a:latin typeface="Aptos Narrow" panose="020B0004020202020204" pitchFamily="34" charset="0"/>
          </a:endParaRPr>
        </a:p>
      </xdr:txBody>
    </xdr:sp>
    <xdr:clientData/>
  </xdr:twoCellAnchor>
  <xdr:twoCellAnchor>
    <xdr:from>
      <xdr:col>1</xdr:col>
      <xdr:colOff>561975</xdr:colOff>
      <xdr:row>7</xdr:row>
      <xdr:rowOff>0</xdr:rowOff>
    </xdr:from>
    <xdr:to>
      <xdr:col>7</xdr:col>
      <xdr:colOff>47625</xdr:colOff>
      <xdr:row>11</xdr:row>
      <xdr:rowOff>142875</xdr:rowOff>
    </xdr:to>
    <xdr:sp macro="" textlink="">
      <xdr:nvSpPr>
        <xdr:cNvPr id="5" name="Rectangle: Rounded Corners 4">
          <a:extLst>
            <a:ext uri="{FF2B5EF4-FFF2-40B4-BE49-F238E27FC236}">
              <a16:creationId xmlns:a16="http://schemas.microsoft.com/office/drawing/2014/main" id="{1E87238F-F37B-4B8E-8C59-17E5C084CE20}"/>
            </a:ext>
          </a:extLst>
        </xdr:cNvPr>
        <xdr:cNvSpPr/>
      </xdr:nvSpPr>
      <xdr:spPr>
        <a:xfrm>
          <a:off x="1171575" y="1333500"/>
          <a:ext cx="3143250" cy="904875"/>
        </a:xfrm>
        <a:prstGeom prst="roundRect">
          <a:avLst>
            <a:gd name="adj" fmla="val 2983"/>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561975</xdr:colOff>
      <xdr:row>12</xdr:row>
      <xdr:rowOff>133350</xdr:rowOff>
    </xdr:from>
    <xdr:to>
      <xdr:col>7</xdr:col>
      <xdr:colOff>47625</xdr:colOff>
      <xdr:row>17</xdr:row>
      <xdr:rowOff>85725</xdr:rowOff>
    </xdr:to>
    <xdr:sp macro="" textlink="">
      <xdr:nvSpPr>
        <xdr:cNvPr id="6" name="Rectangle: Rounded Corners 5">
          <a:extLst>
            <a:ext uri="{FF2B5EF4-FFF2-40B4-BE49-F238E27FC236}">
              <a16:creationId xmlns:a16="http://schemas.microsoft.com/office/drawing/2014/main" id="{760F61EF-5172-447F-95F1-94B71144DBE4}"/>
            </a:ext>
          </a:extLst>
        </xdr:cNvPr>
        <xdr:cNvSpPr/>
      </xdr:nvSpPr>
      <xdr:spPr>
        <a:xfrm>
          <a:off x="1171575" y="2419350"/>
          <a:ext cx="3143250" cy="904875"/>
        </a:xfrm>
        <a:prstGeom prst="roundRect">
          <a:avLst>
            <a:gd name="adj" fmla="val 2983"/>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561975</xdr:colOff>
      <xdr:row>18</xdr:row>
      <xdr:rowOff>66675</xdr:rowOff>
    </xdr:from>
    <xdr:to>
      <xdr:col>7</xdr:col>
      <xdr:colOff>47625</xdr:colOff>
      <xdr:row>23</xdr:row>
      <xdr:rowOff>19050</xdr:rowOff>
    </xdr:to>
    <xdr:sp macro="" textlink="">
      <xdr:nvSpPr>
        <xdr:cNvPr id="7" name="Rectangle: Rounded Corners 6">
          <a:extLst>
            <a:ext uri="{FF2B5EF4-FFF2-40B4-BE49-F238E27FC236}">
              <a16:creationId xmlns:a16="http://schemas.microsoft.com/office/drawing/2014/main" id="{6E7D699B-E958-4612-A102-3B02E897034D}"/>
            </a:ext>
          </a:extLst>
        </xdr:cNvPr>
        <xdr:cNvSpPr/>
      </xdr:nvSpPr>
      <xdr:spPr>
        <a:xfrm>
          <a:off x="1171575" y="3495675"/>
          <a:ext cx="3143250" cy="904875"/>
        </a:xfrm>
        <a:prstGeom prst="roundRect">
          <a:avLst>
            <a:gd name="adj" fmla="val 2983"/>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9526</xdr:colOff>
      <xdr:row>24</xdr:row>
      <xdr:rowOff>66675</xdr:rowOff>
    </xdr:from>
    <xdr:to>
      <xdr:col>7</xdr:col>
      <xdr:colOff>104776</xdr:colOff>
      <xdr:row>29</xdr:row>
      <xdr:rowOff>19050</xdr:rowOff>
    </xdr:to>
    <xdr:sp macro="" textlink="">
      <xdr:nvSpPr>
        <xdr:cNvPr id="8" name="Rectangle: Rounded Corners 7">
          <a:extLst>
            <a:ext uri="{FF2B5EF4-FFF2-40B4-BE49-F238E27FC236}">
              <a16:creationId xmlns:a16="http://schemas.microsoft.com/office/drawing/2014/main" id="{F7AB89AE-C360-4C03-8949-0AEFFD275A1C}"/>
            </a:ext>
          </a:extLst>
        </xdr:cNvPr>
        <xdr:cNvSpPr/>
      </xdr:nvSpPr>
      <xdr:spPr>
        <a:xfrm>
          <a:off x="1228726" y="4638675"/>
          <a:ext cx="3143250" cy="904875"/>
        </a:xfrm>
        <a:prstGeom prst="roundRect">
          <a:avLst>
            <a:gd name="adj" fmla="val 2983"/>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219075</xdr:colOff>
      <xdr:row>7</xdr:row>
      <xdr:rowOff>19049</xdr:rowOff>
    </xdr:from>
    <xdr:to>
      <xdr:col>13</xdr:col>
      <xdr:colOff>533400</xdr:colOff>
      <xdr:row>17</xdr:row>
      <xdr:rowOff>161924</xdr:rowOff>
    </xdr:to>
    <xdr:sp macro="" textlink="">
      <xdr:nvSpPr>
        <xdr:cNvPr id="9" name="Rectangle: Rounded Corners 8">
          <a:extLst>
            <a:ext uri="{FF2B5EF4-FFF2-40B4-BE49-F238E27FC236}">
              <a16:creationId xmlns:a16="http://schemas.microsoft.com/office/drawing/2014/main" id="{D0ACD716-828A-452B-8182-7C916241227C}"/>
            </a:ext>
          </a:extLst>
        </xdr:cNvPr>
        <xdr:cNvSpPr/>
      </xdr:nvSpPr>
      <xdr:spPr>
        <a:xfrm>
          <a:off x="4486275" y="1352549"/>
          <a:ext cx="3971925" cy="2047875"/>
        </a:xfrm>
        <a:prstGeom prst="roundRect">
          <a:avLst>
            <a:gd name="adj" fmla="val 2983"/>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209550</xdr:colOff>
      <xdr:row>18</xdr:row>
      <xdr:rowOff>85725</xdr:rowOff>
    </xdr:from>
    <xdr:to>
      <xdr:col>13</xdr:col>
      <xdr:colOff>523875</xdr:colOff>
      <xdr:row>33</xdr:row>
      <xdr:rowOff>19050</xdr:rowOff>
    </xdr:to>
    <xdr:sp macro="" textlink="">
      <xdr:nvSpPr>
        <xdr:cNvPr id="11" name="Rectangle: Rounded Corners 10">
          <a:extLst>
            <a:ext uri="{FF2B5EF4-FFF2-40B4-BE49-F238E27FC236}">
              <a16:creationId xmlns:a16="http://schemas.microsoft.com/office/drawing/2014/main" id="{47657CB6-9935-4D21-A079-2EDED8762072}"/>
            </a:ext>
          </a:extLst>
        </xdr:cNvPr>
        <xdr:cNvSpPr/>
      </xdr:nvSpPr>
      <xdr:spPr>
        <a:xfrm>
          <a:off x="4476750" y="3514725"/>
          <a:ext cx="3971925" cy="2790825"/>
        </a:xfrm>
        <a:prstGeom prst="roundRect">
          <a:avLst>
            <a:gd name="adj" fmla="val 2983"/>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600075</xdr:colOff>
      <xdr:row>18</xdr:row>
      <xdr:rowOff>104775</xdr:rowOff>
    </xdr:from>
    <xdr:to>
      <xdr:col>21</xdr:col>
      <xdr:colOff>257174</xdr:colOff>
      <xdr:row>33</xdr:row>
      <xdr:rowOff>19050</xdr:rowOff>
    </xdr:to>
    <xdr:sp macro="" textlink="">
      <xdr:nvSpPr>
        <xdr:cNvPr id="12" name="Rectangle: Rounded Corners 11">
          <a:extLst>
            <a:ext uri="{FF2B5EF4-FFF2-40B4-BE49-F238E27FC236}">
              <a16:creationId xmlns:a16="http://schemas.microsoft.com/office/drawing/2014/main" id="{85CA2FF3-D545-44BB-9F60-E23656CD5E97}"/>
            </a:ext>
          </a:extLst>
        </xdr:cNvPr>
        <xdr:cNvSpPr/>
      </xdr:nvSpPr>
      <xdr:spPr>
        <a:xfrm>
          <a:off x="8524875" y="3533775"/>
          <a:ext cx="4533899" cy="2771775"/>
        </a:xfrm>
        <a:prstGeom prst="roundRect">
          <a:avLst>
            <a:gd name="adj" fmla="val 2983"/>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600076</xdr:colOff>
      <xdr:row>7</xdr:row>
      <xdr:rowOff>19049</xdr:rowOff>
    </xdr:from>
    <xdr:to>
      <xdr:col>21</xdr:col>
      <xdr:colOff>257175</xdr:colOff>
      <xdr:row>17</xdr:row>
      <xdr:rowOff>142874</xdr:rowOff>
    </xdr:to>
    <xdr:sp macro="" textlink="">
      <xdr:nvSpPr>
        <xdr:cNvPr id="13" name="Rectangle: Rounded Corners 12">
          <a:extLst>
            <a:ext uri="{FF2B5EF4-FFF2-40B4-BE49-F238E27FC236}">
              <a16:creationId xmlns:a16="http://schemas.microsoft.com/office/drawing/2014/main" id="{B9CB2EFC-B88F-4F1F-9BFF-B603D19A5313}"/>
            </a:ext>
          </a:extLst>
        </xdr:cNvPr>
        <xdr:cNvSpPr/>
      </xdr:nvSpPr>
      <xdr:spPr>
        <a:xfrm>
          <a:off x="8524876" y="1352549"/>
          <a:ext cx="4533899" cy="2028825"/>
        </a:xfrm>
        <a:prstGeom prst="roundRect">
          <a:avLst>
            <a:gd name="adj" fmla="val 2983"/>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333376</xdr:colOff>
      <xdr:row>7</xdr:row>
      <xdr:rowOff>9525</xdr:rowOff>
    </xdr:from>
    <xdr:to>
      <xdr:col>6</xdr:col>
      <xdr:colOff>542925</xdr:colOff>
      <xdr:row>9</xdr:row>
      <xdr:rowOff>28574</xdr:rowOff>
    </xdr:to>
    <xdr:sp macro="" textlink="">
      <xdr:nvSpPr>
        <xdr:cNvPr id="15" name="TextBox 14">
          <a:extLst>
            <a:ext uri="{FF2B5EF4-FFF2-40B4-BE49-F238E27FC236}">
              <a16:creationId xmlns:a16="http://schemas.microsoft.com/office/drawing/2014/main" id="{7ECD1675-DB53-42B3-90D4-6C5E58079FF8}"/>
            </a:ext>
          </a:extLst>
        </xdr:cNvPr>
        <xdr:cNvSpPr txBox="1"/>
      </xdr:nvSpPr>
      <xdr:spPr>
        <a:xfrm>
          <a:off x="1552576" y="1343025"/>
          <a:ext cx="2647949" cy="40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Aptos Narrow" panose="020B0004020202020204" pitchFamily="34" charset="0"/>
            </a:rPr>
            <a:t>TOTAL</a:t>
          </a:r>
          <a:r>
            <a:rPr lang="en-US" sz="2800" b="1" baseline="0">
              <a:solidFill>
                <a:schemeClr val="bg1"/>
              </a:solidFill>
              <a:latin typeface="Aptos Narrow" panose="020B0004020202020204" pitchFamily="34" charset="0"/>
            </a:rPr>
            <a:t> REVENUE</a:t>
          </a:r>
          <a:endParaRPr lang="en-US" sz="2800" b="1">
            <a:solidFill>
              <a:schemeClr val="bg1"/>
            </a:solidFill>
            <a:latin typeface="Aptos Narrow" panose="020B0004020202020204" pitchFamily="34" charset="0"/>
          </a:endParaRPr>
        </a:p>
      </xdr:txBody>
    </xdr:sp>
    <xdr:clientData/>
  </xdr:twoCellAnchor>
  <xdr:twoCellAnchor>
    <xdr:from>
      <xdr:col>2</xdr:col>
      <xdr:colOff>352426</xdr:colOff>
      <xdr:row>12</xdr:row>
      <xdr:rowOff>133350</xdr:rowOff>
    </xdr:from>
    <xdr:to>
      <xdr:col>6</xdr:col>
      <xdr:colOff>561975</xdr:colOff>
      <xdr:row>15</xdr:row>
      <xdr:rowOff>0</xdr:rowOff>
    </xdr:to>
    <xdr:sp macro="" textlink="">
      <xdr:nvSpPr>
        <xdr:cNvPr id="16" name="TextBox 15">
          <a:extLst>
            <a:ext uri="{FF2B5EF4-FFF2-40B4-BE49-F238E27FC236}">
              <a16:creationId xmlns:a16="http://schemas.microsoft.com/office/drawing/2014/main" id="{1A25DC46-EC29-4095-9729-3C58DBC3CE95}"/>
            </a:ext>
          </a:extLst>
        </xdr:cNvPr>
        <xdr:cNvSpPr txBox="1"/>
      </xdr:nvSpPr>
      <xdr:spPr>
        <a:xfrm>
          <a:off x="1571626" y="2419350"/>
          <a:ext cx="2647949"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Aptos Narrow" panose="020B0004020202020204" pitchFamily="34" charset="0"/>
            </a:rPr>
            <a:t>TOTAL</a:t>
          </a:r>
          <a:r>
            <a:rPr lang="en-US" sz="2800" b="1" baseline="0">
              <a:solidFill>
                <a:schemeClr val="bg1"/>
              </a:solidFill>
              <a:latin typeface="Aptos Narrow" panose="020B0004020202020204" pitchFamily="34" charset="0"/>
            </a:rPr>
            <a:t> PATIENT</a:t>
          </a:r>
          <a:endParaRPr lang="en-US" sz="2800" b="1">
            <a:solidFill>
              <a:schemeClr val="bg1"/>
            </a:solidFill>
            <a:latin typeface="Aptos Narrow" panose="020B0004020202020204" pitchFamily="34" charset="0"/>
          </a:endParaRPr>
        </a:p>
      </xdr:txBody>
    </xdr:sp>
    <xdr:clientData/>
  </xdr:twoCellAnchor>
  <xdr:twoCellAnchor>
    <xdr:from>
      <xdr:col>2</xdr:col>
      <xdr:colOff>133351</xdr:colOff>
      <xdr:row>18</xdr:row>
      <xdr:rowOff>66675</xdr:rowOff>
    </xdr:from>
    <xdr:to>
      <xdr:col>7</xdr:col>
      <xdr:colOff>85725</xdr:colOff>
      <xdr:row>20</xdr:row>
      <xdr:rowOff>123825</xdr:rowOff>
    </xdr:to>
    <xdr:sp macro="" textlink="">
      <xdr:nvSpPr>
        <xdr:cNvPr id="17" name="TextBox 16">
          <a:extLst>
            <a:ext uri="{FF2B5EF4-FFF2-40B4-BE49-F238E27FC236}">
              <a16:creationId xmlns:a16="http://schemas.microsoft.com/office/drawing/2014/main" id="{9C7217BB-64DC-4B72-8639-596ABD44119C}"/>
            </a:ext>
          </a:extLst>
        </xdr:cNvPr>
        <xdr:cNvSpPr txBox="1"/>
      </xdr:nvSpPr>
      <xdr:spPr>
        <a:xfrm>
          <a:off x="1352551" y="3495675"/>
          <a:ext cx="300037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Aptos Narrow" panose="020B0004020202020204" pitchFamily="34" charset="0"/>
            </a:rPr>
            <a:t>AVG.</a:t>
          </a:r>
          <a:r>
            <a:rPr lang="en-US" sz="2800" b="1" baseline="0">
              <a:solidFill>
                <a:schemeClr val="bg1"/>
              </a:solidFill>
              <a:latin typeface="Aptos Narrow" panose="020B0004020202020204" pitchFamily="34" charset="0"/>
            </a:rPr>
            <a:t> LENGTH STAY</a:t>
          </a:r>
          <a:endParaRPr lang="en-US" sz="2800" b="1">
            <a:solidFill>
              <a:schemeClr val="bg1"/>
            </a:solidFill>
            <a:latin typeface="Aptos Narrow" panose="020B0004020202020204" pitchFamily="34" charset="0"/>
          </a:endParaRPr>
        </a:p>
      </xdr:txBody>
    </xdr:sp>
    <xdr:clientData/>
  </xdr:twoCellAnchor>
  <xdr:twoCellAnchor>
    <xdr:from>
      <xdr:col>2</xdr:col>
      <xdr:colOff>314325</xdr:colOff>
      <xdr:row>9</xdr:row>
      <xdr:rowOff>85725</xdr:rowOff>
    </xdr:from>
    <xdr:to>
      <xdr:col>6</xdr:col>
      <xdr:colOff>590550</xdr:colOff>
      <xdr:row>11</xdr:row>
      <xdr:rowOff>104775</xdr:rowOff>
    </xdr:to>
    <xdr:sp macro="" textlink="">
      <xdr:nvSpPr>
        <xdr:cNvPr id="18" name="TextBox 17">
          <a:extLst>
            <a:ext uri="{FF2B5EF4-FFF2-40B4-BE49-F238E27FC236}">
              <a16:creationId xmlns:a16="http://schemas.microsoft.com/office/drawing/2014/main" id="{8B012BFE-D9EE-7F55-9E22-ED4BC4FC6669}"/>
            </a:ext>
          </a:extLst>
        </xdr:cNvPr>
        <xdr:cNvSpPr txBox="1"/>
      </xdr:nvSpPr>
      <xdr:spPr>
        <a:xfrm>
          <a:off x="1533525" y="1800225"/>
          <a:ext cx="27146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bg1"/>
              </a:solidFill>
              <a:effectLst/>
              <a:latin typeface="Aptos Narrow" panose="020B0004020202020204" pitchFamily="34" charset="0"/>
              <a:ea typeface="+mn-ea"/>
              <a:cs typeface="+mn-cs"/>
            </a:rPr>
            <a:t>$766,155,172.24</a:t>
          </a:r>
          <a:r>
            <a:rPr lang="en-US" sz="2800" b="1">
              <a:solidFill>
                <a:schemeClr val="bg1"/>
              </a:solidFill>
              <a:effectLst/>
              <a:latin typeface="Aptos Narrow" panose="020B0004020202020204" pitchFamily="34" charset="0"/>
            </a:rPr>
            <a:t> </a:t>
          </a:r>
          <a:endParaRPr lang="en-US" sz="2800" b="1">
            <a:solidFill>
              <a:schemeClr val="bg1"/>
            </a:solidFill>
            <a:latin typeface="Aptos Narrow" panose="020B0004020202020204" pitchFamily="34" charset="0"/>
          </a:endParaRPr>
        </a:p>
      </xdr:txBody>
    </xdr:sp>
    <xdr:clientData/>
  </xdr:twoCellAnchor>
  <xdr:twoCellAnchor>
    <xdr:from>
      <xdr:col>3</xdr:col>
      <xdr:colOff>485776</xdr:colOff>
      <xdr:row>15</xdr:row>
      <xdr:rowOff>19050</xdr:rowOff>
    </xdr:from>
    <xdr:to>
      <xdr:col>5</xdr:col>
      <xdr:colOff>219076</xdr:colOff>
      <xdr:row>17</xdr:row>
      <xdr:rowOff>38100</xdr:rowOff>
    </xdr:to>
    <xdr:sp macro="" textlink="">
      <xdr:nvSpPr>
        <xdr:cNvPr id="19" name="TextBox 18">
          <a:extLst>
            <a:ext uri="{FF2B5EF4-FFF2-40B4-BE49-F238E27FC236}">
              <a16:creationId xmlns:a16="http://schemas.microsoft.com/office/drawing/2014/main" id="{82536820-E365-4CAA-9EB8-B037C6C67A6B}"/>
            </a:ext>
          </a:extLst>
        </xdr:cNvPr>
        <xdr:cNvSpPr txBox="1"/>
      </xdr:nvSpPr>
      <xdr:spPr>
        <a:xfrm>
          <a:off x="2314576" y="2876550"/>
          <a:ext cx="9525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bg1"/>
              </a:solidFill>
              <a:effectLst/>
              <a:latin typeface="Aptos Narrow" panose="020B0004020202020204" pitchFamily="34" charset="0"/>
              <a:ea typeface="+mn-ea"/>
              <a:cs typeface="+mn-cs"/>
            </a:rPr>
            <a:t>3000</a:t>
          </a:r>
          <a:r>
            <a:rPr lang="en-US" sz="2800" b="1">
              <a:solidFill>
                <a:schemeClr val="bg1"/>
              </a:solidFill>
              <a:effectLst/>
              <a:latin typeface="Aptos Narrow" panose="020B0004020202020204" pitchFamily="34" charset="0"/>
            </a:rPr>
            <a:t> </a:t>
          </a:r>
          <a:endParaRPr lang="en-US" sz="2800" b="1">
            <a:solidFill>
              <a:schemeClr val="bg1"/>
            </a:solidFill>
            <a:latin typeface="Aptos Narrow" panose="020B0004020202020204" pitchFamily="34" charset="0"/>
          </a:endParaRPr>
        </a:p>
      </xdr:txBody>
    </xdr:sp>
    <xdr:clientData/>
  </xdr:twoCellAnchor>
  <xdr:twoCellAnchor>
    <xdr:from>
      <xdr:col>3</xdr:col>
      <xdr:colOff>514351</xdr:colOff>
      <xdr:row>20</xdr:row>
      <xdr:rowOff>133350</xdr:rowOff>
    </xdr:from>
    <xdr:to>
      <xdr:col>5</xdr:col>
      <xdr:colOff>247651</xdr:colOff>
      <xdr:row>22</xdr:row>
      <xdr:rowOff>152400</xdr:rowOff>
    </xdr:to>
    <xdr:sp macro="" textlink="">
      <xdr:nvSpPr>
        <xdr:cNvPr id="20" name="TextBox 19">
          <a:extLst>
            <a:ext uri="{FF2B5EF4-FFF2-40B4-BE49-F238E27FC236}">
              <a16:creationId xmlns:a16="http://schemas.microsoft.com/office/drawing/2014/main" id="{E427F2A9-C21D-49E9-B437-520CF0D128E4}"/>
            </a:ext>
          </a:extLst>
        </xdr:cNvPr>
        <xdr:cNvSpPr txBox="1"/>
      </xdr:nvSpPr>
      <xdr:spPr>
        <a:xfrm>
          <a:off x="2343151" y="3943350"/>
          <a:ext cx="9525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bg1"/>
              </a:solidFill>
              <a:effectLst/>
              <a:latin typeface="Aptos Narrow" panose="020B0004020202020204" pitchFamily="34" charset="0"/>
              <a:ea typeface="+mn-ea"/>
              <a:cs typeface="+mn-cs"/>
            </a:rPr>
            <a:t>7.91</a:t>
          </a:r>
          <a:r>
            <a:rPr lang="en-US" sz="2800" b="1">
              <a:solidFill>
                <a:schemeClr val="bg1"/>
              </a:solidFill>
              <a:effectLst/>
              <a:latin typeface="Aptos Narrow" panose="020B0004020202020204" pitchFamily="34" charset="0"/>
            </a:rPr>
            <a:t>  </a:t>
          </a:r>
          <a:endParaRPr lang="en-US" sz="2800" b="1">
            <a:solidFill>
              <a:schemeClr val="bg1"/>
            </a:solidFill>
            <a:latin typeface="Aptos Narrow" panose="020B0004020202020204" pitchFamily="34" charset="0"/>
          </a:endParaRPr>
        </a:p>
      </xdr:txBody>
    </xdr:sp>
    <xdr:clientData/>
  </xdr:twoCellAnchor>
  <xdr:twoCellAnchor>
    <xdr:from>
      <xdr:col>7</xdr:col>
      <xdr:colOff>209550</xdr:colOff>
      <xdr:row>7</xdr:row>
      <xdr:rowOff>1</xdr:rowOff>
    </xdr:from>
    <xdr:to>
      <xdr:col>13</xdr:col>
      <xdr:colOff>533400</xdr:colOff>
      <xdr:row>17</xdr:row>
      <xdr:rowOff>152401</xdr:rowOff>
    </xdr:to>
    <xdr:graphicFrame macro="">
      <xdr:nvGraphicFramePr>
        <xdr:cNvPr id="23" name="Chart 22">
          <a:extLst>
            <a:ext uri="{FF2B5EF4-FFF2-40B4-BE49-F238E27FC236}">
              <a16:creationId xmlns:a16="http://schemas.microsoft.com/office/drawing/2014/main" id="{51F844A4-EA04-4281-9F57-840BEA0D5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609599</xdr:colOff>
      <xdr:row>18</xdr:row>
      <xdr:rowOff>47625</xdr:rowOff>
    </xdr:from>
    <xdr:to>
      <xdr:col>21</xdr:col>
      <xdr:colOff>238125</xdr:colOff>
      <xdr:row>32</xdr:row>
      <xdr:rowOff>47625</xdr:rowOff>
    </xdr:to>
    <xdr:graphicFrame macro="">
      <xdr:nvGraphicFramePr>
        <xdr:cNvPr id="24" name="Chart 23">
          <a:extLst>
            <a:ext uri="{FF2B5EF4-FFF2-40B4-BE49-F238E27FC236}">
              <a16:creationId xmlns:a16="http://schemas.microsoft.com/office/drawing/2014/main" id="{9F00FE46-3B40-4066-8E55-6916AD6CE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600076</xdr:colOff>
      <xdr:row>7</xdr:row>
      <xdr:rowOff>9525</xdr:rowOff>
    </xdr:from>
    <xdr:to>
      <xdr:col>21</xdr:col>
      <xdr:colOff>257176</xdr:colOff>
      <xdr:row>17</xdr:row>
      <xdr:rowOff>114300</xdr:rowOff>
    </xdr:to>
    <xdr:graphicFrame macro="">
      <xdr:nvGraphicFramePr>
        <xdr:cNvPr id="26" name="Chart 25">
          <a:extLst>
            <a:ext uri="{FF2B5EF4-FFF2-40B4-BE49-F238E27FC236}">
              <a16:creationId xmlns:a16="http://schemas.microsoft.com/office/drawing/2014/main" id="{5F09E49B-30E5-4B71-830E-4DFA7CC0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247650</xdr:colOff>
      <xdr:row>18</xdr:row>
      <xdr:rowOff>133350</xdr:rowOff>
    </xdr:from>
    <xdr:to>
      <xdr:col>13</xdr:col>
      <xdr:colOff>466725</xdr:colOff>
      <xdr:row>32</xdr:row>
      <xdr:rowOff>95249</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FFD52FD2-66B8-4677-A601-F61F88D86D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514850" y="3562350"/>
              <a:ext cx="3876675" cy="26288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361951</xdr:colOff>
      <xdr:row>7</xdr:row>
      <xdr:rowOff>0</xdr:rowOff>
    </xdr:from>
    <xdr:to>
      <xdr:col>25</xdr:col>
      <xdr:colOff>304800</xdr:colOff>
      <xdr:row>17</xdr:row>
      <xdr:rowOff>133350</xdr:rowOff>
    </xdr:to>
    <xdr:sp macro="" textlink="">
      <xdr:nvSpPr>
        <xdr:cNvPr id="29" name="Rectangle: Rounded Corners 28">
          <a:extLst>
            <a:ext uri="{FF2B5EF4-FFF2-40B4-BE49-F238E27FC236}">
              <a16:creationId xmlns:a16="http://schemas.microsoft.com/office/drawing/2014/main" id="{A9DC59A7-E137-4175-8251-01E36B26069B}"/>
            </a:ext>
          </a:extLst>
        </xdr:cNvPr>
        <xdr:cNvSpPr/>
      </xdr:nvSpPr>
      <xdr:spPr>
        <a:xfrm>
          <a:off x="13163551" y="1333500"/>
          <a:ext cx="2381249" cy="2038350"/>
        </a:xfrm>
        <a:prstGeom prst="roundRect">
          <a:avLst>
            <a:gd name="adj" fmla="val 2983"/>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361951</xdr:colOff>
      <xdr:row>18</xdr:row>
      <xdr:rowOff>104775</xdr:rowOff>
    </xdr:from>
    <xdr:to>
      <xdr:col>25</xdr:col>
      <xdr:colOff>304800</xdr:colOff>
      <xdr:row>33</xdr:row>
      <xdr:rowOff>19050</xdr:rowOff>
    </xdr:to>
    <xdr:sp macro="" textlink="">
      <xdr:nvSpPr>
        <xdr:cNvPr id="31" name="Rectangle: Rounded Corners 30">
          <a:extLst>
            <a:ext uri="{FF2B5EF4-FFF2-40B4-BE49-F238E27FC236}">
              <a16:creationId xmlns:a16="http://schemas.microsoft.com/office/drawing/2014/main" id="{5593853A-C31C-4330-902C-73D9432AA03A}"/>
            </a:ext>
          </a:extLst>
        </xdr:cNvPr>
        <xdr:cNvSpPr/>
      </xdr:nvSpPr>
      <xdr:spPr>
        <a:xfrm>
          <a:off x="13163551" y="3533775"/>
          <a:ext cx="2381249" cy="2771775"/>
        </a:xfrm>
        <a:prstGeom prst="roundRect">
          <a:avLst>
            <a:gd name="adj" fmla="val 2983"/>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428625</xdr:colOff>
      <xdr:row>18</xdr:row>
      <xdr:rowOff>190499</xdr:rowOff>
    </xdr:from>
    <xdr:to>
      <xdr:col>25</xdr:col>
      <xdr:colOff>323850</xdr:colOff>
      <xdr:row>33</xdr:row>
      <xdr:rowOff>0</xdr:rowOff>
    </xdr:to>
    <xdr:graphicFrame macro="">
      <xdr:nvGraphicFramePr>
        <xdr:cNvPr id="35" name="Chart 34">
          <a:extLst>
            <a:ext uri="{FF2B5EF4-FFF2-40B4-BE49-F238E27FC236}">
              <a16:creationId xmlns:a16="http://schemas.microsoft.com/office/drawing/2014/main" id="{3A8FE7C4-9FBB-4E39-9BF3-E7181AD23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561975</xdr:colOff>
      <xdr:row>23</xdr:row>
      <xdr:rowOff>85725</xdr:rowOff>
    </xdr:from>
    <xdr:to>
      <xdr:col>7</xdr:col>
      <xdr:colOff>76200</xdr:colOff>
      <xdr:row>33</xdr:row>
      <xdr:rowOff>19050</xdr:rowOff>
    </xdr:to>
    <xdr:sp macro="" textlink="">
      <xdr:nvSpPr>
        <xdr:cNvPr id="38" name="Rectangle: Rounded Corners 37">
          <a:extLst>
            <a:ext uri="{FF2B5EF4-FFF2-40B4-BE49-F238E27FC236}">
              <a16:creationId xmlns:a16="http://schemas.microsoft.com/office/drawing/2014/main" id="{8FD9DB53-C66F-4A81-BC63-1597F5DA5A31}"/>
            </a:ext>
          </a:extLst>
        </xdr:cNvPr>
        <xdr:cNvSpPr/>
      </xdr:nvSpPr>
      <xdr:spPr>
        <a:xfrm>
          <a:off x="1171575" y="4467225"/>
          <a:ext cx="3171825" cy="1838325"/>
        </a:xfrm>
        <a:prstGeom prst="roundRect">
          <a:avLst>
            <a:gd name="adj" fmla="val 2983"/>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590550</xdr:colOff>
      <xdr:row>24</xdr:row>
      <xdr:rowOff>19050</xdr:rowOff>
    </xdr:from>
    <xdr:to>
      <xdr:col>7</xdr:col>
      <xdr:colOff>9525</xdr:colOff>
      <xdr:row>32</xdr:row>
      <xdr:rowOff>123826</xdr:rowOff>
    </xdr:to>
    <mc:AlternateContent xmlns:mc="http://schemas.openxmlformats.org/markup-compatibility/2006" xmlns:a14="http://schemas.microsoft.com/office/drawing/2010/main">
      <mc:Choice Requires="a14">
        <xdr:graphicFrame macro="">
          <xdr:nvGraphicFramePr>
            <xdr:cNvPr id="36" name="Age">
              <a:extLst>
                <a:ext uri="{FF2B5EF4-FFF2-40B4-BE49-F238E27FC236}">
                  <a16:creationId xmlns:a16="http://schemas.microsoft.com/office/drawing/2014/main" id="{6C0863F9-DFE4-1CE5-A618-C04510BF6624}"/>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200150" y="4591050"/>
              <a:ext cx="3076575" cy="1628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400050</xdr:colOff>
      <xdr:row>7</xdr:row>
      <xdr:rowOff>19050</xdr:rowOff>
    </xdr:from>
    <xdr:to>
      <xdr:col>25</xdr:col>
      <xdr:colOff>276225</xdr:colOff>
      <xdr:row>17</xdr:row>
      <xdr:rowOff>142875</xdr:rowOff>
    </xdr:to>
    <xdr:graphicFrame macro="">
      <xdr:nvGraphicFramePr>
        <xdr:cNvPr id="37" name="Chart 36">
          <a:extLst>
            <a:ext uri="{FF2B5EF4-FFF2-40B4-BE49-F238E27FC236}">
              <a16:creationId xmlns:a16="http://schemas.microsoft.com/office/drawing/2014/main" id="{02ADBA8C-80E4-41B3-BC0A-382098FEF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28575</xdr:colOff>
      <xdr:row>0</xdr:row>
      <xdr:rowOff>123825</xdr:rowOff>
    </xdr:from>
    <xdr:to>
      <xdr:col>5</xdr:col>
      <xdr:colOff>333375</xdr:colOff>
      <xdr:row>5</xdr:row>
      <xdr:rowOff>85725</xdr:rowOff>
    </xdr:to>
    <xdr:pic>
      <xdr:nvPicPr>
        <xdr:cNvPr id="40" name="Graphic 39" descr="Medical">
          <a:extLst>
            <a:ext uri="{FF2B5EF4-FFF2-40B4-BE49-F238E27FC236}">
              <a16:creationId xmlns:a16="http://schemas.microsoft.com/office/drawing/2014/main" id="{9B9C3324-205B-2014-D8A5-BFA872FB81E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66975" y="123825"/>
          <a:ext cx="914400" cy="914400"/>
        </a:xfrm>
        <a:prstGeom prst="rect">
          <a:avLst/>
        </a:prstGeom>
      </xdr:spPr>
    </xdr:pic>
    <xdr:clientData/>
  </xdr:twoCellAnchor>
  <xdr:twoCellAnchor editAs="oneCell">
    <xdr:from>
      <xdr:col>21</xdr:col>
      <xdr:colOff>542925</xdr:colOff>
      <xdr:row>0</xdr:row>
      <xdr:rowOff>114300</xdr:rowOff>
    </xdr:from>
    <xdr:to>
      <xdr:col>23</xdr:col>
      <xdr:colOff>238125</xdr:colOff>
      <xdr:row>5</xdr:row>
      <xdr:rowOff>76200</xdr:rowOff>
    </xdr:to>
    <xdr:pic>
      <xdr:nvPicPr>
        <xdr:cNvPr id="41" name="Graphic 40" descr="Medical">
          <a:extLst>
            <a:ext uri="{FF2B5EF4-FFF2-40B4-BE49-F238E27FC236}">
              <a16:creationId xmlns:a16="http://schemas.microsoft.com/office/drawing/2014/main" id="{6E79875E-631E-4967-8628-BCF20C8040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344525" y="1143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5.99178009259" createdVersion="8" refreshedVersion="8" minRefreshableVersion="3" recordCount="3000" xr:uid="{98ABF990-0DAF-4B5C-B180-7109F02BE5D8}">
  <cacheSource type="worksheet">
    <worksheetSource ref="A1:M3001" sheet="DATASET"/>
  </cacheSource>
  <cacheFields count="15">
    <cacheField name="Patient_ID" numFmtId="0">
      <sharedItems containsSemiMixedTypes="0" containsString="0" containsNumber="1" containsInteger="1" minValue="1" maxValue="3000" count="3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sharedItems>
    </cacheField>
    <cacheField name="Name" numFmtId="0">
      <sharedItems containsBlank="1"/>
    </cacheField>
    <cacheField name="Age" numFmtId="0">
      <sharedItems containsSemiMixedTypes="0" containsString="0" containsNumber="1" containsInteger="1" minValue="1" maxValue="90" count="90">
        <n v="87"/>
        <n v="51"/>
        <n v="35"/>
        <n v="52"/>
        <n v="27"/>
        <n v="32"/>
        <n v="29"/>
        <n v="26"/>
        <n v="5"/>
        <n v="11"/>
        <n v="21"/>
        <n v="85"/>
        <n v="81"/>
        <n v="8"/>
        <n v="43"/>
        <n v="44"/>
        <n v="64"/>
        <n v="18"/>
        <n v="75"/>
        <n v="65"/>
        <n v="47"/>
        <n v="14"/>
        <n v="56"/>
        <n v="36"/>
        <n v="45"/>
        <n v="30"/>
        <n v="53"/>
        <n v="80"/>
        <n v="15"/>
        <n v="86"/>
        <n v="34"/>
        <n v="16"/>
        <n v="13"/>
        <n v="50"/>
        <n v="55"/>
        <n v="22"/>
        <n v="49"/>
        <n v="31"/>
        <n v="74"/>
        <n v="84"/>
        <n v="17"/>
        <n v="39"/>
        <n v="19"/>
        <n v="25"/>
        <n v="41"/>
        <n v="46"/>
        <n v="9"/>
        <n v="90"/>
        <n v="71"/>
        <n v="60"/>
        <n v="40"/>
        <n v="88"/>
        <n v="63"/>
        <n v="57"/>
        <n v="33"/>
        <n v="69"/>
        <n v="70"/>
        <n v="67"/>
        <n v="20"/>
        <n v="89"/>
        <n v="37"/>
        <n v="66"/>
        <n v="48"/>
        <n v="82"/>
        <n v="6"/>
        <n v="79"/>
        <n v="3"/>
        <n v="2"/>
        <n v="38"/>
        <n v="77"/>
        <n v="7"/>
        <n v="83"/>
        <n v="1"/>
        <n v="42"/>
        <n v="4"/>
        <n v="23"/>
        <n v="78"/>
        <n v="73"/>
        <n v="62"/>
        <n v="10"/>
        <n v="61"/>
        <n v="28"/>
        <n v="12"/>
        <n v="24"/>
        <n v="72"/>
        <n v="58"/>
        <n v="54"/>
        <n v="76"/>
        <n v="59"/>
        <n v="68"/>
      </sharedItems>
      <fieldGroup base="2">
        <rangePr startNum="1" endNum="90" groupInterval="20"/>
        <groupItems count="7">
          <s v="&lt;1"/>
          <s v="1-20"/>
          <s v="21-40"/>
          <s v="41-60"/>
          <s v="61-80"/>
          <s v="81-100"/>
          <s v="&gt;101"/>
        </groupItems>
      </fieldGroup>
    </cacheField>
    <cacheField name="Gender" numFmtId="0">
      <sharedItems count="2">
        <s v="Male"/>
        <s v="Female"/>
      </sharedItems>
    </cacheField>
    <cacheField name="Department" numFmtId="0">
      <sharedItems count="7">
        <s v="Surgery"/>
        <s v="General Medicine"/>
        <s v="Pediatrics"/>
        <s v="Orthopedics"/>
        <s v="Oncology"/>
        <s v="Cardiology"/>
        <s v="Neurology"/>
      </sharedItems>
    </cacheField>
    <cacheField name="Doctor_Name" numFmtId="0">
      <sharedItems count="2930">
        <s v="Logan Stewart"/>
        <s v="Bethany Hunter"/>
        <s v="Sean Richardson"/>
        <s v="Vanessa Nelson"/>
        <s v="Kristen Miller"/>
        <s v="Rickey Davis"/>
        <s v="Christopher Jones"/>
        <s v="Randy Bell"/>
        <s v="Paige Martin"/>
        <s v="Michael Jennings"/>
        <s v="Kyle Cooke"/>
        <s v="Jason Wilson"/>
        <s v="Shelly Fletcher"/>
        <s v="Courtney Reed"/>
        <s v="Kimberly Burch"/>
        <s v="David Oliver"/>
        <s v="Michael Perry"/>
        <s v="Steve Williamson"/>
        <s v="Crystal Mueller"/>
        <s v="Jason Austin"/>
        <s v="Sara Valenzuela"/>
        <s v="John Dixon"/>
        <s v="Laura Rosales"/>
        <s v="Keith Porter"/>
        <s v="Mrs. Cheryl Bates MD"/>
        <s v="Darryl Foster"/>
        <s v="Joshua White"/>
        <s v="Michelle Armstrong"/>
        <s v="Aaron Johnson"/>
        <s v="Randall Rhodes"/>
        <s v="Amy Graves"/>
        <s v="Shannon Parker"/>
        <s v="Tammy Richardson"/>
        <s v="William Patrick"/>
        <s v="Tina Martin"/>
        <s v="Joseph Taylor"/>
        <s v="Cheryl Greer"/>
        <s v="Mark Simpson"/>
        <s v="Amanda Murphy"/>
        <s v="Jessica Chang"/>
        <s v="Karen Bailey"/>
        <s v="Angela Hodges"/>
        <s v="Christopher Bird"/>
        <s v="Kent Mooney"/>
        <s v="Michael Stanley"/>
        <s v="Jill Ramirez"/>
        <s v="Michael Morris"/>
        <s v="Timothy Garcia"/>
        <s v="Tim Trujillo"/>
        <s v="Carl Cordova"/>
        <s v="Jordan Dixon"/>
        <s v="Tonya Klein"/>
        <s v="Dominic Hicks"/>
        <s v="Michael Park"/>
        <s v="Jesse Anderson"/>
        <s v="Robin Wright"/>
        <s v="Michael Klein"/>
        <s v="Stephen Bush"/>
        <s v="Crystal Luna"/>
        <s v="Olivia Hawkins"/>
        <s v="Lucas Ortiz"/>
        <s v="Andrew Pearson"/>
        <s v="Jerome Campos"/>
        <s v="Dr. Paul Gonzalez"/>
        <s v="Michael Gallegos"/>
        <s v="Daniel Clark"/>
        <s v="Norman Wright"/>
        <s v="Shannon Gonzalez"/>
        <s v="Natalie Brown"/>
        <s v="Christine Burke"/>
        <s v="James Smith"/>
        <s v="Cole Bailey"/>
        <s v="Sara Barnett"/>
        <s v="Philip Krueger"/>
        <s v="Christina Stein"/>
        <s v="Kim James"/>
        <s v="Joseph Campbell"/>
        <s v="Paul Bates"/>
        <s v="Maria Rivera"/>
        <s v="Elizabeth Black"/>
        <s v="David Thompson"/>
        <s v="Jimmy Bright"/>
        <s v="James Wall"/>
        <s v="Robert Mcdowell"/>
        <s v="Melissa Johnson"/>
        <s v="April Reynolds"/>
        <s v="Leah Herman"/>
        <s v="Phillip Graves"/>
        <s v="Amy Sharp"/>
        <s v="Kevin Thornton"/>
        <s v="Michael Williams"/>
        <s v="Eric Barker"/>
        <s v="Jeffery Hood"/>
        <s v="Madison Lucas"/>
        <s v="Taylor Hill"/>
        <s v="Dr. Cynthia Blanchard"/>
        <s v="Robert Roberts"/>
        <s v="Melanie Lucas"/>
        <s v="Nancy Johnson"/>
        <s v="Michael Pearson"/>
        <s v="Jonathan Fisher"/>
        <s v="Scott Lambert"/>
        <s v="Donna Wall"/>
        <s v="Joel Ramos"/>
        <s v="Kelly Holmes"/>
        <s v="Linda Lewis"/>
        <s v="Michael Garcia"/>
        <s v="Mark Robertson"/>
        <s v="Andrew Wagner"/>
        <s v="Hailey Moore"/>
        <s v="Sheri Moore"/>
        <s v="Matthew Little"/>
        <s v="Lisa Wilson"/>
        <s v="Miranda Brady"/>
        <s v="David Rios"/>
        <s v="Brandy Wu"/>
        <s v="Laura Anderson"/>
        <s v="Jennifer Martin"/>
        <s v="Brittany Morgan"/>
        <s v="Gary Fisher"/>
        <s v="Chad Gonzalez"/>
        <s v="Jacqueline Smith"/>
        <s v="Kimberly Bailey"/>
        <s v="Jeffrey Benson"/>
        <s v="Lindsay Morrison"/>
        <s v="Carrie Garcia"/>
        <s v="Ronald Grant"/>
        <s v="Wendy Galvan"/>
        <s v="Mrs. Susan Hill PhD"/>
        <s v="Andrew Harris"/>
        <s v="Christina Clark"/>
        <s v="Mr. George Garrett"/>
        <s v="William Edwards"/>
        <s v="John Guerrero"/>
        <s v="Toni Anderson"/>
        <s v="Michelle Pace"/>
        <s v="Adam Chen"/>
        <s v="William Webster"/>
        <s v="Nathan Stone"/>
        <s v="Michael Harrington"/>
        <s v="John Hunter"/>
        <s v="Kelsey Mills"/>
        <s v="John Wade"/>
        <s v="Jordan Lyons"/>
        <s v="Keith Hull"/>
        <s v="Anthony Sherman"/>
        <s v="John Johnston"/>
        <s v="Justin Hernandez"/>
        <s v="Andrew Davis"/>
        <s v="Julia Strong"/>
        <s v="Michael Hamilton"/>
        <s v="Ann Martin"/>
        <s v="Aaron Jacobs"/>
        <s v="Edward Johnson"/>
        <s v="Charles Collins"/>
        <s v="Anthony Jones"/>
        <s v="Russell Mata"/>
        <s v="Andrew Horne"/>
        <s v="Alexander Lopez"/>
        <s v="Ian Gay"/>
        <s v="Christina Sherman"/>
        <s v="Jason Lee"/>
        <s v="Marie Garcia"/>
        <s v="Denise Figueroa"/>
        <s v="Andrew Zhang"/>
        <s v="Garrett Walker"/>
        <s v="Justin Burnett"/>
        <s v="Breanna Horton"/>
        <s v="Christine Evans"/>
        <s v="Derek Hanson"/>
        <s v="Natalie Baird"/>
        <s v="Jody Thompson"/>
        <s v="Edward Cardenas"/>
        <s v="Daniel Herrera"/>
        <s v="Katherine Davis"/>
        <s v="Gina Smith"/>
        <s v="Eric Anderson"/>
        <s v="Amy Hampton"/>
        <s v="Miranda Cox"/>
        <s v="Eric Green"/>
        <s v="Miss Shannon Ramos DDS"/>
        <s v="Rebecca Salazar"/>
        <s v="Mrs. Nancy Fitzpatrick DDS"/>
        <s v="Walter Perez"/>
        <s v="Amy Walters"/>
        <s v="Kyle Perez"/>
        <s v="Ashley Parker"/>
        <s v="Warren Skinner"/>
        <s v="Kristina Palmer"/>
        <s v="Anthony Harper"/>
        <s v="Javier Kaufman"/>
        <s v="Shane Young"/>
        <s v="Michelle Avery"/>
        <s v="Joanne Rodriguez"/>
        <s v="Timothy Leonard"/>
        <s v="Mr. Thomas Jones"/>
        <s v="Michael Huang"/>
        <s v="Marisa Gonzalez"/>
        <s v="Bridget Mclaughlin"/>
        <s v="Alisha Miller"/>
        <s v="Jennifer Conley"/>
        <s v="Brett Thomas"/>
        <s v="Donald Thomas"/>
        <s v="Robert Nguyen"/>
        <s v="Kayla Page"/>
        <s v="Amy Shaw"/>
        <s v="Tara Hoover"/>
        <s v="Joseph Hernandez"/>
        <s v="Mark Meza"/>
        <s v="Alejandro Cook"/>
        <s v="Robert Wallace"/>
        <s v="Jonathan Vincent"/>
        <s v="Janet Brown"/>
        <s v="Samuel Johnson"/>
        <s v="Crystal Cantu"/>
        <s v="Mark Jackson"/>
        <s v="Kelly Smith"/>
        <s v="Renee Smith"/>
        <s v="Samuel Smith"/>
        <s v="Jake Kane"/>
        <s v="Kelly Gomez MD"/>
        <s v="Ryan Ford"/>
        <s v="Jesse Jordan"/>
        <s v="Wesley Jones"/>
        <s v="Dr. Brian Carpenter MD"/>
        <s v="Ryan Acevedo"/>
        <s v="Andrew Gonzalez"/>
        <s v="Summer Garcia"/>
        <s v="Phillip Orozco"/>
        <s v="Mathew Williams"/>
        <s v="Jessica Robbins"/>
        <s v="Sheryl Armstrong"/>
        <s v="Brian Mcmahon"/>
        <s v="Pamela Miller"/>
        <s v="Stephanie Brown"/>
        <s v="Tammy Perkins"/>
        <s v="Jennifer Keith"/>
        <s v="William Gillespie"/>
        <s v="Emily Holt"/>
        <s v="Jose Murphy"/>
        <s v="Brandy Nixon"/>
        <s v="Kimberly Cooke"/>
        <s v="Cole Davidson"/>
        <s v="Cindy Peterson"/>
        <s v="Johnathan Simpson"/>
        <s v="Robert Shaw"/>
        <s v="Andrea Gamble"/>
        <s v="Jessica Davis"/>
        <s v="Jeremiah Olson"/>
        <s v="Mary Black"/>
        <s v="Jesse Ewing"/>
        <s v="Scott Parks"/>
        <s v="Meghan Miller"/>
        <s v="Steve Woods"/>
        <s v="Daniel Copeland"/>
        <s v="Whitney Norris"/>
        <s v="Susan Mason"/>
        <s v="Erik Anderson"/>
        <s v="Jennifer Simon"/>
        <s v="Thomas Murillo"/>
        <s v="Erica Patel"/>
        <s v="Thomas Conway"/>
        <s v="Rebecca Wiggins"/>
        <s v="Terrence Stewart"/>
        <s v="Jose Mcneil"/>
        <s v="Kaitlyn Moran"/>
        <s v="Nancy Sparks"/>
        <s v="Matthew Gregory"/>
        <s v="John Dyer"/>
        <s v="Michael Clark Jr."/>
        <s v="Amy Anderson"/>
        <s v="Shelby Graham"/>
        <s v="William Ayala"/>
        <s v="Wendy Chandler"/>
        <s v="Andrew Watson MD"/>
        <s v="Tina Armstrong"/>
        <s v="William Adams"/>
        <s v="Glen Prince"/>
        <s v="Mrs. Kelly Ward"/>
        <s v="Ian Clark"/>
        <s v="Kristen Bernard"/>
        <s v="Courtney Singleton"/>
        <s v="Jonathan Williams"/>
        <s v="Joshua Brown"/>
        <s v="Brian Hayes"/>
        <s v="John Barber"/>
        <s v="Tony Wright"/>
        <s v="Michael Ashley"/>
        <s v="Jerry Lynch"/>
        <s v="Nancy Ewing"/>
        <s v="Miss Jennifer Stafford DDS"/>
        <s v="Nathaniel Leon"/>
        <s v="Abigail Garza"/>
        <s v="Daniel Holt"/>
        <s v="Gabriel Garcia"/>
        <s v="Angel Everett"/>
        <s v="Jon Stafford"/>
        <s v="April Peterson"/>
        <s v="Nathaniel Middleton"/>
        <s v="Heather Doyle"/>
        <s v="Joanne White"/>
        <s v="Mary Robinson"/>
        <s v="Leslie Larsen"/>
        <s v="Lonnie Martinez"/>
        <s v="Erica Cox"/>
        <s v="Alejandra Martinez"/>
        <s v="Sierra Velasquez"/>
        <s v="Kathleen Diaz"/>
        <s v="Jeremy Evans"/>
        <s v="Brittany Larson"/>
        <s v="Renee Ramirez"/>
        <s v="Ariana Rice"/>
        <s v="Samantha Williams"/>
        <s v="Jeffrey Gomez"/>
        <s v="Emily Tucker"/>
        <s v="Emily Mason"/>
        <s v="Dennis Thomas"/>
        <s v="Cassie Brewer"/>
        <s v="Caitlin Cox"/>
        <s v="David Jones"/>
        <s v="Ariana Jones"/>
        <s v="Noah Griffin"/>
        <s v="Albert Beltran"/>
        <s v="Terry Myers"/>
        <s v="Heather Ward"/>
        <s v="Cynthia Brown"/>
        <s v="Hayden Barnes"/>
        <s v="Leslie Ramirez"/>
        <s v="Allen Phillips"/>
        <s v="Brittany Townsend"/>
        <s v="Bryan Francis"/>
        <s v="Stephen Hopkins"/>
        <s v="Philip Valenzuela"/>
        <s v="Alexis Smith"/>
        <s v="Kimberly Hansen"/>
        <s v="Latoya Murray"/>
        <s v="Cassandra Lambert"/>
        <s v="Kevin Hill"/>
        <s v="Robert Cunningham"/>
        <s v="Abigail Brown"/>
        <s v="Andrew Gay"/>
        <s v="Rachel Grimes"/>
        <s v="Susan Mccarthy"/>
        <s v="Robin Waters"/>
        <s v="Douglas Cowan"/>
        <s v="Lisa Anderson"/>
        <s v="Elizabeth Wilkerson"/>
        <s v="Amanda Dixon"/>
        <s v="Sharon Carlson"/>
        <s v="Wanda Stephens"/>
        <s v="Erin Johnson"/>
        <s v="Alison Becker"/>
        <s v="Garrett Lopez"/>
        <s v="Virginia Reyes"/>
        <s v="April Simmons"/>
        <s v="Laura Sullivan"/>
        <s v="Anthony Matthews"/>
        <s v="Melinda Young"/>
        <s v="Olivia Williams"/>
        <s v="Susan Oliver"/>
        <s v="Sherry Vega"/>
        <s v="Nicole Gonzales"/>
        <s v="Julie Bauer"/>
        <s v="Dr. Chad Sandoval"/>
        <s v="Jacqueline Perez"/>
        <s v="Daniel Cruz"/>
        <s v="Kim Davis"/>
        <s v="Albert Barr"/>
        <s v="Abigail Nicholson"/>
        <s v="Courtney Pruitt"/>
        <s v="Christopher Carr"/>
        <s v="Donald Reeves"/>
        <s v="Kristina Erickson"/>
        <s v="Sean Johnson"/>
        <s v="Yvette Brewer"/>
        <s v="Rachel Long"/>
        <s v="Jennifer Wagner"/>
        <s v="Amanda Fisher"/>
        <s v="Craig Wyatt"/>
        <s v="Mark Wright"/>
        <s v="Jennifer Hunt"/>
        <s v="Donna Benson"/>
        <s v="Rebecca Castaneda"/>
        <s v="Maria Hines"/>
        <s v="William Sanders"/>
        <s v="John Harding"/>
        <s v="Nicole Mendez"/>
        <s v="Abigail Wright"/>
        <s v="Robert Fisher"/>
        <s v="Cesar Holder"/>
        <s v="Michelle Moore"/>
        <s v="Rebecca Phillips"/>
        <s v="Erica Patterson"/>
        <s v="Patricia Garcia"/>
        <s v="Danielle Cox"/>
        <s v="Brandon Duncan MD"/>
        <s v="Terry White"/>
        <s v="Meredith Vaughn"/>
        <s v="Alex Fleming"/>
        <s v="Holly Hall"/>
        <s v="Angela Mayer"/>
        <s v="Matthew Jones"/>
        <s v="Kevin Williams"/>
        <s v="Maurice Green"/>
        <s v="William Mendez"/>
        <s v="Patricia Novak"/>
        <s v="Melissa Watkins"/>
        <s v="Stephen Cummings"/>
        <s v="Robert Galvan"/>
        <s v="Stephanie Gonzales"/>
        <s v="Rodney Bass"/>
        <s v="Patrick Smith"/>
        <s v="Marvin Jones"/>
        <s v="Kara Clark"/>
        <s v="Breanna White"/>
        <s v="Colin Perry"/>
        <s v="David Davis"/>
        <s v="Karina Gordon"/>
        <s v="Sarah Horton"/>
        <s v="Cheryl Kent"/>
        <s v="Jerry Meyer"/>
        <s v="Jessica Hernandez"/>
        <s v="Sandra Porter"/>
        <s v="Kyle Sanchez"/>
        <s v="Sheri Stanley"/>
        <s v="Nicholas Gonzalez"/>
        <s v="John Watts"/>
        <s v="Danielle Garcia"/>
        <s v="Hector Parsons"/>
        <s v="Michael Chang"/>
        <s v="Kathleen Greer"/>
        <s v="John Frye"/>
        <s v="Crystal Rivera"/>
        <s v="Mark Barnes"/>
        <s v="Lindsay Cooper"/>
        <s v="Bryan Perez"/>
        <s v="Paul Bullock"/>
        <s v="Cindy Roman"/>
        <s v="Mr. Garrett Johnson"/>
        <s v="Morgan Sullivan"/>
        <s v="Crystal Cooper"/>
        <s v="Robert Wilson"/>
        <s v="Abigail Blevins"/>
        <s v="Jackie Dyer"/>
        <s v="Malik Rose PhD"/>
        <s v="Jeffrey Farrell"/>
        <s v="Jeremy Mahoney"/>
        <s v="Steven Robinson"/>
        <s v="David Garrison"/>
        <s v="Brian Smith"/>
        <s v="George Anderson"/>
        <s v="Sean Lee"/>
        <s v="Shelly Schneider"/>
        <s v="Adam Mcclure"/>
        <s v="Christina Richardson"/>
        <s v="Craig Lee"/>
        <s v="Matthew Delacruz"/>
        <s v="Jeanette Jefferson"/>
        <s v="Ashley Jackson"/>
        <s v="Robert Jones"/>
        <s v="Julia Clarke"/>
        <s v="Michelle Alvarado"/>
        <s v="Robert Lee"/>
        <s v="Shannon Houston"/>
        <s v="Rodney Parks"/>
        <s v="Kimberly Macdonald"/>
        <s v="Craig Brennan"/>
        <s v="Heidi Brown"/>
        <s v="Colin Andersen"/>
        <s v="Lisa Gutierrez"/>
        <s v="Rachel Wood"/>
        <s v="Travis Matthews"/>
        <s v="Ronald Mosley"/>
        <s v="Dakota Cain"/>
        <s v="Rebecca Patel"/>
        <s v="Andre Nelson"/>
        <s v="Regina Graham"/>
        <s v="Veronica Walsh"/>
        <s v="Leslie Nichols"/>
        <s v="Vincent Foley"/>
        <s v="Duane Vasquez"/>
        <s v="Calvin Blanchard"/>
        <s v="Daniel Green"/>
        <s v="Debra Marshall"/>
        <s v="Mr. Eric Dean"/>
        <s v="Tiffany Miller MD"/>
        <s v="Madison Johnson"/>
        <s v="Kathy Hood"/>
        <s v="Allen Lowe"/>
        <s v="Anna King"/>
        <s v="Kevin Wright V"/>
        <s v="Robert Watkins"/>
        <s v="Maria Ruiz"/>
        <s v="Kelsey Chandler"/>
        <s v="Timothy Delgado"/>
        <s v="Kevin Morales"/>
        <s v="Jennifer Ray"/>
        <s v="Jeff Gardner"/>
        <s v="Ian Chandler"/>
        <s v="Kimberly Stuart"/>
        <s v="Ashley Dean"/>
        <s v="Penny Buchanan"/>
        <s v="Tammy Howe"/>
        <s v="Brenda Hart"/>
        <s v="Lisa Kennedy"/>
        <s v="Hannah Patrick"/>
        <s v="Joshua Perez"/>
        <s v="James Martin"/>
        <s v="Patrick Lee"/>
        <s v="Robert Lloyd"/>
        <s v="Kevin Huff"/>
        <s v="Adrian Harris"/>
        <s v="Tyler Swanson"/>
        <s v="Catherine Scott"/>
        <s v="Dr. Samuel Elliott PhD"/>
        <s v="Allison Brown"/>
        <s v="Jeffrey Palmer"/>
        <s v="Julie Mcbride"/>
        <s v="John Ford"/>
        <s v="Jenna Freeman"/>
        <s v="Tanya Williamson"/>
        <s v="Johnny Taylor"/>
        <s v="Nicholas Hughes"/>
        <s v="Teresa Hill"/>
        <s v="Michele Richard"/>
        <s v="William Miller"/>
        <s v="Stephanie Kline"/>
        <s v="Corey Bates"/>
        <s v="Valerie Alvarez"/>
        <s v="Darlene Santos"/>
        <s v="Melanie Wong"/>
        <s v="Sharon Pierce"/>
        <s v="Tyler Wilkerson"/>
        <s v="Eric Richardson"/>
        <s v="Catherine Small"/>
        <s v="Brandy Murphy"/>
        <s v="Kimberly Gomez"/>
        <s v="Tammy Koch"/>
        <s v="Michael Nguyen"/>
        <s v="Dylan Mcmahon"/>
        <s v="Shannon Green"/>
        <s v="Christy Perez"/>
        <s v="Michael Martin"/>
        <s v="Tony Pennington"/>
        <s v="Anna Jackson"/>
        <s v="Christopher Wall"/>
        <s v="Xavier Delgado"/>
        <s v="Regina Price"/>
        <s v="Sarah Kennedy"/>
        <s v="Alexander Harmon"/>
        <s v="Mary Vazquez"/>
        <s v="Scott Maldonado MD"/>
        <s v="Caleb Tran"/>
        <s v="Lisa Macdonald MD"/>
        <s v="Michelle Smith"/>
        <s v="Cody Torres"/>
        <s v="Jennifer Jones"/>
        <s v="Jasmine James MD"/>
        <s v="Andrew Lewis"/>
        <s v="Brandon Coleman"/>
        <s v="Sarah Roberson"/>
        <s v="Matthew Coleman"/>
        <s v="Jessica Townsend"/>
        <s v="Michael Jenkins"/>
        <s v="Timothy Rivas"/>
        <s v="Linda Wang"/>
        <s v="Matthew Reynolds"/>
        <s v="Jenna Meyer"/>
        <s v="Jason Nicholson"/>
        <s v="Emily Phelps"/>
        <s v="Melissa Huber"/>
        <s v="Donna Fisher"/>
        <s v="Darryl Webster"/>
        <s v="Tamara Williams"/>
        <s v="Steven Martinez"/>
        <s v="Jeffery Harvey"/>
        <s v="Mark Garcia"/>
        <s v="Steven Galvan"/>
        <s v="Anthony Cooper"/>
        <s v="Kimberly Rojas DVM"/>
        <s v="Brittany Garza"/>
        <s v="Nicholas Wilson"/>
        <s v="Keith Simmons"/>
        <s v="Juan Pierce"/>
        <s v="Kelsey Ortiz"/>
        <s v="Katherine Martinez"/>
        <s v="Tracy Miller"/>
        <s v="Emma Cherry"/>
        <s v="John Nguyen"/>
        <s v="Courtney Long"/>
        <s v="Diane Parker"/>
        <s v="Linda Brown"/>
        <s v="Sabrina Benjamin"/>
        <s v="Richard Bowman"/>
        <s v="Desiree Berry"/>
        <s v="Brandon Bird"/>
        <s v="James Collins"/>
        <s v="Jesse Martin"/>
        <s v="Jennifer Mendoza"/>
        <s v="Matthew Kennedy"/>
        <s v="Douglas Thomas"/>
        <s v="Kayla Herman"/>
        <s v="Bobby Preston"/>
        <s v="Austin Anderson"/>
        <s v="Richard Moore"/>
        <s v="Kevin Chandler"/>
        <s v="Dr. Justin Brown"/>
        <s v="Jodi Williams MD"/>
        <s v="Michelle Rivera"/>
        <s v="Bradley Mclaughlin"/>
        <s v="Stephen Carson"/>
        <s v="Debra Rivera"/>
        <s v="Savannah Holmes"/>
        <s v="David Bailey"/>
        <s v="Susan Garcia DVM"/>
        <s v="Laurie Terry"/>
        <s v="Jose Reeves"/>
        <s v="Susan Scott"/>
        <s v="James Jones"/>
        <s v="Steven Anderson"/>
        <s v="Diane Lewis"/>
        <s v="Travis Gross"/>
        <s v="Alyssa Martin"/>
        <s v="Dawn Taylor"/>
        <s v="Kevin Guerrero"/>
        <s v="Laura Leon"/>
        <s v="James Henson"/>
        <s v="Robin Goodman"/>
        <s v="Crystal Roberts"/>
        <s v="Charlotte Shaw"/>
        <s v="Thomas Garcia"/>
        <s v="Colleen Hendricks"/>
        <s v="Jamie Norris"/>
        <s v="Adam Sullivan"/>
        <s v="Luis Vaughn"/>
        <s v="Stephanie Johnson"/>
        <s v="Barbara Woodward"/>
        <s v="Beverly Gray"/>
        <s v="Brandy Miller"/>
        <s v="Melissa Miles"/>
        <s v="Emily Carey"/>
        <s v="Tammy Quinn"/>
        <s v="Brian Johnson"/>
        <s v="Ruth Martin"/>
        <s v="Felicia Vasquez"/>
        <s v="Kristin King"/>
        <s v="Ms. Kayla Grant"/>
        <s v="Stephanie Lee"/>
        <s v="Christina Anderson"/>
        <s v="Debra Jones"/>
        <s v="John Mckenzie"/>
        <s v="Sara Reese"/>
        <s v="Jeffrey Torres"/>
        <s v="James Lopez"/>
        <s v="Brandon Daniels"/>
        <s v="Lee Owen"/>
        <s v="Autumn Garcia"/>
        <s v="Scott Castro"/>
        <s v="Connie Warren"/>
        <s v="Theresa Lee"/>
        <s v="Lisa Brooks"/>
        <s v="Karina Jackson"/>
        <s v="Lauren Miller"/>
        <s v="Becky Vazquez"/>
        <s v="Timothy Turner"/>
        <s v="James Johnson"/>
        <s v="Patrick Tate"/>
        <s v="Barbara Owen"/>
        <s v="Timothy Miller"/>
        <s v="Marcus Frank"/>
        <s v="Mary Freeman"/>
        <s v="Jonathan Frederick"/>
        <s v="Michelle Farrell"/>
        <s v="Dr. David Thompson DVM"/>
        <s v="Dakota Gardner"/>
        <s v="Ralph Powell"/>
        <s v="Adam Gilbert"/>
        <s v="Zachary Miller"/>
        <s v="Mrs. Jamie Morales"/>
        <s v="Sandra Wilson"/>
        <s v="Rhonda Glover"/>
        <s v="Courtney Mcdonald"/>
        <s v="Randall Snow"/>
        <s v="Joseph Pearson"/>
        <s v="Roy Williams"/>
        <s v="Olivia Foley"/>
        <s v="Dr. Rodney Kelley"/>
        <s v="Michael Baker"/>
        <s v="Jennifer Black"/>
        <s v="Tami Shaw"/>
        <s v="Steven Smith"/>
        <s v="Derek Adams"/>
        <s v="Ian Lamb"/>
        <s v="Pamela Tucker"/>
        <s v="Scott Smith"/>
        <s v="Jason Mckenzie"/>
        <s v="Jody Griffin"/>
        <s v="Sergio Burton"/>
        <s v="Stephanie Gomez DDS"/>
        <s v="William Patel"/>
        <s v="Natalie Wilson"/>
        <s v="Emily Fields"/>
        <s v="Sarah Crawford"/>
        <s v="Jessica Randall"/>
        <s v="Jamie Jacobson"/>
        <s v="Kevin Gross"/>
        <s v="Natalie Johnson"/>
        <s v="Olivia Hudson"/>
        <s v="Erin Baker"/>
        <s v="Rebecca Jackson"/>
        <s v="Dr. Lee Robinson"/>
        <s v="Collin Moore"/>
        <s v="Eric Sherman"/>
        <s v="Abigail Coleman"/>
        <s v="Paul Davis"/>
        <s v="Carla Spencer"/>
        <s v="Ashley Stephens"/>
        <s v="Grant Price"/>
        <s v="Miss Ashley Lawson"/>
        <s v="Kara Mcclure"/>
        <s v="Robin Robinson"/>
        <s v="Brittney Rose"/>
        <s v="Henry Callahan"/>
        <s v="David Evans"/>
        <s v="Samantha Stevens"/>
        <s v="Jeffrey Simpson"/>
        <s v="Margaret Burke"/>
        <s v="Alexander Green"/>
        <s v="Kathleen Carrillo"/>
        <s v="Norma Jenkins"/>
        <s v="Kyle Ortiz"/>
        <s v="Dorothy Harvey"/>
        <s v="Rodney Ray"/>
        <s v="Michael Smith"/>
        <s v="Christopher Spears"/>
        <s v="Karl Best"/>
        <s v="Rachel Brown"/>
        <s v="John Mitchell"/>
        <s v="Anna Johnson"/>
        <s v="Steven Sparks"/>
        <s v="Lisa Williams"/>
        <s v="Jessica King"/>
        <s v="Nancy Blackwell"/>
        <s v="Ryan Ruiz"/>
        <s v="Walter Steele"/>
        <s v="Cynthia Hayden"/>
        <s v="Robert Newman"/>
        <s v="Jamie Nelson"/>
        <s v="Rachel Martinez"/>
        <s v="Lisa Mills"/>
        <s v="Stephanie Bell"/>
        <s v="Cory Taylor"/>
        <s v="Natalie Moss"/>
        <s v="Andrea Jacobs"/>
        <s v="Karen Morgan"/>
        <s v="Amy Taylor"/>
        <s v="Laura Collins"/>
        <s v="Joyce Hill"/>
        <s v="Brian Kirby"/>
        <s v="Kerry Nelson"/>
        <s v="Sandra Richards"/>
        <s v="Bruce Miller"/>
        <s v="Danny Green"/>
        <s v="Jermaine Peck"/>
        <s v="Seth Martin"/>
        <s v="Jeff Davidson"/>
        <s v="Timothy Dominguez"/>
        <s v="Brett Johnston"/>
        <s v="Rachel Willis"/>
        <s v="Marcus Thompson"/>
        <s v="Sophia Scott"/>
        <s v="Sandra Sosa"/>
        <s v="Christopher Hart"/>
        <s v="Laura Smith"/>
        <s v="John Jackson"/>
        <s v="James Lynn"/>
        <s v="Brandon Reilly MD"/>
        <s v="Jeffrey Charles"/>
        <s v="Zachary Jones"/>
        <s v="Emma Smith"/>
        <s v="Wanda Leon"/>
        <s v="Lance Smith"/>
        <s v="Jeffrey Stephenson"/>
        <s v="Joseph Nielsen"/>
        <s v="Ann King"/>
        <s v="Brian Nguyen"/>
        <s v="Richard Richards"/>
        <s v="Caleb Stewart"/>
        <s v="Desiree Moore"/>
        <s v="Daniel Santiago"/>
        <s v="Teresa Phillips"/>
        <s v="Christopher Vazquez"/>
        <s v="Brandon Martin"/>
        <s v="Sara Smith"/>
        <s v="Nicole Rodriguez"/>
        <s v="William Anderson"/>
        <s v="Elizabeth Gould"/>
        <s v="Kimberly Evans"/>
        <s v="Elizabeth Pearson"/>
        <s v="Kaitlyn Hernandez"/>
        <s v="Timothy Rodriguez"/>
        <s v="Wendy Price"/>
        <s v="Randall Welch"/>
        <s v="Christopher Mckinney"/>
        <s v="Michelle Hart"/>
        <s v="Joshua Hardy"/>
        <s v="Jonathan Ortiz"/>
        <s v="Ralph Durham"/>
        <s v="Sarah Wu"/>
        <s v="Nicholas Black"/>
        <s v="Beth Thompson"/>
        <s v="Francisco Casey"/>
        <s v="Priscilla Gibbs"/>
        <s v="Meredith Turner"/>
        <s v="Tamara Arnold"/>
        <s v="Samuel Harris"/>
        <s v="Devin Robinson"/>
        <s v="William Smith"/>
        <s v="Kayla Patel"/>
        <s v="Richard Hartman"/>
        <s v="Rachel Wagner"/>
        <s v="Travis Davis"/>
        <s v="Adam Odom"/>
        <s v="Scott Rios"/>
        <s v="Christian Swanson"/>
        <s v="Destiny Garrett"/>
        <s v="Loretta Jones"/>
        <s v="Jason Horne"/>
        <s v="Dr. Ryan Barron"/>
        <s v="Amy Henson"/>
        <s v="Jason Smith"/>
        <s v="Andrew Meza"/>
        <s v="James Hodge"/>
        <s v="Mary Wolf"/>
        <s v="Christopher Brown"/>
        <s v="Nancy Moody"/>
        <s v="Cynthia Shaw"/>
        <s v="Donna Watson"/>
        <s v="Molly Adams"/>
        <s v="Brittney Chen"/>
        <s v="Jennifer Torres"/>
        <s v="Michael Wallace"/>
        <s v="Kevin Allen"/>
        <s v="Ashley Ellis"/>
        <s v="Lisa Smith"/>
        <s v="Amanda Berry MD"/>
        <s v="Yolanda Schneider"/>
        <s v="Richard Smith"/>
        <s v="Amy Hooper"/>
        <s v="Brandon Copeland"/>
        <s v="Henry Wade"/>
        <s v="Rachel Bridges"/>
        <s v="Jeffrey King"/>
        <s v="Thomas Jones"/>
        <s v="Jennifer Spencer MD"/>
        <s v="Alicia Miller"/>
        <s v="Michael Johnson"/>
        <s v="Alicia Rowe"/>
        <s v="Wendy Sherman"/>
        <s v="Brian Lopez"/>
        <s v="Jonathan Rojas"/>
        <s v="Don Lane"/>
        <s v="Shane Chang"/>
        <s v="Kimberly Farmer"/>
        <s v="Melissa Conner"/>
        <s v="Deborah Long"/>
        <s v="Paul Brown"/>
        <s v="George Strong"/>
        <s v="William Sampson"/>
        <s v="Christian Rodriguez"/>
        <s v="Anthony Ali"/>
        <s v="Savannah Gonzalez"/>
        <s v="Drew Fowler"/>
        <s v="Scott Todd"/>
        <s v="John Lowery"/>
        <s v="Peter Fischer"/>
        <s v="Brianna Bailey"/>
        <s v="Brian Cooper"/>
        <s v="Blake Owens"/>
        <s v="Richard Reynolds"/>
        <s v="Brittany Matthews"/>
        <s v="Joe Reyes"/>
        <s v="Gregory Rodriguez"/>
        <s v="Jennifer Burton"/>
        <s v="Ashley Diaz DDS"/>
        <s v="George Maldonado"/>
        <s v="Sheri Taylor"/>
        <s v="Peter Jones"/>
        <s v="Julia Hawkins"/>
        <s v="William Hunter"/>
        <s v="Allison Valenzuela"/>
        <s v="Phillip Johnson"/>
        <s v="Adrian Greene"/>
        <s v="Dylan Cisneros"/>
        <s v="Kevin Cooper"/>
        <s v="Sabrina Rogers"/>
        <s v="Diane Brown MD"/>
        <s v="Preston Palmer"/>
        <s v="Andrea Melton"/>
        <s v="Bradley Jenkins"/>
        <s v="Michele White"/>
        <s v="Shane Scott"/>
        <s v="Larry Dean"/>
        <s v="Nancy Gregory"/>
        <s v="Edward Powell"/>
        <s v="Jamie Russo"/>
        <s v="Emma Wheeler"/>
        <s v="Colleen Nguyen"/>
        <s v="Rebekah Carrillo"/>
        <s v="David Hale"/>
        <s v="Janet Velez"/>
        <s v="Melissa Brooks"/>
        <s v="Christina Summers"/>
        <s v="Rhonda Mercado"/>
        <s v="Douglas Coffey"/>
        <s v="Kevin Smith"/>
        <s v="Kari Wright MD"/>
        <s v="Jason Fox"/>
        <s v="Craig Estrada"/>
        <s v="Dawn Weaver"/>
        <s v="Melinda Harris"/>
        <s v="Carlos Garner"/>
        <s v="Amy Adams"/>
        <s v="Heather Baker"/>
        <s v="Jaime Tran"/>
        <s v="Erika Perez"/>
        <s v="Michael Mcdaniel"/>
        <s v="Alicia Anderson"/>
        <s v="Melissa Miller"/>
        <s v="Heather Lewis"/>
        <s v="Angel Wilson"/>
        <s v="Terry Schmidt"/>
        <s v="Timothy Fisher"/>
        <s v="Cindy Hobbs"/>
        <s v="Carlos Sanford"/>
        <s v="Stephanie Schmidt"/>
        <s v="Mallory Shah"/>
        <s v="Kim Lang"/>
        <s v="Catherine Castillo"/>
        <s v="Aaron Wilson"/>
        <s v="Thomas Hernandez"/>
        <s v="John Garcia"/>
        <s v="Melvin Morrow"/>
        <s v="Tracy Elliott"/>
        <s v="Jessica Bruce"/>
        <s v="Cindy Holmes"/>
        <s v="Tiffany Buckley"/>
        <s v="Alicia Hall"/>
        <s v="Katherine Castaneda"/>
        <s v="Hayden Huffman"/>
        <s v="Shannon Jenkins"/>
        <s v="Michael Bush"/>
        <s v="Amy Brown"/>
        <s v="Tiffany Hill"/>
        <s v="Dustin Moore"/>
        <s v="Christina Pena"/>
        <s v="Lauren Jefferson"/>
        <s v="Katherine Boyle"/>
        <s v="Gregory Pruitt"/>
        <s v="George White"/>
        <s v="Miranda Collins"/>
        <s v="Heidi Barber"/>
        <s v="Tonya Doyle"/>
        <s v="Michael Shea"/>
        <s v="Jason Cohen"/>
        <s v="Rebecca Campbell DDS"/>
        <s v="Benjamin Conley"/>
        <s v="Heidi Perez"/>
        <s v="Alexis Garcia"/>
        <s v="Megan Hendricks"/>
        <s v="Kevin Davis"/>
        <s v="Dana Jones"/>
        <s v="Isaac Morgan"/>
        <s v="Julie Brown"/>
        <s v="Peter Bautista"/>
        <s v="Micheal Gray"/>
        <s v="Sharon Lam"/>
        <s v="Mary Kelly"/>
        <s v="Douglas Snyder"/>
        <s v="Ricky Burgess"/>
        <s v="John White"/>
        <s v="Misty Kim"/>
        <s v="Stephen Cortez"/>
        <s v="Katherine Kemp"/>
        <s v="Mr. William Bradley"/>
        <s v="Deborah Carpenter"/>
        <s v="Dennis Phillips"/>
        <s v="Jerry Lawson"/>
        <s v="Elizabeth Hatfield"/>
        <s v="Crystal Gutierrez"/>
        <s v="George Shannon"/>
        <s v="Shawn Smith"/>
        <s v="Emily Taylor"/>
        <s v="Gary Wells"/>
        <s v="David Griffin"/>
        <s v="Victoria Burton DDS"/>
        <s v="Keith Williams"/>
        <s v="Misty Schmidt"/>
        <s v="Anthony Cook"/>
        <s v="Mark Montes"/>
        <s v="Mark Chan"/>
        <s v="Christopher Mccoy"/>
        <s v="Aaron Lucero"/>
        <s v="Patrick Williams"/>
        <s v="Jacob Sparks"/>
        <s v="Catherine Robinson"/>
        <s v="Lindsey Petersen"/>
        <s v="Christina Evans"/>
        <s v="James Morrison"/>
        <s v="Michelle Jensen"/>
        <s v="Melanie Meyer"/>
        <s v="Nicole Green"/>
        <s v="Luis Jackson"/>
        <s v="Lisa Thompson"/>
        <s v="Ashley Jennings"/>
        <s v="Nathan Clarke"/>
        <s v="Antonio Newton"/>
        <s v="John Payne"/>
        <s v="Ryan Lee"/>
        <s v="Kelly Fowler"/>
        <s v="Julie Avila"/>
        <s v="Mark Walsh"/>
        <s v="Mr. William Juarez"/>
        <s v="Sean Young"/>
        <s v="Samantha Hill"/>
        <s v="Christy Parks"/>
        <s v="Jennifer Bradford"/>
        <s v="Zachary Nelson"/>
        <s v="Mr. Robert Holmes"/>
        <s v="Mary Lang"/>
        <s v="Matthew Gibbs"/>
        <s v="Adam Perez"/>
        <s v="Angela Irwin"/>
        <s v="Melinda Neal"/>
        <s v="Lisa Reyes"/>
        <s v="Tammy Mitchell"/>
        <s v="William Moon"/>
        <s v="Rhonda Jackson"/>
        <s v="Brett Hoover"/>
        <s v="Kimberly Edwards"/>
        <s v="Emily Turner"/>
        <s v="David Duarte"/>
        <s v="Michelle Fuentes"/>
        <s v="Trevor Pennington"/>
        <s v="Emily Jensen"/>
        <s v="Sarah Olson"/>
        <s v="Haley Taylor DVM"/>
        <s v="Vanessa Meyers"/>
        <s v="Lisa Holt"/>
        <s v="Kendra Martin"/>
        <s v="Colleen Anderson"/>
        <s v="Sherry Higgins"/>
        <s v="Steven Lewis"/>
        <s v="Richard Wallace"/>
        <s v="Jason Ferguson"/>
        <s v="Jasmine Mills"/>
        <s v="Eric Roberts"/>
        <s v="Susan Gordon"/>
        <s v="Seth Ramirez"/>
        <s v="Dawn Oconnell"/>
        <s v="Robert Boyer"/>
        <s v="Ryan Day"/>
        <s v="Alexander Rodriguez"/>
        <s v="Stephanie Rojas"/>
        <s v="Jennifer King"/>
        <s v="Denise Anderson"/>
        <s v="Louis Smith"/>
        <s v="Michael Price"/>
        <s v="Gregory Sanchez"/>
        <s v="Emily Shaw"/>
        <s v="Jamie Price"/>
        <s v="Jennifer Johnson"/>
        <s v="Gabriela Ellis"/>
        <s v="Brandon Arnold"/>
        <s v="Joshua Crane"/>
        <s v="Robert Rodgers"/>
        <s v="Jocelyn Hamilton"/>
        <s v="Jonathon Anderson"/>
        <s v="Walter Davis"/>
        <s v="Kelsey Collins"/>
        <s v="Hannah Taylor"/>
        <s v="Andrea Vaughn"/>
        <s v="Kristin Davis"/>
        <s v="Aaron Alexander"/>
        <s v="Anthony Phillips"/>
        <s v="Eric Herring"/>
        <s v="Susan Black"/>
        <s v="Linda Mcclure"/>
        <s v="Tracy Cox"/>
        <s v="Joy Cox"/>
        <s v="Cindy Martin"/>
        <s v="Danielle Taylor"/>
        <s v="Daniel Bass"/>
        <s v="Kayla Pena"/>
        <s v="Jeffrey Murray"/>
        <s v="Joshua Schmitt"/>
        <s v="Savannah Cooke"/>
        <s v="Juan Dean"/>
        <s v="Michele Rodriguez"/>
        <s v="Tina Harris"/>
        <s v="Cynthia Molina"/>
        <s v="Jessica Acosta"/>
        <s v="Kristen Cervantes"/>
        <s v="Karen Berger"/>
        <s v="Steven Odonnell"/>
        <s v="Emily Fisher"/>
        <s v="Brandon Mclaughlin"/>
        <s v="Edward Kelley"/>
        <s v="Sharon Adkins"/>
        <s v="Andrew Boyd"/>
        <s v="Robert Thompson"/>
        <s v="James Watson"/>
        <s v="Sheila Tucker"/>
        <s v="Melanie Mooney"/>
        <s v="Jerome Bowman"/>
        <s v="Amy Calhoun"/>
        <s v="Eric Coleman"/>
        <s v="John Bell"/>
        <s v="Charles Jones"/>
        <s v="Charles Roman"/>
        <s v="Pamela Martin"/>
        <s v="Edwin Cobb"/>
        <s v="Jamie Edwards"/>
        <s v="Molly Lyons"/>
        <s v="Timothy Brown"/>
        <s v="Alexis Dean DVM"/>
        <s v="Kimberly White"/>
        <s v="Kathryn Velazquez"/>
        <s v="Christopher Wade"/>
        <s v="Paul Cabrera"/>
        <s v="Alexis Phillips"/>
        <s v="Pamela Robinson"/>
        <s v="Dr. Sherry Jones MD"/>
        <s v="Trevor Schroeder"/>
        <s v="Kristy Huang"/>
        <s v="Jennifer Mathis"/>
        <s v="Daisy Jones"/>
        <s v="Andrew Leblanc"/>
        <s v="Richard Murphy"/>
        <s v="Peggy Smith"/>
        <s v="Kathy Reed"/>
        <s v="Douglas Gentry"/>
        <s v="Beth Johnson"/>
        <s v="Juan Ford"/>
        <s v="Timothy Ortiz"/>
        <s v="Jessica Maldonado"/>
        <s v="Suzanne Peterson"/>
        <s v="Lisa Walker"/>
        <s v="Rodney Nguyen"/>
        <s v="Leslie Pena"/>
        <s v="George Walker"/>
        <s v="Ashley Adams"/>
        <s v="Nicole Williams"/>
        <s v="Curtis Owens"/>
        <s v="Richard Brown"/>
        <s v="Lisa Vasquez"/>
        <s v="Charles Austin"/>
        <s v="Timothy Buchanan"/>
        <s v="Kevin Peters"/>
        <s v="Jackie Johnson"/>
        <s v="Glenn Jackson"/>
        <s v="Steve Wood"/>
        <s v="Wayne Gibson"/>
        <s v="Hayley Harris"/>
        <s v="Laurie Scott"/>
        <s v="Kathryn Ryan"/>
        <s v="Richard Castillo"/>
        <s v="Jason Boyer"/>
        <s v="Andrea Powell"/>
        <s v="Franklin Bailey"/>
        <s v="Whitney Williams"/>
        <s v="Janet Taylor"/>
        <s v="Lisa Murray"/>
        <s v="Crystal Ball"/>
        <s v="Ashley Robertson"/>
        <s v="Angela Erickson"/>
        <s v="Zachary King"/>
        <s v="Jackson Lopez"/>
        <s v="Lori Quinn"/>
        <s v="Cathy Baker"/>
        <s v="Amanda Whitehead"/>
        <s v="Michael Henderson"/>
        <s v="Willie Weaver"/>
        <s v="Michelle Harding"/>
        <s v="Vicki Mendoza"/>
        <s v="Karen Mayer"/>
        <s v="Holly Garza"/>
        <s v="Alex Freeman"/>
        <s v="Amanda Jordan"/>
        <s v="Michael Shah"/>
        <s v="Miguel Johnson"/>
        <s v="Katie Underwood"/>
        <s v="Lori Johnson"/>
        <s v="Jamie Lane"/>
        <s v="Ashley Lewis"/>
        <s v="Pamela Salazar"/>
        <s v="John Howard"/>
        <s v="Steven Brown DVM"/>
        <s v="Jay Bradley"/>
        <s v="Lori Landry"/>
        <s v="Paul Garcia"/>
        <s v="Jaclyn Colon"/>
        <s v="Christopher Lambert"/>
        <s v="Antonio Hobbs"/>
        <s v="Catherine Collins"/>
        <s v="Helen Martin"/>
        <s v="Debra Williams"/>
        <s v="Matthew Alexander"/>
        <s v="Luis Austin"/>
        <s v="Daniel Rosales"/>
        <s v="Cynthia Stark"/>
        <s v="Danielle Morales"/>
        <s v="Louis James"/>
        <s v="Emily Scott"/>
        <s v="Mark Cross"/>
        <s v="Brent Sanchez"/>
        <s v="Robert Miller"/>
        <s v="James Clark"/>
        <s v="Carolyn Taylor"/>
        <s v="Brooke Morgan"/>
        <s v="Kristin Johnson"/>
        <s v="Travis Butler"/>
        <s v="Makayla Duke"/>
        <s v="Andrea Hood"/>
        <s v="Mary Wright"/>
        <s v="Brent Mclaughlin"/>
        <s v="Kathy Delacruz"/>
        <s v="Franklin Mathews"/>
        <s v="Christine Davis MD"/>
        <s v="Kelly Huber"/>
        <s v="Scott Lewis"/>
        <s v="Elizabeth Williams"/>
        <s v="Kimberly Wilson"/>
        <s v="Emily Mendez"/>
        <s v="Renee Gates DDS"/>
        <s v="Christy Mendoza"/>
        <s v="Ann Marquez"/>
        <s v="George Morris"/>
        <s v="Jay Brown"/>
        <s v="Gregory Perkins"/>
        <s v="Matthew Bridges"/>
        <s v="Megan Taylor"/>
        <s v="Daniel Owens"/>
        <s v="Chloe Hernandez"/>
        <s v="John Frank"/>
        <s v="Donna King"/>
        <s v="Daniel Thomas"/>
        <s v="Marissa Ramos"/>
        <s v="Steven Miller"/>
        <s v="Mark Mcclain"/>
        <s v="Allison Logan"/>
        <s v="David Jackson"/>
        <s v="Diane Arroyo"/>
        <s v="Ellen Bishop"/>
        <s v="Tyler Atkins"/>
        <s v="Nicholas Scott"/>
        <s v="John Brown"/>
        <s v="Taylor Harrison"/>
        <s v="Jonathan Anderson"/>
        <s v="Shawn Brown"/>
        <s v="Karen Matthews"/>
        <s v="Tyler Burgess"/>
        <s v="Jessica Wright"/>
        <s v="Meredith Davis DVM"/>
        <s v="John Hale"/>
        <s v="Terri Garcia"/>
        <s v="Mr. Louis Ramirez DDS"/>
        <s v="Austin Watson"/>
        <s v="Brianna Kelly"/>
        <s v="James Wood"/>
        <s v="Alexandra Best"/>
        <s v="Melinda Brock"/>
        <s v="Carlos Salinas"/>
        <s v="Kelsey Parker"/>
        <s v="Miss Teresa Jones"/>
        <s v="Veronica Compton"/>
        <s v="Scott Bray"/>
        <s v="Samantha Carr"/>
        <s v="Justin Dodson"/>
        <s v="Gabriel Mckinney"/>
        <s v="Kristy Cole"/>
        <s v="Robert Reese"/>
        <s v="Michael Martinez"/>
        <s v="Joel Ingram"/>
        <s v="Erik Alexander"/>
        <s v="Corey Solomon"/>
        <s v="Amber Clark"/>
        <s v="Daniel Henry"/>
        <s v="Kelly Casey"/>
        <s v="Scott Hill"/>
        <s v="Terri Crosby"/>
        <s v="Lisa Wallace"/>
        <s v="John Evans"/>
        <s v="George Osborn"/>
        <s v="Jamie Robbins"/>
        <s v="Michael Ruiz"/>
        <s v="John Carrillo"/>
        <s v="Christopher Cain"/>
        <s v="Sherri Gardner"/>
        <s v="Victoria Peck"/>
        <s v="Veronica Walker"/>
        <s v="Kenneth Nicholson"/>
        <s v="Patricia White"/>
        <s v="Laura Hubbard"/>
        <s v="April Wood"/>
        <s v="Bradley Maldonado"/>
        <s v="Virginia Lane"/>
        <s v="Linda Cole"/>
        <s v="Keith Vargas"/>
        <s v="Sarah Garcia"/>
        <s v="Christopher Martin"/>
        <s v="Lauren Thompson"/>
        <s v="Jose Peterson"/>
        <s v="William Williams"/>
        <s v="Madison Conway"/>
        <s v="Natalie Hernandez"/>
        <s v="Bradley Carroll"/>
        <s v="Jose Barber PhD"/>
        <s v="Rick Aguirre"/>
        <s v="Michelle Mendez"/>
        <s v="Krista Molina"/>
        <s v="April Leonard"/>
        <s v="Kendra Rodriguez"/>
        <s v="Kimberly Bell"/>
        <s v="Daniel Gaines"/>
        <s v="Luke Weaver"/>
        <s v="Dr. Melissa Hernandez"/>
        <s v="Nicholas Gibson"/>
        <s v="Ivan Carlson"/>
        <s v="Douglas Long"/>
        <s v="Lisa Huffman"/>
        <s v="Benjamin Fisher"/>
        <s v="Brian Wallace"/>
        <s v="Scott Pierce"/>
        <s v="Robert Collins"/>
        <s v="Bill Bowman"/>
        <s v="Robert Carr"/>
        <s v="Luis Turner"/>
        <s v="Richard Lopez"/>
        <s v="Reginald Baker"/>
        <s v="Kristina Miller"/>
        <s v="Shannon Mason"/>
        <s v="Elizabeth Brooks"/>
        <s v="Allen Solis"/>
        <s v="Anthony Preston"/>
        <s v="Katie Rivera"/>
        <s v="Nicholas Alexander"/>
        <s v="Jessica Fritz"/>
        <s v="Eric Lynch DDS"/>
        <s v="Ms. Ariel Levine"/>
        <s v="Eric Byrd"/>
        <s v="Jesse Green"/>
        <s v="Austin Lewis"/>
        <s v="Mario Aguirre"/>
        <s v="Patrick Horn"/>
        <s v="John Mcmillan"/>
        <s v="Jerry Johnson"/>
        <s v="Rebecca Walton"/>
        <s v="Shelley Hampton"/>
        <s v="Craig Gonzalez"/>
        <s v="April Gomez"/>
        <s v="Kyle Walters"/>
        <s v="Jacob Hall"/>
        <s v="Kenneth Bennett"/>
        <s v="William Hernandez"/>
        <s v="Christopher Daugherty"/>
        <s v="Katherine Pierce"/>
        <s v="Jessica Moon"/>
        <s v="Angela Young"/>
        <s v="Ryan Nguyen"/>
        <s v="Amanda Morales"/>
        <s v="Preston Brown"/>
        <s v="Martha Chavez"/>
        <s v="Brandon White"/>
        <s v="Jeffery Taylor"/>
        <s v="Andrea Flores"/>
        <s v="Debra Lee DVM"/>
        <s v="Jerry Howell"/>
        <s v="Jason Juarez"/>
        <s v="Valerie Raymond"/>
        <s v="Melissa Wyatt"/>
        <s v="Ryan Romero"/>
        <s v="Dustin Dunn"/>
        <s v="Lisa Hammond"/>
        <s v="Gabriel Pittman"/>
        <s v="Phillip Sanders"/>
        <s v="Ryan Martinez"/>
        <s v="Jerry Branch"/>
        <s v="John Hall"/>
        <s v="Jerry Noble"/>
        <s v="Nichole Mcpherson"/>
        <s v="John Frazier"/>
        <s v="William Young"/>
        <s v="Ruth Ruiz"/>
        <s v="Thomas Berg"/>
        <s v="Yolanda Durham"/>
        <s v="Robert Evans"/>
        <s v="Kiara Harding"/>
        <s v="Courtney Knapp"/>
        <s v="David Mitchell"/>
        <s v="Frederick Davis"/>
        <s v="John Ellis"/>
        <s v="Chase Sanders"/>
        <s v="Kristin Miller"/>
        <s v="Patricia Gross"/>
        <s v="Harry Hood"/>
        <s v="Jessica Sullivan"/>
        <s v="Ronald Wood"/>
        <s v="Michael Jimenez"/>
        <s v="Wendy Cooper"/>
        <s v="Stephen Nelson"/>
        <s v="Andres Mueller"/>
        <s v="Russell Cooper"/>
        <s v="Joshua Davis"/>
        <s v="Jeffrey Thomas"/>
        <s v="Heather Gray"/>
        <s v="Matthew Meyer"/>
        <s v="Caitlin Cuevas"/>
        <s v="Debbie Kemp"/>
        <s v="Joseph Parks"/>
        <s v="Michael Carrillo"/>
        <s v="Jason Diaz"/>
        <s v="Deborah Aguilar"/>
        <s v="Jared Palmer"/>
        <s v="Jared Woodward"/>
        <s v="Jaclyn Christensen"/>
        <s v="Catherine Vargas MD"/>
        <s v="Barbara Miller"/>
        <s v="Jessica Salazar"/>
        <s v="Mark Rogers"/>
        <s v="Shawn Alvarado"/>
        <s v="Lori Brown"/>
        <s v="Angelica Fox"/>
        <s v="Jeremy Wilcox"/>
        <s v="Jaime Dillon"/>
        <s v="Crystal Perkins"/>
        <s v="Veronica Hunter"/>
        <s v="Michele Wilcox"/>
        <s v="Kathleen Johnson"/>
        <s v="Angela Allen"/>
        <s v="Brandon May"/>
        <s v="Ashley Anderson"/>
        <s v="Adam Allen"/>
        <s v="Sharon Knapp"/>
        <s v="Brandon Ashley"/>
        <s v="Erin Alvarez"/>
        <s v="James Bryant"/>
        <s v="Becky Moreno"/>
        <s v="Daniel Strong"/>
        <s v="Dr. Reginald Haley DVM"/>
        <s v="Brad Medina"/>
        <s v="Jeffrey Mckinney"/>
        <s v="Sandy Yang"/>
        <s v="James Hall"/>
        <s v="Lisa Howard"/>
        <s v="Kevin Joyce"/>
        <s v="Tracy Cole"/>
        <s v="Vanessa Wood"/>
        <s v="Miss Megan Galvan"/>
        <s v="Jeffrey Duarte"/>
        <s v="Kevin Patel"/>
        <s v="Timothy Walsh"/>
        <s v="Crystal Thompson"/>
        <s v="Jason Turner"/>
        <s v="Kristine Baker"/>
        <s v="Timothy Frey"/>
        <s v="Lorraine Nelson"/>
        <s v="Marie Wu"/>
        <s v="Nancy Abbott"/>
        <s v="Mr. Shaun Collins"/>
        <s v="Melissa Fisher"/>
        <s v="Alexander Terry"/>
        <s v="Jessica Williams"/>
        <s v="Robert Lewis"/>
        <s v="Jennifer Williams"/>
        <s v="Theresa Wilson"/>
        <s v="Jillian Garcia"/>
        <s v="Stuart Hunt"/>
        <s v="Stephanie Holder"/>
        <s v="Angela Bush"/>
        <s v="Jeremy Conrad"/>
        <s v="David Berger"/>
        <s v="Todd Martinez"/>
        <s v="David Johnson"/>
        <s v="Tiffany Dunn"/>
        <s v="Robert Smith DVM"/>
        <s v="Alicia Hoover"/>
        <s v="Todd Brown"/>
        <s v="Stanley Garcia"/>
        <s v="Lisa Elliott"/>
        <s v="Brian Sampson"/>
        <s v="Tim Taylor"/>
        <s v="Joel Young"/>
        <s v="Lisa Huff"/>
        <s v="Kimberly Adams"/>
        <s v="Christopher Steele"/>
        <s v="Sergio Powers"/>
        <s v="Marcus Vasquez"/>
        <s v="Nathan Jones"/>
        <s v="Patricia Boyer"/>
        <s v="Sarah Baker"/>
        <s v="Joshua Park"/>
        <s v="Peggy Allen"/>
        <s v="Brianna Harris"/>
        <s v="Melanie Marshall"/>
        <s v="Antonio King"/>
        <s v="Jonathan Marquez"/>
        <s v="Vickie Soto"/>
        <s v="Jose Sandoval"/>
        <s v="Brandi Wells"/>
        <s v="Anthony Phelps"/>
        <s v="Andrew Sparks"/>
        <s v="Hannah Watkins"/>
        <s v="Sheena Burke"/>
        <s v="Alicia Watts"/>
        <s v="Carlos Liu"/>
        <s v="Jamie Pierce"/>
        <s v="Elizabeth Espinoza"/>
        <s v="David Knapp"/>
        <s v="Nicholas Keith"/>
        <s v="Tony Medina"/>
        <s v="Mandy Russell"/>
        <s v="Gregory Werner"/>
        <s v="Elizabeth Lawrence"/>
        <s v="Michael Marshall"/>
        <s v="Brandon Burton"/>
        <s v="Dorothy Russell"/>
        <s v="Shannon Sullivan"/>
        <s v="Sandy Jenkins"/>
        <s v="Jordan Miranda"/>
        <s v="Kenneth Edwards"/>
        <s v="Mary Smith"/>
        <s v="Ruben Lindsey"/>
        <s v="Brandon Cole"/>
        <s v="William Phillips"/>
        <s v="Katelyn Campbell"/>
        <s v="Stephen Barber"/>
        <s v="Richard Cruz MD"/>
        <s v="Cody Miller Jr."/>
        <s v="Lindsey Howard"/>
        <s v="Paul Owen"/>
        <s v="Richard Wu"/>
        <s v="John Hines"/>
        <s v="Carrie Johnson"/>
        <s v="Kristen Foster"/>
        <s v="William Oliver"/>
        <s v="Melanie Lewis"/>
        <s v="David Weaver"/>
        <s v="Brittany Davenport"/>
        <s v="Elizabeth Martinez"/>
        <s v="Stephanie Fuller"/>
        <s v="Angela Flores"/>
        <s v="Lisa Bartlett"/>
        <s v="Donna Jones"/>
        <s v="Mary Nelson"/>
        <s v="Lynn King"/>
        <s v="Jennifer Mann"/>
        <s v="Kimberly Mullins"/>
        <s v="Tara Gibson"/>
        <s v="Ashley Davis"/>
        <s v="Jesse Johnson"/>
        <s v="Aimee Scott"/>
        <s v="Anna Castro"/>
        <s v="Kristen White"/>
        <s v="Cynthia Mendoza"/>
        <s v="Cynthia Gonzalez"/>
        <s v="Stephanie Ward"/>
        <s v="Erin Schultz"/>
        <s v="James Flores"/>
        <s v="Michael Murphy"/>
        <s v="Seth Yates"/>
        <s v="Jacqueline Harris"/>
        <s v="Randy Hale"/>
        <s v="John Harmon"/>
        <s v="Andrew Andrade"/>
        <s v="Anthony Rowe"/>
        <s v="Justin Butler"/>
        <s v="Jeremiah Johnson"/>
        <s v="Christopher Baker"/>
        <s v="Nathaniel Thomas"/>
        <s v="Sean Simmons DDS"/>
        <s v="Alexander Fitzgerald"/>
        <s v="Jennifer Gonzalez"/>
        <s v="William Taylor"/>
        <s v="Fernando Mosley"/>
        <s v="Ricky Elliott"/>
        <s v="Jared Williams"/>
        <s v="Carlos Thompson"/>
        <s v="Randy Thompson"/>
        <s v="Perry Love"/>
        <s v="Andre Walters"/>
        <s v="Eric Perez"/>
        <s v="Patricia Knapp"/>
        <s v="Jody Lyons"/>
        <s v="Matthew Gaines"/>
        <s v="Colton Barry"/>
        <s v="Jose Taylor"/>
        <s v="Marilyn Turner"/>
        <s v="Sharon Mcbride"/>
        <s v="Antonio Hill"/>
        <s v="Brian Lee"/>
        <s v="Deanna Holland"/>
        <s v="Timothy Blake"/>
        <s v="Taylor Douglas"/>
        <s v="Philip Holmes"/>
        <s v="Tricia Wallace"/>
        <s v="Casey Banks"/>
        <s v="Tammy Thompson"/>
        <s v="Isabel Sanchez"/>
        <s v="Curtis Romero"/>
        <s v="Desiree Mitchell"/>
        <s v="Christopher Roberts"/>
        <s v="Mark Evans"/>
        <s v="Douglas Michael"/>
        <s v="Lori Nelson"/>
        <s v="Jerry Jackson"/>
        <s v="Christopher Higgins"/>
        <s v="Melissa Hoffman"/>
        <s v="Darryl Mueller"/>
        <s v="Taylor Calderon"/>
        <s v="Jon Downs"/>
        <s v="Tyler Lopez"/>
        <s v="Katherine Johnson"/>
        <s v="Amber Osborn"/>
        <s v="Allen Ortega"/>
        <s v="Roger Campbell"/>
        <s v="Alexis Welch"/>
        <s v="Jason Burton"/>
        <s v="Brian Marshall"/>
        <s v="Valerie Crawford"/>
        <s v="Karen Thomas"/>
        <s v="Natalie Savage"/>
        <s v="Benjamin Johnson"/>
        <s v="Linda Williams"/>
        <s v="Teresa Williams"/>
        <s v="Samantha Bell"/>
        <s v="Jerry Patrick"/>
        <s v="Rachel Campbell"/>
        <s v="Jessica Smith"/>
        <s v="Maria Cobb"/>
        <s v="Kelly Jones"/>
        <s v="Kenneth Miller"/>
        <s v="Patricia Schwartz"/>
        <s v="Robert Alvarado"/>
        <s v="Joseph Parker"/>
        <s v="Michael Kim"/>
        <s v="Lauren Mayer"/>
        <s v="Erin Parker"/>
        <s v="Amy Rivas"/>
        <s v="Whitney Allen"/>
        <s v="Daniel Nicholson"/>
        <s v="Michele Mcdonald"/>
        <s v="Edward Coleman"/>
        <s v="Douglas Kelly"/>
        <s v="Thomas Garrison"/>
        <s v="Erica Hansen"/>
        <s v="Laura Kaiser"/>
        <s v="Katie Terry"/>
        <s v="Monica Barton"/>
        <s v="Mark Smith"/>
        <s v="Penny Vance"/>
        <s v="Joanna Reed"/>
        <s v="Toni Williams"/>
        <s v="Katie Roberts"/>
        <s v="Rebekah Garcia"/>
        <s v="Jennifer Nguyen"/>
        <s v="Jennifer Leon"/>
        <s v="Karen Lucas"/>
        <s v="Gregory English"/>
        <s v="Catherine Smith"/>
        <s v="Douglas Vasquez"/>
        <s v="Mark Giles"/>
        <s v="Michael Chan"/>
        <s v="Renee Wagner MD"/>
        <s v="Michael Phillips"/>
        <s v="Mary Marshall"/>
        <s v="Larry Gutierrez"/>
        <s v="Jeremy Lin"/>
        <s v="Rita Christensen"/>
        <s v="Robert Knight"/>
        <s v="Joe Gardner"/>
        <s v="Nancy Ponce"/>
        <s v="Tammy Forbes"/>
        <s v="Megan Lopez"/>
        <s v="Rebecca Burgess"/>
        <s v="Chad Phillips"/>
        <s v="Jacqueline Dawson"/>
        <s v="Jennifer Moore"/>
        <s v="Christopher Nash"/>
        <s v="Mrs. Kimberly Bennett"/>
        <s v="Sonia Kent"/>
        <s v="Regina Dyer"/>
        <s v="Courtney Hill"/>
        <s v="Stephanie Carroll"/>
        <s v="Wayne Vasquez"/>
        <s v="Dr. George Baker"/>
        <s v="Raymond Harper"/>
        <s v="Jeffrey Cruz"/>
        <s v="Nathaniel Bennett"/>
        <s v="Sharon Sweeney"/>
        <s v="Olivia Davidson"/>
        <s v="Eileen Smith"/>
        <s v="Mr. John Morris"/>
        <s v="Kelly Barrera"/>
        <s v="Tyler Case"/>
        <s v="Matthew Ruiz"/>
        <s v="Donna Lawrence"/>
        <s v="Eric Brewer"/>
        <s v="Norma Barker"/>
        <s v="Todd Phillips"/>
        <s v="Matthew Boyd"/>
        <s v="Ashley Wade"/>
        <s v="Michelle Gomez"/>
        <s v="Cassandra Collins"/>
        <s v="Patrick Thomas"/>
        <s v="Molly Whitaker"/>
        <s v="John Finley"/>
        <s v="Alexandra Sanchez"/>
        <s v="Sophia Stevens"/>
        <s v="Anthony Harrell"/>
        <s v="Nicole Oliver"/>
        <s v="Jonathan Stevens"/>
        <s v="Geoffrey Washington"/>
        <s v="Gail Gordon"/>
        <s v="Jennifer Patel MD"/>
        <s v="Michael Diaz"/>
        <s v="Tony Guzman"/>
        <s v="Katie Snyder"/>
        <s v="Victoria Parker"/>
        <s v="Cody Robbins"/>
        <s v="Christine Nelson"/>
        <s v="Julia Marquez"/>
        <s v="George Nelson"/>
        <s v="Emma Austin"/>
        <s v="Bianca Fletcher"/>
        <s v="Steve King"/>
        <s v="Jeffrey Rice"/>
        <s v="William Mcdonald"/>
        <s v="Andrew Murphy"/>
        <s v="Brian Stark"/>
        <s v="Stephen Gray"/>
        <s v="Mary Soto"/>
        <s v="George Campbell"/>
        <s v="Robert Kennedy"/>
        <s v="Emily Pham MD"/>
        <s v="Jennifer Cooper"/>
        <s v="Kimberly Rodriguez"/>
        <s v="Ryan Hoffman"/>
        <s v="Eric Martin"/>
        <s v="Kayla Aguirre"/>
        <s v="Mark Rivers"/>
        <s v="Jennifer Hughes"/>
        <s v="Bryan Christensen"/>
        <s v="Patricia Rasmussen MD"/>
        <s v="Barbara Gallagher"/>
        <s v="Robert Hernandez"/>
        <s v="Mr. Steven Jimenez"/>
        <s v="Cody Guerrero"/>
        <s v="Alexander Cooper"/>
        <s v="Mr. Marc Avery"/>
        <s v="Michael Elliott"/>
        <s v="Kimberly Avila"/>
        <s v="Kimberly Jones"/>
        <s v="Mark Daniel"/>
        <s v="Cody Scott"/>
        <s v="Barbara Gomez"/>
        <s v="Diana Oconnell"/>
        <s v="Ryan James"/>
        <s v="Douglas Pena"/>
        <s v="Stacey Kim"/>
        <s v="William Deleon"/>
        <s v="John Barnes"/>
        <s v="Samantha Luna"/>
        <s v="Matthew Cook"/>
        <s v="Kenneth Austin MD"/>
        <s v="Amy Rios"/>
        <s v="Bailey Fitzgerald"/>
        <s v="Luis Reeves"/>
        <s v="Alisha Giles"/>
        <s v="James Burnett"/>
        <s v="Lisa Crawford"/>
        <s v="Christian Gonzalez"/>
        <s v="Tristan Drake"/>
        <s v="Joshua Hoffman"/>
        <s v="Jaime Delacruz"/>
        <s v="Jill Baird"/>
        <s v="Amber Martinez"/>
        <s v="Tammy Velez"/>
        <s v="Roberto Arias"/>
        <s v="Joyce Schaefer"/>
        <s v="Thomas Church"/>
        <s v="Kevin Sosa"/>
        <s v="Nichole Mcintyre"/>
        <s v="Anthony Mathews"/>
        <s v="Wesley Walker"/>
        <s v="Karen Weber"/>
        <s v="Holly Rivas"/>
        <s v="Wayne Berry"/>
        <s v="Angel Tran"/>
        <s v="Melanie Jackson"/>
        <s v="Jonathan Kent"/>
        <s v="Daniel Jackson"/>
        <s v="Brian Hall"/>
        <s v="Michael Espinoza"/>
        <s v="Robert Hooper"/>
        <s v="Dakota Bryant"/>
        <s v="Tiffany Diaz"/>
        <s v="Eric Davis"/>
        <s v="Sandra Navarro"/>
        <s v="Amanda Maxwell"/>
        <s v="Scott Gardner"/>
        <s v="Courtney Rodriguez"/>
        <s v="Ryan Coleman"/>
        <s v="Lori Wilson"/>
        <s v="Kathy Thompson"/>
        <s v="Nathan Bowman"/>
        <s v="Anne Hernandez"/>
        <s v="Derek Roman"/>
        <s v="Michele Ellis"/>
        <s v="Mr. Daniel Thompson"/>
        <s v="Marie Carr"/>
        <s v="Terry Smith"/>
        <s v="Elizabeth Barker"/>
        <s v="Steven Yates"/>
        <s v="Seth Kim"/>
        <s v="David Martin"/>
        <s v="Kayla Evans"/>
        <s v="Chad Barnes"/>
        <s v="Cynthia Barrett"/>
        <s v="Matthew Bonilla"/>
        <s v="Mrs. Stephanie Williams"/>
        <s v="Samantha Greer"/>
        <s v="Martha Bradley"/>
        <s v="Eric Long"/>
        <s v="Harold Davis"/>
        <s v="Sarah Braun"/>
        <s v="Brittney Dunn"/>
        <s v="Tina Walker"/>
        <s v="John Bishop"/>
        <s v="Philip Miller"/>
        <s v="Jasmine Ellis"/>
        <s v="Jonathan Lang"/>
        <s v="Martin Johnson"/>
        <s v="Manuel Reeves"/>
        <s v="Scott Nelson"/>
        <s v="Kathleen Garrett"/>
        <s v="Matthew Smith"/>
        <s v="Tamara Thomas"/>
        <s v="Michael Wells"/>
        <s v="Rachel Newman"/>
        <s v="Lauren Rodriguez"/>
        <s v="Nicholas Peters"/>
        <s v="Patricia Taylor"/>
        <s v="Sherry Reynolds"/>
        <s v="Christine Hanson"/>
        <s v="James Little"/>
        <s v="Erin Harris"/>
        <s v="Monica Smith"/>
        <s v="Tammy Caldwell"/>
        <s v="Deborah Lucero"/>
        <s v="Michael Landry"/>
        <s v="Carlos Martinez"/>
        <s v="Kevin Johnson"/>
        <s v="Nicholas Miller"/>
        <s v="Erica Simmons"/>
        <s v="Christopher Potts"/>
        <s v="Matthew Mcguire"/>
        <s v="Frederick Phillips"/>
        <s v="Linda Green"/>
        <s v="Tyler Hurley"/>
        <s v="Ian Williams"/>
        <s v="Gabriella Sanchez"/>
        <s v="Tiffany Burke"/>
        <s v="John James"/>
        <s v="Matthew Vasquez"/>
        <s v="Wanda Ward"/>
        <s v="Brooke Long"/>
        <s v="Angela Gonzalez"/>
        <s v="Heather Moore"/>
        <s v="Sabrina Dillon"/>
        <s v="Jacqueline James"/>
        <s v="Tiffany Baker"/>
        <s v="Johnny Bennett"/>
        <s v="David Estrada"/>
        <s v="Leon Crawford"/>
        <s v="Anthony Farmer"/>
        <s v="Patrick Taylor"/>
        <s v="Angel Velasquez"/>
        <s v="Marc Francis"/>
        <s v="Mikayla Cooper"/>
        <s v="Sheena Weaver"/>
        <s v="Nathan Dixon"/>
        <s v="Lindsey Gay"/>
        <s v="Valerie Hernandez"/>
        <s v="Jerome Ramirez"/>
        <s v="Javier Weber"/>
        <s v="David Harvey"/>
        <s v="Logan Frey"/>
        <s v="Kristen Moore"/>
        <s v="Jessica Chavez"/>
        <s v="Michael Washington"/>
        <s v="Ruben Pineda"/>
        <s v="Mark Mills"/>
        <s v="Peter Perez"/>
        <s v="Jennifer Ross"/>
        <s v="Tom Brown"/>
        <s v="Tammy Shelton"/>
        <s v="John Sanchez"/>
        <s v="Megan Kelley"/>
        <s v="Melissa Hayden"/>
        <s v="Sharon Garcia"/>
        <s v="Deborah Watson"/>
        <s v="Megan Watson"/>
        <s v="Matthew Scott"/>
        <s v="Suzanne Mitchell"/>
        <s v="James Morris"/>
        <s v="Andrea Miller"/>
        <s v="James Graves"/>
        <s v="Vickie Mcbride"/>
        <s v="Cory Rhodes"/>
        <s v="Grace Sutton"/>
        <s v="Mr. Jason Duran"/>
        <s v="Kenneth Evans"/>
        <s v="Danielle Stout"/>
        <s v="Felicia Johnson"/>
        <s v="Sylvia Freeman"/>
        <s v="Zachary Sutton"/>
        <s v="Lawrence Robinson"/>
        <s v="Allison Payne"/>
        <s v="Elizabeth Smith DDS"/>
        <s v="Robert Lynn"/>
        <s v="Marie Padilla"/>
        <s v="Martha Gonzales"/>
        <s v="Diana Reeves"/>
        <s v="Charles Brown"/>
        <s v="John Sanders"/>
        <s v="Kayla Ramirez"/>
        <s v="Stephanie Hernandez"/>
        <s v="Catherine Porter"/>
        <s v="Joseph Prince"/>
        <s v="Kelsey Woods"/>
        <s v="John Gray"/>
        <s v="Ethan Moyer"/>
        <s v="Russell York"/>
        <s v="Emily Fowler"/>
        <s v="Frank Barnes"/>
        <s v="Kevin Weber"/>
        <s v="Ian Hayes"/>
        <s v="Brian Hicks"/>
        <s v="Laurie Boyd"/>
        <s v="Briana Johnson"/>
        <s v="Kelly Robinson"/>
        <s v="Steven Thompson"/>
        <s v="Cameron Wheeler"/>
        <s v="Tiffany Shaffer"/>
        <s v="Duane Bridges"/>
        <s v="Justin Perez"/>
        <s v="Andrew Robertson"/>
        <s v="Lee Brooks"/>
        <s v="Edward Hudson"/>
        <s v="Michael Simmons"/>
        <s v="Cindy Hunt"/>
        <s v="Paul Schmidt"/>
        <s v="Megan Morrison"/>
        <s v="Marissa Burton"/>
        <s v="Leah Harris"/>
        <s v="Richard Long"/>
        <s v="Shane Gomez"/>
        <s v="Tyler Mccoy"/>
        <s v="Jay Thomas"/>
        <s v="Juan Davis"/>
        <s v="Gregory Steele"/>
        <s v="Joseph Durham"/>
        <s v="Julian Gonzalez"/>
        <s v="Carla Powers"/>
        <s v="Hannah Harris"/>
        <s v="Michael Graham"/>
        <s v="Kathy King"/>
        <s v="Adam Miller"/>
        <s v="Linda Mejia"/>
        <s v="Amanda Obrien"/>
        <s v="Paul Moore MD"/>
        <s v="Alexa Huber"/>
        <s v="Corey Griffin"/>
        <s v="Kristy Sampson"/>
        <s v="Jill Foster"/>
        <s v="Charles Matthews"/>
        <s v="William Rodriguez"/>
        <s v="Justin Monroe"/>
        <s v="Mario Lewis"/>
        <s v="Christopher Miller"/>
        <s v="Joseph Wade"/>
        <s v="Jason Chavez"/>
        <s v="Lisa Sanchez"/>
        <s v="Charles Young"/>
        <s v="Jessica Stone"/>
        <s v="Gina Austin"/>
        <s v="Kimberly Anderson"/>
        <s v="Melissa Mitchell"/>
        <s v="Joshua Castillo"/>
        <s v="Samantha Merritt"/>
        <s v="Stacey Burke"/>
        <s v="Allen Larson"/>
        <s v="Susan Pollard"/>
        <s v="Randy Mcdonald"/>
        <s v="Ashley Brennan"/>
        <s v="Tyler Long"/>
        <s v="Isabella Baker"/>
        <s v="Ashley Russell"/>
        <s v="Andrew Washington"/>
        <s v="Gerald Turner"/>
        <s v="Kathryn Young"/>
        <s v="Anthony Hill Jr."/>
        <s v="Nicole Davis"/>
        <s v="Anthony Johnson"/>
        <s v="Catherine Park"/>
        <s v="Michael Wade"/>
        <s v="Nicholas Orr"/>
        <s v="Brett Beard"/>
        <s v="Stephanie Hall"/>
        <s v="Teresa Perez"/>
        <s v="Alex Frey"/>
        <s v="Brandy Mann"/>
        <s v="Sonya Ferguson"/>
        <s v="Stephanie Jimenez"/>
        <s v="Teresa Gonzalez"/>
        <s v="Brandy Cooper"/>
        <s v="Marissa Mckee"/>
        <s v="Darrell Graham"/>
        <s v="Madison Harper"/>
        <s v="Andre Wilkins"/>
        <s v="Christina Woods"/>
        <s v="Daniel Hood"/>
        <s v="John Oliver"/>
        <s v="Ricky Morris"/>
        <s v="Edgar Jones"/>
        <s v="Patricia Thomas"/>
        <s v="Kathleen Carter"/>
        <s v="Nicole Daugherty"/>
        <s v="Megan Gates"/>
        <s v="Mark Parker"/>
        <s v="Courtney Robinson"/>
        <s v="Samantha Garcia"/>
        <s v="Christy Edwards"/>
        <s v="James Richardson"/>
        <s v="Ariel Allen"/>
        <s v="Melissa Black"/>
        <s v="Phillip Baker"/>
        <s v="Kelly Jacobs"/>
        <s v="Patricia Long"/>
        <s v="Elizabeth Moore"/>
        <s v="Derek Richards"/>
        <s v="Miguel Baker"/>
        <s v="Dylan Brooks"/>
        <s v="William Moore"/>
        <s v="Tina Sawyer"/>
        <s v="Lauren Oliver"/>
        <s v="Joshua Jones"/>
        <s v="Erica Harrell"/>
        <s v="Breanna Morales"/>
        <s v="Lance Holland"/>
        <s v="Patrick Gray"/>
        <s v="Joseph Barrett"/>
        <s v="Kayla Jackson"/>
        <s v="Mackenzie Harvey"/>
        <s v="John Powers"/>
        <s v="Michelle Rodriguez"/>
        <s v="Nathan Smith MD"/>
        <s v="Cynthia Johnson"/>
        <s v="Daniel Jones"/>
        <s v="Charles Gilbert"/>
        <s v="David Hodge"/>
        <s v="Allison Davis"/>
        <s v="Christopher Gutierrez"/>
        <s v="Amanda Clark"/>
        <s v="Melissa Wagner"/>
        <s v="Robert Ellis"/>
        <s v="Ashley Lee"/>
        <s v="Amanda Green"/>
        <s v="John Cline"/>
        <s v="Sara Adkins"/>
        <s v="Kevin Watkins"/>
        <s v="James Whitehead"/>
        <s v="Michaela Nash"/>
        <s v="Leslie Mcdonald"/>
        <s v="Peter Castaneda"/>
        <s v="Emily Fox"/>
        <s v="Patrick Pierce"/>
        <s v="Claudia Hayden"/>
        <s v="Glen Vasquez"/>
        <s v="Melissa Harris"/>
        <s v="Rachel Norton"/>
        <s v="Teresa Taylor"/>
        <s v="Jennifer Rhodes"/>
        <s v="Michael Ponce"/>
        <s v="Michelle Mathis"/>
        <s v="Elizabeth Chavez"/>
        <s v="Eugene Thompson"/>
        <s v="Teresa Joseph"/>
        <s v="Todd Moon"/>
        <s v="Jill Klein"/>
        <s v="Jeffrey Jones"/>
        <s v="Robert Ramirez"/>
        <s v="Colleen Lewis"/>
        <s v="Jennifer Owens"/>
        <s v="Nicholas Bullock"/>
        <s v="Sandra Jackson"/>
        <s v="Jason Quinn"/>
        <s v="Patricia Koch"/>
        <s v="Kenneth Hubbard"/>
        <s v="Debra Anderson"/>
        <s v="Tyler Williams"/>
        <s v="Kristin Nelson"/>
        <s v="Karen Reese"/>
        <s v="Emily Bennett MD"/>
        <s v="Susan Jenkins"/>
        <s v="Stefanie Wright"/>
        <s v="Andrea Patton"/>
        <s v="Kathryn Lara"/>
        <s v="Sean Vazquez"/>
        <s v="Robert Odonnell"/>
        <s v="Denise Mcgee"/>
        <s v="Brittany Vincent"/>
        <s v="Kathryn Castro"/>
        <s v="Christine Anderson"/>
        <s v="Samantha Ross"/>
        <s v="Andre Santos"/>
        <s v="Monica Lee"/>
        <s v="Shelly Harrison DDS"/>
        <s v="Mikayla Houston"/>
        <s v="David Heath"/>
        <s v="Tyler Smith"/>
        <s v="Mary Wagner"/>
        <s v="Cody Keith"/>
        <s v="Jordan Ramos"/>
        <s v="John Petersen"/>
        <s v="Christopher Washington"/>
        <s v="Jennifer Love"/>
        <s v="Michelle Stevenson"/>
        <s v="Robert Pace"/>
        <s v="Edward Black"/>
        <s v="Deanna Martin"/>
        <s v="Seth Fuentes"/>
        <s v="Philip Hood"/>
        <s v="Brian Davila"/>
        <s v="William Morales"/>
        <s v="Jodi Lopez"/>
        <s v="Greg Lopez"/>
        <s v="Carmen Anderson"/>
        <s v="Christina Ryan"/>
        <s v="Jeffrey Fisher"/>
        <s v="Andrea Bray"/>
        <s v="Shawn Moran"/>
        <s v="Lisa Brown"/>
        <s v="Mark Ramos"/>
        <s v="Kayla Wilkins"/>
        <s v="Natasha Dudley"/>
        <s v="Kimberly Price"/>
        <s v="Arthur Tran"/>
        <s v="Alexis Francis"/>
        <s v="Francisco Schmidt"/>
        <s v="Claudia Diaz"/>
        <s v="Brandy Richardson"/>
        <s v="Mark Reed"/>
        <s v="David Leach"/>
        <s v="Julie Strickland"/>
        <s v="Mary Hayes"/>
        <s v="Lisa Carter"/>
        <s v="Julie Gutierrez DDS"/>
        <s v="Christine Wong"/>
        <s v="Brandi Best"/>
        <s v="Jill Harris"/>
        <s v="Ryan Brown"/>
        <s v="Amy Juarez"/>
        <s v="Tyrone Ward"/>
        <s v="Melissa Brown"/>
        <s v="Patricia Stephens"/>
        <s v="Zachary Kelly"/>
        <s v="Stacy Simpson"/>
        <s v="Adam Stanton"/>
        <s v="Robert Barber"/>
        <s v="Patricia Morse"/>
        <s v="Cody Richardson"/>
        <s v="Kevin Henderson"/>
        <s v="Christina Pollard"/>
        <s v="Amy Medina"/>
        <s v="Kelly Davis"/>
        <s v="Michael Adams"/>
        <s v="Catherine Schmidt DVM"/>
        <s v="Christy Cross"/>
        <s v="Courtney Stevens"/>
        <s v="Angela Alvarez"/>
        <s v="Michael Randolph"/>
        <s v="Daniel Lewis"/>
        <s v="Mary Mcguire"/>
        <s v="Courtney Mays"/>
        <s v="Jeremy Williams"/>
        <s v="Anthony Cole"/>
        <s v="Robert George"/>
        <s v="Kimberly Lopez"/>
        <s v="Amanda Evans"/>
        <s v="Patrick Jimenez"/>
        <s v="Christopher Robertson"/>
        <s v="Brittany Harrington"/>
        <s v="Stephanie Valencia"/>
        <s v="Cindy Smith"/>
        <s v="Lisa Price"/>
        <s v="Kelly Johnson"/>
        <s v="Mackenzie Gordon"/>
        <s v="Brandy Arnold"/>
        <s v="Timothy Williams"/>
        <s v="Julie Mcdowell"/>
        <s v="Jon Rogers"/>
        <s v="Sarah Carpenter"/>
        <s v="Erin Roman"/>
        <s v="Kiara Khan"/>
        <s v="Kim Salazar"/>
        <s v="Brent Petersen"/>
        <s v="Margaret Benjamin"/>
        <s v="Julie Ferguson"/>
        <s v="April Jensen"/>
        <s v="Nicole Hampton"/>
        <s v="Melissa Roberts"/>
        <s v="Anne Miller"/>
        <s v="Stephanie Gutierrez"/>
        <s v="Joseph West"/>
        <s v="Brandon Mcmahon"/>
        <s v="Laura Hoffman"/>
        <s v="Wayne Todd"/>
        <s v="Jennifer Frye"/>
        <s v="Jason Anderson"/>
        <s v="Kelly Moss"/>
        <s v="Samuel Duffy"/>
        <s v="James Harvey"/>
        <s v="Deborah Pham"/>
        <s v="Evan Dean"/>
        <s v="Sarah Wallace"/>
        <s v="Michael Wilson"/>
        <s v="Lauren Boyd"/>
        <s v="Vanessa Williams"/>
        <s v="Erik Johnson"/>
        <s v="Kaitlin Gray"/>
        <s v="Ruth Chandler"/>
        <s v="Cynthia King"/>
        <s v="Jennifer Hendricks"/>
        <s v="David Schmidt"/>
        <s v="Michelle Miller"/>
        <s v="Andrea Mcdonald"/>
        <s v="Douglas Bennett"/>
        <s v="Geoffrey Harrison"/>
        <s v="Carolyn Murphy"/>
        <s v="Andrew Chavez"/>
        <s v="Matthew Perry"/>
        <s v="Hailey Pacheco"/>
        <s v="Heather Mcclain"/>
        <s v="Elizabeth Mclaughlin"/>
        <s v="Julie Bullock"/>
        <s v="Stacey Hopkins"/>
        <s v="Kristen Richardson"/>
        <s v="Sydney Gomez"/>
        <s v="Victor Krueger"/>
        <s v="Jasmine Anderson"/>
        <s v="Christopher Moore"/>
        <s v="Nathan George"/>
        <s v="Shannon Brown"/>
        <s v="Heather Santiago"/>
        <s v="Dawn Nguyen"/>
        <s v="Dr. Sarah Chandler MD"/>
        <s v="Amber Reynolds"/>
        <s v="Kara Hoffman"/>
        <s v="Jeremiah Jenkins"/>
        <s v="Amy Scott"/>
        <s v="Nicole Hansen"/>
        <s v="Dr. David Schmitt"/>
        <s v="Brandy Smith"/>
        <s v="Michael Combs"/>
        <s v="Sarah Fowler"/>
        <s v="Jennifer Russell"/>
        <s v="Victoria Jordan"/>
        <s v="Daniel Brock"/>
        <s v="Jessica Blair"/>
        <s v="Kristopher Burgess"/>
        <s v="Christopher Cunningham"/>
        <s v="Justin Carrillo"/>
        <s v="Benjamin Kim"/>
        <s v="Patricia Estes"/>
        <s v="Aaron Woodard"/>
        <s v="Joshua Stanley"/>
        <s v="Luis Davis"/>
        <s v="Chad Shepard"/>
        <s v="Theresa Clark"/>
        <s v="Christopher Gibson"/>
        <s v="Natalie Lin"/>
        <s v="Kristine Melton"/>
        <s v="Brianna Barton"/>
        <s v="Robert Martin"/>
        <s v="Taylor Martinez"/>
        <s v="Christopher Moreno"/>
        <s v="Mary Morales"/>
        <s v="Michael Jones"/>
        <s v="Jenna Ryan"/>
        <s v="Nicholas Adkins"/>
        <s v="Nancy Gillespie"/>
        <s v="Olivia Reynolds"/>
        <s v="Russell Richardson"/>
        <s v="Amy Santos"/>
        <s v="Keith Jones"/>
        <s v="Levi Hernandez"/>
        <s v="Shannon Chavez"/>
        <s v="Patricia Fisher"/>
        <s v="Russell Hess"/>
        <s v="Ms. Julie Molina MD"/>
        <s v="Malik Woodard"/>
        <s v="Amber Ferguson"/>
        <s v="Kelsey Lewis"/>
        <s v="James Harris"/>
        <s v="Vanessa Porter"/>
        <s v="Olivia Odom"/>
        <s v="Deanna Murray"/>
        <s v="Rebecca Schwartz"/>
        <s v="Leslie Phillips"/>
        <s v="Stacy Williams"/>
        <s v="Mary Thompson"/>
        <s v="Sydney Hall"/>
        <s v="Jesse Shields"/>
        <s v="Danielle Villarreal"/>
        <s v="Jonathan Montgomery"/>
        <s v="Michele Kline"/>
        <s v="Ashley Jones"/>
        <s v="Jesse Wilson"/>
        <s v="Regina Taylor"/>
        <s v="Natalie Oconnell"/>
        <s v="Jeff Reeves"/>
        <s v="Christine Dixon"/>
        <s v="Patrick Wiley"/>
        <s v="Jason Scott"/>
        <s v="Eugene Gomez"/>
        <s v="Corey Jefferson"/>
        <s v="Dakota Taylor"/>
        <s v="Joseph Joseph"/>
        <s v="Angelica Farmer"/>
        <s v="Daniel Bryant"/>
        <s v="Henry Williams"/>
        <s v="Louis Walsh"/>
        <s v="Matthew Robinson"/>
        <s v="Kevin Lynn"/>
        <s v="Mr. William Aguilar"/>
        <s v="Ashley Edwards"/>
        <s v="Barbara Cook"/>
        <s v="Brandy Chandler"/>
        <s v="Scott Wallace"/>
        <s v="Kevin Farmer"/>
        <s v="Matthew Parker"/>
        <s v="Sarah Scott"/>
        <s v="Christian Smith"/>
        <s v="Amanda Fields DDS"/>
        <s v="Shawn Crawford"/>
        <s v="Paul Faulkner"/>
        <s v="Joseph Santiago"/>
        <s v="Rachel Stevenson"/>
        <s v="Jessica Wyatt"/>
        <s v="Joshua Brown MD"/>
        <s v="Edgar Reynolds"/>
        <s v="Nicholas Snyder"/>
        <s v="Carolyn Hernandez"/>
        <s v="Dorothy Davis"/>
        <s v="Tyler Richardson MD"/>
        <s v="Hunter Grimes"/>
        <s v="Frederick Richardson"/>
        <s v="Angela Williamson"/>
        <s v="Alexander Aguirre"/>
        <s v="Steven Frank"/>
        <s v="Stephen Stevens"/>
        <s v="Courtney Allison"/>
        <s v="James Atkins"/>
        <s v="Gregory Robles"/>
        <s v="Tracy Wheeler MD"/>
        <s v="Carrie Gilbert"/>
        <s v="Anne Todd"/>
        <s v="Henry Johnson"/>
        <s v="Cathy Burns"/>
        <s v="Amanda Adams"/>
        <s v="Patrick Burns"/>
        <s v="Dean Glass"/>
        <s v="Brooke Cummings"/>
        <s v="Lisa Walls"/>
        <s v="Heidi Porter"/>
        <s v="Antonio Brown"/>
        <s v="Larry Wright"/>
        <s v="Shelly Richardson"/>
        <s v="April Wolfe"/>
        <s v="Daniel Marsh"/>
        <s v="Mark Larsen"/>
        <s v="Garrett Carpenter"/>
        <s v="Jennifer Mckenzie DDS"/>
        <s v="Ryan Ballard"/>
        <s v="Scott Griffin"/>
        <s v="Erik Stone"/>
        <s v="Danielle Torres"/>
        <s v="Max Kennedy"/>
        <s v="Lori Mclean"/>
        <s v="Ryan Jacobs"/>
        <s v="Jeremy Palmer"/>
        <s v="Kevin Nichols"/>
        <s v="Alexis Morris"/>
        <s v="Michael Flores"/>
        <s v="Hayley Fowler"/>
        <s v="Adam Haynes"/>
        <s v="Kathryn Peterson"/>
        <s v="Anita French"/>
        <s v="Ashley Gonzalez"/>
        <s v="Crystal Anderson"/>
        <s v="Ryan Strickland"/>
        <s v="Katrina Hayden"/>
        <s v="Kara Mcneil"/>
        <s v="Jocelyn Dixon"/>
        <s v="Kathleen White"/>
        <s v="Lisa Stark"/>
        <s v="Amanda Mills"/>
        <s v="Jerry Fowler"/>
        <s v="Jeremy Benson"/>
        <s v="Debra Roberts"/>
        <s v="Maureen Garcia"/>
        <s v="Rachel Adams"/>
        <s v="Veronica Johnson"/>
        <s v="Stanley Weber"/>
        <s v="David Brown"/>
        <s v="Steven Barker"/>
        <s v="Carrie Evans"/>
        <s v="Sarah Johnson"/>
        <s v="Corey Ball"/>
        <s v="Taylor Hess"/>
        <s v="Ashley Clayton"/>
        <s v="Gabrielle Robinson"/>
        <s v="Heather Rivera"/>
        <s v="Jesse Bell"/>
        <s v="Gail Oliver"/>
        <s v="Christopher Simmons"/>
        <s v="Robert Cowan"/>
        <s v="Heather Thompson"/>
        <s v="Jane Cooper"/>
        <s v="Belinda Conley"/>
        <s v="Vanessa Kirby"/>
        <s v="Zachary Scott"/>
        <s v="Elizabeth Edwards"/>
        <s v="Benjamin Bates"/>
        <s v="Jay Love"/>
        <s v="Dr. Andrea Rodriguez DDS"/>
        <s v="Kevin Watson"/>
        <s v="Brittany Fields"/>
        <s v="Joshua Lopez"/>
        <s v="Jo Manning"/>
        <s v="Mitchell Cunningham"/>
        <s v="Michael Ward"/>
        <s v="Beth Edwards"/>
        <s v="James Ortega"/>
        <s v="Mathew Hughes"/>
        <s v="Neil Mora"/>
        <s v="Curtis Smith"/>
        <s v="Joe Liu"/>
        <s v="Jacqueline Little"/>
        <s v="Angela Price"/>
        <s v="Paul Buckley"/>
        <s v="Kimberly Lee"/>
        <s v="Jordan Burns"/>
        <s v="Darryl Glenn"/>
        <s v="Wendy Peters"/>
        <s v="Justin Kelly"/>
        <s v="Jody Simon"/>
        <s v="Jacob Cooper"/>
        <s v="Sean Levine"/>
        <s v="Sandra Rogers"/>
        <s v="Richard Higgins MD"/>
        <s v="Roger Patterson"/>
        <s v="Kimberly Liu"/>
        <s v="Stephanie Ray"/>
        <s v="Carla Hogan"/>
        <s v="Jamie Hanson"/>
        <s v="Karen Miller"/>
        <s v="David Turner"/>
        <s v="Stephanie Rios"/>
        <s v="Matthew White"/>
        <s v="Troy Hernandez"/>
        <s v="Rebecca Douglas"/>
        <s v="Bianca Allen"/>
        <s v="Robert Pugh"/>
        <s v="Adam Williams"/>
        <s v="Clifford Rodriguez"/>
        <s v="Thomas Young DDS"/>
        <s v="Wesley Brown"/>
        <s v="Sharon Miller"/>
        <s v="Eddie Wiggins"/>
        <s v="Amanda Bell"/>
        <s v="Jesus Adams"/>
        <s v="William Murray"/>
        <s v="Katherine Calderon"/>
        <s v="Katherine Mclaughlin"/>
        <s v="Bradley Alexander"/>
        <s v="Michael Brown"/>
        <s v="Charlotte Johnson"/>
        <s v="Tammy Medina"/>
        <s v="Lori Jones"/>
        <s v="Christopher Blake"/>
        <s v="Matthew Wright"/>
        <s v="Matthew Oconnor"/>
        <s v="Mr. Christian Brown"/>
        <s v="Carol Jensen"/>
        <s v="Tommy Williams"/>
        <s v="Morgan Schwartz"/>
        <s v="Megan Green"/>
        <s v="Dustin Hayes"/>
        <s v="Nicole Duke"/>
        <s v="Erica Lane"/>
        <s v="Karen Roy"/>
        <s v="Jeffrey Williams"/>
        <s v="Danny Barnes"/>
        <s v="Donald Miles"/>
        <s v="Luke Andrews"/>
        <s v="Henry King"/>
        <s v="Mr. Tyler Long"/>
        <s v="Daniel Rice"/>
        <s v="Richard Perez"/>
        <s v="Rebecca Greer"/>
        <s v="Michelle Stevens"/>
        <s v="Shannon Roy"/>
        <s v="Kyle Daniels"/>
        <s v="Jordan Porter"/>
        <s v="William Rios"/>
        <s v="Gina Miller"/>
        <s v="Julia Lee"/>
        <s v="Russell Shea"/>
        <s v="Charles Morales"/>
        <s v="James Ramirez"/>
        <s v="Jacqueline Martinez"/>
        <s v="Amanda Torres"/>
        <s v="Timothy Fuentes"/>
        <s v="Daniel Hanson"/>
        <s v="Dr. Victoria Elliott DDS"/>
        <s v="Derek Smith"/>
        <s v="Michael Young"/>
        <s v="Justin Potts"/>
        <s v="Steven Baker"/>
        <s v="Ryan Clark"/>
        <s v="Eric Rivera"/>
        <s v="Trevor Wilson"/>
        <s v="Amanda Chambers"/>
        <s v="Steven Stafford"/>
        <s v="Dylan Harris"/>
        <s v="Anita Martin"/>
        <s v="Alexis Miller MD"/>
        <s v="Lori Anderson"/>
        <s v="Donald Ball"/>
        <s v="George Harris"/>
        <s v="Kenneth Buchanan"/>
        <s v="Kathleen Jones"/>
        <s v="Teresa Blair"/>
        <s v="Mary Chapman"/>
        <s v="Kelly Romero"/>
        <s v="Marc Long"/>
        <s v="Michele Guerrero"/>
        <s v="Peter Randall"/>
        <s v="Elizabeth Brown DVM"/>
        <s v="John Thornton"/>
        <s v="Jordan Contreras"/>
        <s v="Curtis Davis"/>
        <s v="Sara Kennedy"/>
        <s v="Misty Aguilar"/>
        <s v="Robin Orr"/>
        <s v="Logan Pittman"/>
        <s v="Patricia Carpenter"/>
        <s v="Laurie Dean"/>
        <s v="Brent Gross"/>
        <s v="Christopher Diaz"/>
        <s v="Sierra Robinson"/>
        <s v="Kelly Mills"/>
        <s v="David Chavez"/>
        <s v="Thomas Simpson"/>
        <s v="James Taylor"/>
        <s v="Kimberly Carlson"/>
        <s v="Kenneth Hopkins"/>
        <s v="Joseph Robinson"/>
        <s v="Walter Patterson"/>
        <s v="Anne Mills"/>
        <s v="Brandi Huff"/>
        <s v="Amy Lewis"/>
        <s v="Margaret Wilson"/>
        <s v="Brooke Murphy"/>
        <s v="Rebecca Collins"/>
        <s v="Dr. Tyler Allen"/>
        <s v="Caitlin George"/>
        <s v="Brenda Kent"/>
        <s v="Reginald Daniels"/>
        <s v="Martha Wilson"/>
        <s v="Ryan Velazquez PhD"/>
        <s v="Richard Stokes"/>
        <s v="Jose Wright"/>
        <s v="Jerry Maldonado"/>
        <s v="Suzanne Reed"/>
        <s v="Mark Williams"/>
        <s v="Amy Henderson"/>
        <s v="Chad Moody"/>
        <s v="Faith Phillips"/>
        <s v="Natalie Williams"/>
        <s v="Ashley Smith"/>
        <s v="Anthony Nguyen"/>
        <s v="Madeline Zuniga"/>
        <s v="Tyler Jones"/>
        <s v="Ryan Deleon"/>
        <s v="Jill Hurley"/>
        <s v="Sarah Holloway"/>
        <s v="Ernest Thompson"/>
        <s v="Steven George"/>
        <s v="Michael Stephens"/>
        <s v="William Tapia MD"/>
        <s v="Luis Campbell"/>
        <s v="Kyle Meyer"/>
        <s v="Karen Smith"/>
        <s v="Maria Woods"/>
        <s v="Rhonda Barnett"/>
        <s v="Karen Young"/>
        <s v="Suzanne Singleton"/>
        <s v="Angela White"/>
        <s v="Rebecca Miller"/>
        <s v="Matthew Jackson"/>
        <s v="Kenneth Jennings"/>
        <s v="Samuel Rios"/>
        <s v="John Baird"/>
        <s v="Kyle Webb"/>
        <s v="Joshua Wang"/>
        <s v="Olivia Mccarthy"/>
        <s v="Curtis Simpson"/>
        <s v="Randall Adams"/>
        <s v="Casey Norton"/>
        <s v="Michael Bell"/>
        <s v="Mary Richardson"/>
        <s v="James Nelson"/>
        <s v="Sue Reed"/>
        <s v="James Warner"/>
        <s v="John Stafford"/>
        <s v="Zachary Compton"/>
        <s v="Zachary Rodriguez"/>
        <s v="Andrew Gomez"/>
        <s v="Ronald Walters"/>
        <s v="Donald Torres"/>
        <s v="Richard Sanders"/>
        <s v="Amanda Bishop"/>
        <s v="Jessica Webb"/>
        <s v="Tonya Parks"/>
        <s v="Pamela Jacobs"/>
        <s v="John Bullock"/>
        <s v="Debra Randall"/>
        <s v="Matthew Watson"/>
        <s v="Aaron Patel Jr."/>
        <s v="Christine Walters"/>
        <s v="Lauren Bailey"/>
        <s v="Jesse Sims"/>
        <s v="Tammy Erickson"/>
        <s v="Alexis Carter"/>
        <s v="Kevin Ellison"/>
        <s v="Sandra Stevenson"/>
        <s v="Stacey Juarez"/>
        <s v="Troy Horn"/>
        <s v="Christine Villa"/>
        <s v="Troy Stevenson"/>
        <s v="Whitney Smith"/>
        <s v="Patrick Simon"/>
        <s v="Barbara Brown"/>
        <s v="Alexis Brooks"/>
        <s v="Leah Riddle"/>
        <s v="Brian Williams"/>
        <s v="Michael Valentine"/>
        <s v="Jessica Wells"/>
        <s v="Dana Freeman"/>
        <s v="Paul Nelson DVM"/>
        <s v="Scott Moreno"/>
        <s v="Tracy Martin"/>
        <s v="Grant Tran"/>
        <s v="Toni Andrews"/>
        <s v="Kevin Nelson"/>
        <s v="Kristie Cole"/>
        <s v="Connie Atkinson"/>
        <s v="Lauren Rogers"/>
        <s v="William Kelly"/>
        <s v="Rebecca Mcguire"/>
        <s v="Robert Mitchell"/>
        <s v="Donna Harmon"/>
        <s v="Courtney Bentley"/>
        <s v="Rebecca Riley"/>
        <s v="Tammy Richards"/>
        <s v="Brian Mcmillan"/>
        <s v="Theresa Lopez"/>
        <s v="Samuel Garcia"/>
        <s v="Jeffrey Romero"/>
        <s v="Debra Evans"/>
        <s v="Kevin Wilcox"/>
        <s v="Scott Warren"/>
        <s v="Sarah Hicks"/>
        <s v="Elaine Poole"/>
        <s v="Jon Moss"/>
        <s v="Christopher Pitts"/>
        <s v="Bonnie Stewart"/>
        <s v="Christopher Harris"/>
        <s v="Stephanie Smith"/>
        <s v="Holly Mills"/>
        <s v="Michelle Drake"/>
        <s v="Pamela King"/>
        <s v="Martha Morris"/>
        <s v="Melissa Hensley"/>
        <s v="Patricia Nelson"/>
        <s v="Jennifer Clay"/>
        <s v="Cynthia Hess"/>
        <s v="Steven Rowe"/>
        <s v="Corey Martinez Jr."/>
        <s v="Ronald Harmon"/>
        <s v="Leslie Franco"/>
        <s v="Cassandra Garza"/>
        <s v="Brandon Hensley"/>
        <s v="Connie Ochoa"/>
        <s v="Laurie Rodriguez"/>
        <s v="Monique Coleman"/>
        <s v="Jennifer Martinez"/>
        <s v="Tracy May"/>
        <s v="Yolanda Weaver"/>
        <s v="Dennis Gordon"/>
        <s v="James Brooks"/>
        <s v="Katherine Fisher"/>
        <s v="Emily Wilson"/>
        <s v="John Massey"/>
        <s v="Ethan Russell"/>
        <s v="Gilbert Johnson"/>
        <s v="Fernando Norton"/>
        <s v="Derek Pierce"/>
        <s v="Richard Burns"/>
        <s v="Richard Kaufman"/>
        <s v="Amanda Bowman"/>
        <s v="Jessica Richardson"/>
        <s v="Robert Morales"/>
        <s v="Alexis Li"/>
        <s v="Nicolas Brown"/>
        <s v="Geoffrey Summers"/>
        <s v="Jessica Clark"/>
        <s v="Michael Gardner"/>
        <s v="James Moore"/>
        <s v="Jared Sherman"/>
        <s v="James Proctor"/>
        <s v="Jeffery Pittman"/>
        <s v="Tammy Rosales"/>
        <s v="Jeffrey Ortega"/>
        <s v="Jared Johnson"/>
        <s v="Stacy Mills"/>
        <s v="Gabriel Green"/>
        <s v="Michael Porter"/>
        <s v="Samantha Evans"/>
        <s v="Christian Chang"/>
        <s v="Robert Stewart"/>
        <s v="Alex Johnson"/>
        <s v="Nancy Hall"/>
        <s v="Victoria Thomas"/>
        <s v="Lindsay Benitez"/>
        <s v="Kara Black"/>
        <s v="Sally Guerrero"/>
        <s v="Randy Hayes"/>
        <s v="Jason Wolfe"/>
        <s v="Diane Hebert"/>
        <s v="Casey Horton"/>
        <s v="Mark Benson"/>
        <s v="Alexa Walsh"/>
        <s v="Michael Bauer"/>
        <s v="Andrew Mcbride"/>
        <s v="Kenneth Glass"/>
        <s v="Willie Sexton"/>
        <s v="Russell Oliver"/>
        <s v="Jeff Hunt"/>
        <s v="Tara Galvan"/>
        <s v="Robert Hall"/>
        <s v="Lynn Garcia"/>
        <s v="Ralph Cameron"/>
        <s v="Richard Jones"/>
        <s v="Misty Bowman"/>
        <s v="Brian Medina"/>
        <s v="Amanda Nielsen"/>
        <s v="Connie Jones"/>
        <s v="Alan Santos"/>
        <s v="Tammy Lynch"/>
        <s v="Ronald Gray"/>
        <s v="Daniel White"/>
        <s v="Lisa Johnson"/>
        <s v="Jason Jones"/>
        <s v="Kristen Mccall MD"/>
        <s v="Cristian Larson III"/>
        <s v="Jonathan Bennett"/>
        <s v="Jennifer Turner"/>
        <s v="Elizabeth Forbes"/>
        <s v="Brittany Phillips"/>
        <s v="Linda Smith"/>
        <s v="Michele Smith"/>
        <s v="Rebecca Anderson"/>
        <s v="Amber Ramos DDS"/>
        <s v="Brian Torres"/>
        <s v="Brianna Burns"/>
        <s v="Denise Sherman"/>
        <s v="Derek Wilkerson"/>
        <s v="Dawn Rodriguez"/>
        <s v="Felicia Mcgrath"/>
        <s v="Martha White"/>
        <s v="Corey Ward"/>
        <s v="Dillon Rosales"/>
        <s v="Brian Scott"/>
        <s v="Dawn Carter"/>
        <s v="Kevin Young"/>
        <s v="Alexis Johnson"/>
        <s v="Joshua Simpson"/>
        <s v="Rhonda Herrera"/>
        <s v="Spencer Zimmerman"/>
        <s v="Elizabeth Olson"/>
        <s v="Michelle Robbins"/>
        <s v="Joshua Turner"/>
        <s v="Michael Moody"/>
        <s v="Alan Rodriguez"/>
        <s v="Elizabeth Lee"/>
        <s v="April Collins"/>
        <s v="Troy Ward"/>
        <s v="Julia Kent"/>
        <s v="Kimberly Hughes"/>
        <s v="Steven Jordan"/>
        <s v="Luke Fletcher"/>
        <s v="Jay Johnson"/>
        <s v="Brendan Atkinson"/>
        <s v="Michael Rangel"/>
        <s v="Edwin Wright"/>
        <s v="Kevin Cameron"/>
        <s v="Henry Olson"/>
        <s v="Christian Robertson"/>
        <s v="Richard Poole"/>
        <s v="Alyssa Carter"/>
        <s v="Miss Kathy Craig"/>
        <s v="Adam Brown"/>
        <s v="Nicole Valentine"/>
        <s v="Robert Richmond"/>
        <s v="Judy Stewart"/>
        <s v="Mark Myers"/>
        <s v="Alexandra Riley"/>
        <s v="Jason Foster"/>
        <s v="Carolyn Ortiz"/>
        <s v="Casey Morgan"/>
        <s v="Elizabeth Simmons"/>
        <s v="William Davis"/>
        <s v="Mark Morgan"/>
        <s v="Anthony Smith"/>
        <s v="William Kirby"/>
        <s v="Thomas Harvey"/>
        <s v="Cassandra Medina"/>
        <s v="Kenneth Nelson"/>
        <s v="Charles Singleton"/>
        <s v="Jacqueline Hansen MD"/>
        <s v="Sarah Brooks"/>
        <s v="Brian Thomas"/>
        <s v="Michelle Brooks"/>
        <s v="Kevin Cruz"/>
        <s v="Richard Lewis"/>
        <s v="Justin Smith"/>
        <s v="Shawn Richard"/>
        <s v="Raymond Horn"/>
        <s v="Kyle Obrien"/>
        <s v="Eric Ayers"/>
        <s v="Emily Kane"/>
        <s v="Renee Taylor"/>
        <s v="Jacqueline Dalton"/>
        <s v="Alisha Macdonald"/>
        <s v="Brenda Miller"/>
        <s v="John Fox"/>
        <s v="Marc Chavez"/>
        <s v="Kimberly Rogers"/>
        <s v="Stacy Hicks"/>
        <s v="Marcus Garcia"/>
        <s v="Jessica Byrd"/>
        <s v="Elizabeth Allen"/>
        <s v="Dennis Le"/>
        <s v="Donna Harris"/>
        <s v="Nathaniel Decker"/>
        <s v="Christopher Bryant"/>
        <s v="Anthony Brown"/>
        <s v="Debra Rose"/>
        <s v="Lisa Atkins"/>
        <s v="Tammy Smith"/>
        <s v="Nancy Hicks"/>
        <s v="Antonio Rose"/>
        <s v="Danielle Sherman"/>
        <s v="Gina Burns"/>
        <s v="John Kim"/>
        <s v="Julie Marquez"/>
        <s v="Chase Foster"/>
        <s v="Russell Huff"/>
        <s v="Jonathan Forbes"/>
        <s v="Kayla Sanchez"/>
        <s v="Katherine Vance"/>
        <s v="Edward Montoya"/>
        <s v="Helen Allen"/>
        <s v="Kelly Day"/>
        <s v="Shelby Stone"/>
        <s v="Brittany Newman"/>
        <s v="Crystal Nelson"/>
        <s v="Jessica Turner"/>
        <s v="Jeffrey Morris"/>
        <s v="Louis Brown"/>
        <s v="Stacey Watkins"/>
        <s v="Michele Daniel"/>
        <s v="Michael Peterson"/>
        <s v="Brent Moreno"/>
        <s v="Marc Liu"/>
        <s v="Heather Barron"/>
        <s v="Jay Mata"/>
        <s v="Randall Miller"/>
        <s v="Stephen Bradley"/>
        <s v="Linda Mcintyre"/>
        <s v="Jonathan Boyd"/>
        <s v="Raymond Orr"/>
        <s v="Christine Hall"/>
        <s v="Alicia Jackson"/>
        <s v="Miss Courtney Hudson"/>
        <s v="Sherry Stephens"/>
        <s v="Angela Francis"/>
        <s v="Russell Frey"/>
        <s v="Tiffany Lopez"/>
        <s v="Kenneth Phillips"/>
        <s v="Jesse Adams"/>
        <s v="Keith Lopez"/>
        <s v="Crystal Taylor"/>
        <s v="Joel Barnett"/>
        <s v="Mitchell Stein"/>
      </sharedItems>
    </cacheField>
    <cacheField name="Admission_Date" numFmtId="164">
      <sharedItems containsSemiMixedTypes="0" containsNonDate="0" containsDate="1" containsString="0" minDate="2024-09-14T00:00:00" maxDate="2025-09-15T00:00:00" count="366">
        <d v="2025-06-23T00:00:00"/>
        <d v="2025-07-29T00:00:00"/>
        <d v="2025-04-27T00:00:00"/>
        <d v="2025-07-31T00:00:00"/>
        <d v="2025-07-15T00:00:00"/>
        <d v="2024-11-07T00:00:00"/>
        <d v="2025-01-10T00:00:00"/>
        <d v="2025-07-30T00:00:00"/>
        <d v="2025-06-18T00:00:00"/>
        <d v="2025-05-29T00:00:00"/>
        <d v="2024-10-27T00:00:00"/>
        <d v="2024-12-10T00:00:00"/>
        <d v="2025-03-15T00:00:00"/>
        <d v="2025-05-17T00:00:00"/>
        <d v="2024-11-13T00:00:00"/>
        <d v="2025-03-08T00:00:00"/>
        <d v="2025-07-13T00:00:00"/>
        <d v="2024-10-01T00:00:00"/>
        <d v="2025-02-20T00:00:00"/>
        <d v="2024-11-21T00:00:00"/>
        <d v="2025-01-02T00:00:00"/>
        <d v="2025-08-18T00:00:00"/>
        <d v="2024-10-26T00:00:00"/>
        <d v="2025-08-16T00:00:00"/>
        <d v="2025-01-11T00:00:00"/>
        <d v="2025-02-26T00:00:00"/>
        <d v="2025-07-01T00:00:00"/>
        <d v="2025-04-09T00:00:00"/>
        <d v="2025-02-13T00:00:00"/>
        <d v="2024-12-07T00:00:00"/>
        <d v="2025-02-18T00:00:00"/>
        <d v="2025-06-01T00:00:00"/>
        <d v="2025-02-04T00:00:00"/>
        <d v="2025-08-23T00:00:00"/>
        <d v="2025-06-15T00:00:00"/>
        <d v="2025-03-31T00:00:00"/>
        <d v="2025-01-27T00:00:00"/>
        <d v="2024-09-28T00:00:00"/>
        <d v="2025-01-06T00:00:00"/>
        <d v="2025-01-20T00:00:00"/>
        <d v="2025-07-25T00:00:00"/>
        <d v="2025-03-22T00:00:00"/>
        <d v="2024-10-08T00:00:00"/>
        <d v="2025-05-07T00:00:00"/>
        <d v="2024-10-05T00:00:00"/>
        <d v="2025-08-26T00:00:00"/>
        <d v="2025-04-30T00:00:00"/>
        <d v="2024-10-25T00:00:00"/>
        <d v="2024-11-30T00:00:00"/>
        <d v="2024-09-20T00:00:00"/>
        <d v="2025-07-11T00:00:00"/>
        <d v="2025-05-16T00:00:00"/>
        <d v="2024-10-29T00:00:00"/>
        <d v="2025-09-10T00:00:00"/>
        <d v="2025-05-25T00:00:00"/>
        <d v="2024-12-23T00:00:00"/>
        <d v="2024-12-05T00:00:00"/>
        <d v="2024-09-16T00:00:00"/>
        <d v="2025-03-27T00:00:00"/>
        <d v="2025-07-05T00:00:00"/>
        <d v="2025-08-07T00:00:00"/>
        <d v="2025-06-03T00:00:00"/>
        <d v="2025-03-29T00:00:00"/>
        <d v="2025-04-21T00:00:00"/>
        <d v="2024-12-16T00:00:00"/>
        <d v="2025-05-15T00:00:00"/>
        <d v="2025-08-25T00:00:00"/>
        <d v="2024-11-12T00:00:00"/>
        <d v="2025-07-03T00:00:00"/>
        <d v="2025-04-11T00:00:00"/>
        <d v="2024-11-28T00:00:00"/>
        <d v="2024-12-27T00:00:00"/>
        <d v="2025-03-14T00:00:00"/>
        <d v="2025-02-09T00:00:00"/>
        <d v="2025-08-31T00:00:00"/>
        <d v="2025-02-11T00:00:00"/>
        <d v="2025-03-26T00:00:00"/>
        <d v="2025-08-06T00:00:00"/>
        <d v="2025-06-16T00:00:00"/>
        <d v="2025-05-09T00:00:00"/>
        <d v="2024-11-17T00:00:00"/>
        <d v="2024-10-06T00:00:00"/>
        <d v="2025-05-14T00:00:00"/>
        <d v="2025-05-03T00:00:00"/>
        <d v="2025-01-05T00:00:00"/>
        <d v="2024-09-26T00:00:00"/>
        <d v="2025-01-03T00:00:00"/>
        <d v="2025-03-13T00:00:00"/>
        <d v="2025-08-03T00:00:00"/>
        <d v="2025-06-07T00:00:00"/>
        <d v="2024-10-18T00:00:00"/>
        <d v="2025-06-02T00:00:00"/>
        <d v="2024-10-15T00:00:00"/>
        <d v="2025-07-28T00:00:00"/>
        <d v="2024-12-11T00:00:00"/>
        <d v="2024-10-17T00:00:00"/>
        <d v="2024-11-26T00:00:00"/>
        <d v="2025-07-21T00:00:00"/>
        <d v="2025-05-18T00:00:00"/>
        <d v="2024-11-16T00:00:00"/>
        <d v="2024-10-16T00:00:00"/>
        <d v="2025-05-06T00:00:00"/>
        <d v="2025-06-19T00:00:00"/>
        <d v="2025-03-19T00:00:00"/>
        <d v="2025-08-24T00:00:00"/>
        <d v="2024-12-25T00:00:00"/>
        <d v="2025-01-31T00:00:00"/>
        <d v="2025-03-09T00:00:00"/>
        <d v="2024-11-19T00:00:00"/>
        <d v="2025-04-13T00:00:00"/>
        <d v="2025-05-01T00:00:00"/>
        <d v="2025-09-02T00:00:00"/>
        <d v="2025-02-23T00:00:00"/>
        <d v="2025-07-14T00:00:00"/>
        <d v="2024-12-29T00:00:00"/>
        <d v="2025-01-01T00:00:00"/>
        <d v="2025-06-06T00:00:00"/>
        <d v="2025-01-21T00:00:00"/>
        <d v="2025-08-02T00:00:00"/>
        <d v="2024-11-20T00:00:00"/>
        <d v="2024-11-01T00:00:00"/>
        <d v="2025-07-02T00:00:00"/>
        <d v="2024-11-05T00:00:00"/>
        <d v="2024-10-04T00:00:00"/>
        <d v="2025-04-16T00:00:00"/>
        <d v="2024-09-15T00:00:00"/>
        <d v="2024-11-24T00:00:00"/>
        <d v="2025-02-06T00:00:00"/>
        <d v="2025-06-29T00:00:00"/>
        <d v="2025-04-18T00:00:00"/>
        <d v="2025-03-16T00:00:00"/>
        <d v="2025-05-02T00:00:00"/>
        <d v="2025-09-12T00:00:00"/>
        <d v="2025-04-25T00:00:00"/>
        <d v="2025-06-13T00:00:00"/>
        <d v="2024-10-28T00:00:00"/>
        <d v="2024-10-20T00:00:00"/>
        <d v="2025-04-05T00:00:00"/>
        <d v="2025-07-08T00:00:00"/>
        <d v="2025-03-25T00:00:00"/>
        <d v="2024-12-30T00:00:00"/>
        <d v="2025-05-30T00:00:00"/>
        <d v="2025-05-19T00:00:00"/>
        <d v="2025-04-01T00:00:00"/>
        <d v="2025-06-09T00:00:00"/>
        <d v="2024-11-04T00:00:00"/>
        <d v="2025-03-23T00:00:00"/>
        <d v="2024-11-08T00:00:00"/>
        <d v="2025-07-23T00:00:00"/>
        <d v="2024-10-03T00:00:00"/>
        <d v="2024-12-12T00:00:00"/>
        <d v="2025-01-09T00:00:00"/>
        <d v="2025-08-04T00:00:00"/>
        <d v="2025-02-21T00:00:00"/>
        <d v="2025-08-22T00:00:00"/>
        <d v="2024-12-28T00:00:00"/>
        <d v="2025-02-24T00:00:00"/>
        <d v="2025-04-19T00:00:00"/>
        <d v="2025-09-06T00:00:00"/>
        <d v="2025-06-21T00:00:00"/>
        <d v="2025-02-27T00:00:00"/>
        <d v="2025-06-28T00:00:00"/>
        <d v="2025-05-24T00:00:00"/>
        <d v="2025-01-13T00:00:00"/>
        <d v="2024-12-06T00:00:00"/>
        <d v="2025-08-27T00:00:00"/>
        <d v="2025-08-08T00:00:00"/>
        <d v="2024-10-09T00:00:00"/>
        <d v="2024-11-14T00:00:00"/>
        <d v="2024-10-02T00:00:00"/>
        <d v="2025-01-17T00:00:00"/>
        <d v="2025-01-22T00:00:00"/>
        <d v="2025-09-09T00:00:00"/>
        <d v="2024-12-26T00:00:00"/>
        <d v="2025-05-12T00:00:00"/>
        <d v="2025-06-17T00:00:00"/>
        <d v="2024-12-21T00:00:00"/>
        <d v="2025-02-17T00:00:00"/>
        <d v="2024-09-14T00:00:00"/>
        <d v="2025-08-01T00:00:00"/>
        <d v="2025-02-12T00:00:00"/>
        <d v="2024-09-18T00:00:00"/>
        <d v="2025-03-30T00:00:00"/>
        <d v="2025-07-07T00:00:00"/>
        <d v="2024-10-19T00:00:00"/>
        <d v="2025-07-20T00:00:00"/>
        <d v="2025-04-29T00:00:00"/>
        <d v="2025-06-27T00:00:00"/>
        <d v="2025-04-03T00:00:00"/>
        <d v="2025-06-25T00:00:00"/>
        <d v="2025-05-11T00:00:00"/>
        <d v="2024-12-04T00:00:00"/>
        <d v="2025-09-07T00:00:00"/>
        <d v="2025-09-08T00:00:00"/>
        <d v="2024-09-25T00:00:00"/>
        <d v="2025-07-22T00:00:00"/>
        <d v="2025-07-24T00:00:00"/>
        <d v="2025-03-06T00:00:00"/>
        <d v="2025-07-16T00:00:00"/>
        <d v="2025-04-20T00:00:00"/>
        <d v="2024-10-13T00:00:00"/>
        <d v="2025-07-09T00:00:00"/>
        <d v="2024-10-14T00:00:00"/>
        <d v="2025-09-01T00:00:00"/>
        <d v="2025-08-05T00:00:00"/>
        <d v="2025-06-04T00:00:00"/>
        <d v="2024-10-12T00:00:00"/>
        <d v="2025-02-07T00:00:00"/>
        <d v="2025-03-05T00:00:00"/>
        <d v="2024-10-22T00:00:00"/>
        <d v="2024-12-18T00:00:00"/>
        <d v="2025-05-26T00:00:00"/>
        <d v="2025-06-20T00:00:00"/>
        <d v="2025-03-04T00:00:00"/>
        <d v="2025-01-26T00:00:00"/>
        <d v="2025-07-27T00:00:00"/>
        <d v="2025-06-14T00:00:00"/>
        <d v="2024-11-25T00:00:00"/>
        <d v="2025-01-08T00:00:00"/>
        <d v="2025-02-08T00:00:00"/>
        <d v="2024-11-06T00:00:00"/>
        <d v="2024-10-11T00:00:00"/>
        <d v="2024-12-17T00:00:00"/>
        <d v="2024-10-07T00:00:00"/>
        <d v="2024-11-15T00:00:00"/>
        <d v="2025-04-28T00:00:00"/>
        <d v="2025-05-28T00:00:00"/>
        <d v="2025-03-07T00:00:00"/>
        <d v="2024-10-21T00:00:00"/>
        <d v="2025-05-20T00:00:00"/>
        <d v="2025-03-20T00:00:00"/>
        <d v="2025-04-10T00:00:00"/>
        <d v="2025-08-28T00:00:00"/>
        <d v="2025-02-22T00:00:00"/>
        <d v="2025-08-14T00:00:00"/>
        <d v="2025-04-08T00:00:00"/>
        <d v="2025-02-16T00:00:00"/>
        <d v="2025-08-17T00:00:00"/>
        <d v="2025-05-23T00:00:00"/>
        <d v="2025-03-28T00:00:00"/>
        <d v="2025-08-09T00:00:00"/>
        <d v="2025-02-19T00:00:00"/>
        <d v="2025-05-31T00:00:00"/>
        <d v="2025-07-19T00:00:00"/>
        <d v="2024-09-23T00:00:00"/>
        <d v="2025-04-23T00:00:00"/>
        <d v="2024-12-20T00:00:00"/>
        <d v="2025-09-05T00:00:00"/>
        <d v="2025-04-26T00:00:00"/>
        <d v="2025-04-17T00:00:00"/>
        <d v="2025-01-23T00:00:00"/>
        <d v="2025-04-06T00:00:00"/>
        <d v="2024-12-13T00:00:00"/>
        <d v="2024-12-15T00:00:00"/>
        <d v="2025-08-15T00:00:00"/>
        <d v="2025-02-15T00:00:00"/>
        <d v="2025-01-04T00:00:00"/>
        <d v="2024-09-22T00:00:00"/>
        <d v="2024-11-03T00:00:00"/>
        <d v="2025-05-08T00:00:00"/>
        <d v="2024-12-24T00:00:00"/>
        <d v="2025-04-15T00:00:00"/>
        <d v="2025-04-02T00:00:00"/>
        <d v="2025-05-22T00:00:00"/>
        <d v="2024-12-03T00:00:00"/>
        <d v="2025-05-21T00:00:00"/>
        <d v="2025-06-22T00:00:00"/>
        <d v="2025-02-01T00:00:00"/>
        <d v="2025-08-11T00:00:00"/>
        <d v="2024-12-08T00:00:00"/>
        <d v="2025-01-28T00:00:00"/>
        <d v="2024-12-02T00:00:00"/>
        <d v="2025-06-11T00:00:00"/>
        <d v="2025-03-17T00:00:00"/>
        <d v="2025-04-12T00:00:00"/>
        <d v="2024-10-10T00:00:00"/>
        <d v="2025-04-07T00:00:00"/>
        <d v="2024-12-31T00:00:00"/>
        <d v="2025-09-11T00:00:00"/>
        <d v="2025-08-20T00:00:00"/>
        <d v="2025-06-12T00:00:00"/>
        <d v="2025-03-10T00:00:00"/>
        <d v="2024-11-29T00:00:00"/>
        <d v="2025-09-14T00:00:00"/>
        <d v="2024-09-17T00:00:00"/>
        <d v="2024-11-09T00:00:00"/>
        <d v="2025-07-12T00:00:00"/>
        <d v="2024-12-01T00:00:00"/>
        <d v="2024-09-21T00:00:00"/>
        <d v="2025-05-10T00:00:00"/>
        <d v="2025-08-12T00:00:00"/>
        <d v="2025-02-05T00:00:00"/>
        <d v="2025-01-15T00:00:00"/>
        <d v="2025-06-30T00:00:00"/>
        <d v="2025-01-24T00:00:00"/>
        <d v="2024-11-11T00:00:00"/>
        <d v="2025-06-05T00:00:00"/>
        <d v="2025-05-04T00:00:00"/>
        <d v="2024-11-22T00:00:00"/>
        <d v="2025-08-29T00:00:00"/>
        <d v="2025-09-03T00:00:00"/>
        <d v="2025-08-30T00:00:00"/>
        <d v="2024-10-30T00:00:00"/>
        <d v="2025-04-04T00:00:00"/>
        <d v="2024-11-27T00:00:00"/>
        <d v="2025-02-28T00:00:00"/>
        <d v="2025-03-21T00:00:00"/>
        <d v="2025-04-22T00:00:00"/>
        <d v="2025-04-14T00:00:00"/>
        <d v="2025-01-16T00:00:00"/>
        <d v="2025-05-13T00:00:00"/>
        <d v="2025-02-03T00:00:00"/>
        <d v="2024-12-09T00:00:00"/>
        <d v="2025-07-18T00:00:00"/>
        <d v="2025-05-05T00:00:00"/>
        <d v="2025-08-13T00:00:00"/>
        <d v="2024-09-30T00:00:00"/>
        <d v="2025-01-29T00:00:00"/>
        <d v="2025-03-03T00:00:00"/>
        <d v="2024-09-19T00:00:00"/>
        <d v="2025-03-24T00:00:00"/>
        <d v="2025-03-12T00:00:00"/>
        <d v="2025-07-06T00:00:00"/>
        <d v="2025-07-04T00:00:00"/>
        <d v="2025-04-24T00:00:00"/>
        <d v="2024-12-14T00:00:00"/>
        <d v="2025-08-10T00:00:00"/>
        <d v="2025-09-13T00:00:00"/>
        <d v="2025-09-04T00:00:00"/>
        <d v="2025-01-18T00:00:00"/>
        <d v="2024-10-24T00:00:00"/>
        <d v="2025-01-07T00:00:00"/>
        <d v="2025-01-25T00:00:00"/>
        <d v="2025-02-02T00:00:00"/>
        <d v="2024-12-22T00:00:00"/>
        <d v="2024-09-27T00:00:00"/>
        <d v="2024-10-23T00:00:00"/>
        <d v="2024-10-31T00:00:00"/>
        <d v="2025-03-02T00:00:00"/>
        <d v="2025-07-10T00:00:00"/>
        <d v="2025-08-21T00:00:00"/>
        <d v="2025-02-25T00:00:00"/>
        <d v="2025-03-18T00:00:00"/>
        <d v="2025-06-10T00:00:00"/>
        <d v="2024-12-19T00:00:00"/>
        <d v="2025-01-12T00:00:00"/>
        <d v="2024-11-10T00:00:00"/>
        <d v="2024-09-24T00:00:00"/>
        <d v="2025-03-01T00:00:00"/>
        <d v="2025-06-24T00:00:00"/>
        <d v="2025-02-14T00:00:00"/>
        <d v="2025-06-08T00:00:00"/>
        <d v="2025-01-14T00:00:00"/>
        <d v="2025-01-19T00:00:00"/>
        <d v="2025-05-27T00:00:00"/>
        <d v="2025-02-10T00:00:00"/>
        <d v="2025-08-19T00:00:00"/>
        <d v="2025-01-30T00:00:00"/>
        <d v="2024-11-18T00:00:00"/>
        <d v="2025-07-26T00:00:00"/>
        <d v="2025-07-17T00:00:00"/>
        <d v="2024-09-29T00:00:00"/>
        <d v="2025-06-26T00:00:00"/>
        <d v="2024-11-02T00:00:00"/>
        <d v="2025-03-11T00:00:00"/>
        <d v="2024-11-23T00:00:00"/>
      </sharedItems>
      <fieldGroup par="13"/>
    </cacheField>
    <cacheField name="Discharge_Date" numFmtId="164">
      <sharedItems containsSemiMixedTypes="0" containsNonDate="0" containsDate="1" containsString="0" minDate="2024-09-15T00:00:00" maxDate="2025-09-30T00:00:00" count="377">
        <d v="2025-07-05T00:00:00"/>
        <d v="2025-07-30T00:00:00"/>
        <d v="2025-05-08T00:00:00"/>
        <d v="2025-08-06T00:00:00"/>
        <d v="2025-07-22T00:00:00"/>
        <d v="2024-11-19T00:00:00"/>
        <d v="2025-01-12T00:00:00"/>
        <d v="2025-08-05T00:00:00"/>
        <d v="2025-06-24T00:00:00"/>
        <d v="2025-06-08T00:00:00"/>
        <d v="2024-11-11T00:00:00"/>
        <d v="2024-12-24T00:00:00"/>
        <d v="2025-03-24T00:00:00"/>
        <d v="2025-05-24T00:00:00"/>
        <d v="2024-11-18T00:00:00"/>
        <d v="2025-03-16T00:00:00"/>
        <d v="2025-07-20T00:00:00"/>
        <d v="2025-08-10T00:00:00"/>
        <d v="2024-10-10T00:00:00"/>
        <d v="2025-02-24T00:00:00"/>
        <d v="2024-12-05T00:00:00"/>
        <d v="2025-01-03T00:00:00"/>
        <d v="2025-08-31T00:00:00"/>
        <d v="2024-10-27T00:00:00"/>
        <d v="2025-08-24T00:00:00"/>
        <d v="2025-01-15T00:00:00"/>
        <d v="2025-08-13T00:00:00"/>
        <d v="2025-03-08T00:00:00"/>
        <d v="2025-07-04T00:00:00"/>
        <d v="2025-04-20T00:00:00"/>
        <d v="2025-02-22T00:00:00"/>
        <d v="2024-12-20T00:00:00"/>
        <d v="2025-05-27T00:00:00"/>
        <d v="2025-03-02T00:00:00"/>
        <d v="2025-06-05T00:00:00"/>
        <d v="2025-02-06T00:00:00"/>
        <d v="2025-09-03T00:00:00"/>
        <d v="2025-06-30T00:00:00"/>
        <d v="2025-04-01T00:00:00"/>
        <d v="2025-02-08T00:00:00"/>
        <d v="2024-10-13T00:00:00"/>
        <d v="2025-01-17T00:00:00"/>
        <d v="2025-01-30T00:00:00"/>
        <d v="2025-07-28T00:00:00"/>
        <d v="2025-03-30T00:00:00"/>
        <d v="2024-10-15T00:00:00"/>
        <d v="2025-05-10T00:00:00"/>
        <d v="2025-09-09T00:00:00"/>
        <d v="2025-05-07T00:00:00"/>
        <d v="2024-11-03T00:00:00"/>
        <d v="2024-12-10T00:00:00"/>
        <d v="2024-09-26T00:00:00"/>
        <d v="2025-07-25T00:00:00"/>
        <d v="2025-05-19T00:00:00"/>
        <d v="2024-11-09T00:00:00"/>
        <d v="2025-09-13T00:00:00"/>
        <d v="2025-06-07T00:00:00"/>
        <d v="2025-09-02T00:00:00"/>
        <d v="2025-01-21T00:00:00"/>
        <d v="2025-01-05T00:00:00"/>
        <d v="2024-10-09T00:00:00"/>
        <d v="2024-09-24T00:00:00"/>
        <d v="2025-07-14T00:00:00"/>
        <d v="2025-08-19T00:00:00"/>
        <d v="2025-06-04T00:00:00"/>
        <d v="2025-04-02T00:00:00"/>
        <d v="2025-04-30T00:00:00"/>
        <d v="2024-12-28T00:00:00"/>
        <d v="2025-05-26T00:00:00"/>
        <d v="2025-08-29T00:00:00"/>
        <d v="2025-07-11T00:00:00"/>
        <d v="2024-10-30T00:00:00"/>
        <d v="2025-04-18T00:00:00"/>
        <d v="2024-12-06T00:00:00"/>
        <d v="2025-01-06T00:00:00"/>
        <d v="2025-03-22T00:00:00"/>
        <d v="2025-02-20T00:00:00"/>
        <d v="2025-09-05T00:00:00"/>
        <d v="2025-02-15T00:00:00"/>
        <d v="2025-01-24T00:00:00"/>
        <d v="2025-03-28T00:00:00"/>
        <d v="2025-08-14T00:00:00"/>
        <d v="2025-05-23T00:00:00"/>
        <d v="2024-11-20T00:00:00"/>
        <d v="2024-10-17T00:00:00"/>
        <d v="2025-05-28T00:00:00"/>
        <d v="2025-05-17T00:00:00"/>
        <d v="2025-01-13T00:00:00"/>
        <d v="2024-10-04T00:00:00"/>
        <d v="2025-01-08T00:00:00"/>
        <d v="2025-03-15T00:00:00"/>
        <d v="2025-01-14T00:00:00"/>
        <d v="2025-06-22T00:00:00"/>
        <d v="2024-09-17T00:00:00"/>
        <d v="2024-10-20T00:00:00"/>
        <d v="2025-04-13T00:00:00"/>
        <d v="2025-08-03T00:00:00"/>
        <d v="2024-12-12T00:00:00"/>
        <d v="2024-10-18T00:00:00"/>
        <d v="2025-08-02T00:00:00"/>
        <d v="2024-12-17T00:00:00"/>
        <d v="2024-10-23T00:00:00"/>
        <d v="2024-12-11T00:00:00"/>
        <d v="2025-08-04T00:00:00"/>
        <d v="2025-06-14T00:00:00"/>
        <d v="2024-12-26T00:00:00"/>
        <d v="2025-05-29T00:00:00"/>
        <d v="2024-12-01T00:00:00"/>
        <d v="2024-10-25T00:00:00"/>
        <d v="2025-05-13T00:00:00"/>
        <d v="2025-04-10T00:00:00"/>
        <d v="2025-07-01T00:00:00"/>
        <d v="2025-04-03T00:00:00"/>
        <d v="2025-09-12T00:00:00"/>
        <d v="2025-02-13T00:00:00"/>
        <d v="2025-03-18T00:00:00"/>
        <d v="2024-11-22T00:00:00"/>
        <d v="2024-10-02T00:00:00"/>
        <d v="2025-04-21T00:00:00"/>
        <d v="2025-09-08T00:00:00"/>
        <d v="2025-07-16T00:00:00"/>
        <d v="2025-01-02T00:00:00"/>
        <d v="2024-11-01T00:00:00"/>
        <d v="2025-06-21T00:00:00"/>
        <d v="2025-02-01T00:00:00"/>
        <d v="2025-08-15T00:00:00"/>
        <d v="2024-11-30T00:00:00"/>
        <d v="2024-11-16T00:00:00"/>
        <d v="2025-07-07T00:00:00"/>
        <d v="2024-11-12T00:00:00"/>
        <d v="2024-10-14T00:00:00"/>
        <d v="2025-08-01T00:00:00"/>
        <d v="2025-04-25T00:00:00"/>
        <d v="2024-12-19T00:00:00"/>
        <d v="2024-11-25T00:00:00"/>
        <d v="2025-02-18T00:00:00"/>
        <d v="2024-09-20T00:00:00"/>
        <d v="2025-04-16T00:00:00"/>
        <d v="2025-07-03T00:00:00"/>
        <d v="2025-05-30T00:00:00"/>
        <d v="2025-05-14T00:00:00"/>
        <d v="2025-05-01T00:00:00"/>
        <d v="2025-04-06T00:00:00"/>
        <d v="2025-07-23T00:00:00"/>
        <d v="2025-03-27T00:00:00"/>
        <d v="2025-04-04T00:00:00"/>
        <d v="2025-01-01T00:00:00"/>
        <d v="2025-02-17T00:00:00"/>
        <d v="2025-06-06T00:00:00"/>
        <d v="2025-05-25T00:00:00"/>
        <d v="2024-12-31T00:00:00"/>
        <d v="2025-03-05T00:00:00"/>
        <d v="2025-06-10T00:00:00"/>
        <d v="2025-04-09T00:00:00"/>
        <d v="2024-10-29T00:00:00"/>
        <d v="2025-08-08T00:00:00"/>
        <d v="2025-08-09T00:00:00"/>
        <d v="2025-02-23T00:00:00"/>
        <d v="2025-08-23T00:00:00"/>
        <d v="2024-12-30T00:00:00"/>
        <d v="2025-07-19T00:00:00"/>
        <d v="2025-02-28T00:00:00"/>
        <d v="2025-03-19T00:00:00"/>
        <d v="2025-09-07T00:00:00"/>
        <d v="2025-03-01T00:00:00"/>
        <d v="2025-07-10T00:00:00"/>
        <d v="2024-12-04T00:00:00"/>
        <d v="2024-12-09T00:00:00"/>
        <d v="2025-05-03T00:00:00"/>
        <d v="2025-09-06T00:00:00"/>
        <d v="2025-07-15T00:00:00"/>
        <d v="2025-08-12T00:00:00"/>
        <d v="2024-10-11T00:00:00"/>
        <d v="2025-02-25T00:00:00"/>
        <d v="2025-09-23T00:00:00"/>
        <d v="2025-06-29T00:00:00"/>
        <d v="2025-05-21T00:00:00"/>
        <d v="2025-06-20T00:00:00"/>
        <d v="2024-12-23T00:00:00"/>
        <d v="2025-03-04T00:00:00"/>
        <d v="2025-05-04T00:00:00"/>
        <d v="2024-09-18T00:00:00"/>
        <d v="2024-10-07T00:00:00"/>
        <d v="2024-09-19T00:00:00"/>
        <d v="2024-11-02T00:00:00"/>
        <d v="2025-06-26T00:00:00"/>
        <d v="2025-07-06T00:00:00"/>
        <d v="2024-10-26T00:00:00"/>
        <d v="2025-01-07T00:00:00"/>
        <d v="2025-06-01T00:00:00"/>
        <d v="2025-05-02T00:00:00"/>
        <d v="2024-11-08T00:00:00"/>
        <d v="2025-07-02T00:00:00"/>
        <d v="2025-04-17T00:00:00"/>
        <d v="2025-09-10T00:00:00"/>
        <d v="2025-05-12T00:00:00"/>
        <d v="2024-10-08T00:00:00"/>
        <d v="2024-12-27T00:00:00"/>
        <d v="2025-03-09T00:00:00"/>
        <d v="2025-07-17T00:00:00"/>
        <d v="2025-05-22T00:00:00"/>
        <d v="2024-12-18T00:00:00"/>
        <d v="2025-05-11T00:00:00"/>
        <d v="2025-08-11T00:00:00"/>
        <d v="2024-10-19T00:00:00"/>
        <d v="2024-09-15T00:00:00"/>
        <d v="2024-12-21T00:00:00"/>
        <d v="2025-06-02T00:00:00"/>
        <d v="2025-06-11T00:00:00"/>
        <d v="2025-01-11T00:00:00"/>
        <d v="2025-03-26T00:00:00"/>
        <d v="2024-11-07T00:00:00"/>
        <d v="2024-10-16T00:00:00"/>
        <d v="2025-01-31T00:00:00"/>
        <d v="2025-07-08T00:00:00"/>
        <d v="2025-05-15T00:00:00"/>
        <d v="2025-08-21T00:00:00"/>
        <d v="2024-10-03T00:00:00"/>
        <d v="2025-03-13T00:00:00"/>
        <d v="2024-10-24T00:00:00"/>
        <d v="2024-12-03T00:00:00"/>
        <d v="2024-12-22T00:00:00"/>
        <d v="2025-06-13T00:00:00"/>
        <d v="2025-09-22T00:00:00"/>
        <d v="2025-04-19T00:00:00"/>
        <d v="2024-11-10T00:00:00"/>
        <d v="2025-06-15T00:00:00"/>
        <d v="2025-08-26T00:00:00"/>
        <d v="2025-04-07T00:00:00"/>
        <d v="2024-09-25T00:00:00"/>
        <d v="2025-08-27T00:00:00"/>
        <d v="2025-08-20T00:00:00"/>
        <d v="2025-06-16T00:00:00"/>
        <d v="2025-02-09T00:00:00"/>
        <d v="2024-10-21T00:00:00"/>
        <d v="2025-03-17T00:00:00"/>
        <d v="2025-04-28T00:00:00"/>
        <d v="2025-06-19T00:00:00"/>
        <d v="2024-11-04T00:00:00"/>
        <d v="2025-02-04T00:00:00"/>
        <d v="2025-04-14T00:00:00"/>
        <d v="2025-05-05T00:00:00"/>
        <d v="2024-12-16T00:00:00"/>
        <d v="2025-01-23T00:00:00"/>
        <d v="2025-01-28T00:00:00"/>
        <d v="2025-08-16T00:00:00"/>
        <d v="2025-01-09T00:00:00"/>
        <d v="2024-11-14T00:00:00"/>
        <d v="2025-09-14T00:00:00"/>
        <d v="2025-03-29T00:00:00"/>
        <d v="2025-03-06T00:00:00"/>
        <d v="2024-10-12T00:00:00"/>
        <d v="2025-09-20T00:00:00"/>
        <d v="2025-04-08T00:00:00"/>
        <d v="2025-01-29T00:00:00"/>
        <d v="2025-01-20T00:00:00"/>
        <d v="2025-05-31T00:00:00"/>
        <d v="2024-11-13T00:00:00"/>
        <d v="2025-04-27T00:00:00"/>
        <d v="2025-02-07T00:00:00"/>
        <d v="2024-09-28T00:00:00"/>
        <d v="2025-07-26T00:00:00"/>
        <d v="2025-03-31T00:00:00"/>
        <d v="2025-02-10T00:00:00"/>
        <d v="2024-11-27T00:00:00"/>
        <d v="2025-09-25T00:00:00"/>
        <d v="2025-03-20T00:00:00"/>
        <d v="2025-04-24T00:00:00"/>
        <d v="2024-12-14T00:00:00"/>
        <d v="2025-06-09T00:00:00"/>
        <d v="2024-09-27T00:00:00"/>
        <d v="2025-02-27T00:00:00"/>
        <d v="2025-06-17T00:00:00"/>
        <d v="2025-03-12T00:00:00"/>
        <d v="2025-05-16T00:00:00"/>
        <d v="2024-12-08T00:00:00"/>
        <d v="2025-07-18T00:00:00"/>
        <d v="2025-09-17T00:00:00"/>
        <d v="2024-10-05T00:00:00"/>
        <d v="2025-04-15T00:00:00"/>
        <d v="2024-10-06T00:00:00"/>
        <d v="2024-09-23T00:00:00"/>
        <d v="2024-11-15T00:00:00"/>
        <d v="2025-07-24T00:00:00"/>
        <d v="2025-06-12T00:00:00"/>
        <d v="2025-04-11T00:00:00"/>
        <d v="2024-09-22T00:00:00"/>
        <d v="2025-03-25T00:00:00"/>
        <d v="2025-08-28T00:00:00"/>
        <d v="2025-02-02T00:00:00"/>
        <d v="2025-02-05T00:00:00"/>
        <d v="2025-04-05T00:00:00"/>
        <d v="2025-04-12T00:00:00"/>
        <d v="2024-11-21T00:00:00"/>
        <d v="2025-06-27T00:00:00"/>
        <d v="2025-01-27T00:00:00"/>
        <d v="2025-05-06T00:00:00"/>
        <d v="2025-04-22T00:00:00"/>
        <d v="2025-08-22T00:00:00"/>
        <d v="2025-04-26T00:00:00"/>
        <d v="2024-11-06T00:00:00"/>
        <d v="2025-07-13T00:00:00"/>
        <d v="2025-09-19T00:00:00"/>
        <d v="2025-01-26T00:00:00"/>
        <d v="2025-07-27T00:00:00"/>
        <d v="2024-11-23T00:00:00"/>
        <d v="2025-09-15T00:00:00"/>
        <d v="2024-12-13T00:00:00"/>
        <d v="2025-03-10T00:00:00"/>
        <d v="2025-09-01T00:00:00"/>
        <d v="2024-11-24T00:00:00"/>
        <d v="2025-04-23T00:00:00"/>
        <d v="2024-10-31T00:00:00"/>
        <d v="2025-02-26T00:00:00"/>
        <d v="2025-08-17T00:00:00"/>
        <d v="2025-02-03T00:00:00"/>
        <d v="2025-03-23T00:00:00"/>
        <d v="2025-04-29T00:00:00"/>
        <d v="2024-12-07T00:00:00"/>
        <d v="2025-02-11T00:00:00"/>
        <d v="2025-03-03T00:00:00"/>
        <d v="2025-02-16T00:00:00"/>
        <d v="2025-03-07T00:00:00"/>
        <d v="2024-09-30T00:00:00"/>
        <d v="2025-01-19T00:00:00"/>
        <d v="2024-10-01T00:00:00"/>
        <d v="2025-09-26T00:00:00"/>
        <d v="2025-07-31T00:00:00"/>
        <d v="2024-09-21T00:00:00"/>
        <d v="2025-06-23T00:00:00"/>
        <d v="2025-09-21T00:00:00"/>
        <d v="2025-07-21T00:00:00"/>
        <d v="2025-05-20T00:00:00"/>
        <d v="2025-01-22T00:00:00"/>
        <d v="2025-09-16T00:00:00"/>
        <d v="2025-02-21T00:00:00"/>
        <d v="2025-02-12T00:00:00"/>
        <d v="2025-08-30T00:00:00"/>
        <d v="2025-07-29T00:00:00"/>
        <d v="2025-09-11T00:00:00"/>
        <d v="2025-03-11T00:00:00"/>
        <d v="2025-01-10T00:00:00"/>
        <d v="2024-12-29T00:00:00"/>
        <d v="2024-09-29T00:00:00"/>
        <d v="2025-03-21T00:00:00"/>
        <d v="2024-11-05T00:00:00"/>
        <d v="2024-10-28T00:00:00"/>
        <d v="2024-12-15T00:00:00"/>
        <d v="2024-12-02T00:00:00"/>
        <d v="2025-09-04T00:00:00"/>
        <d v="2025-06-25T00:00:00"/>
        <d v="2024-10-22T00:00:00"/>
        <d v="2025-01-16T00:00:00"/>
        <d v="2025-09-24T00:00:00"/>
        <d v="2025-08-07T00:00:00"/>
        <d v="2025-06-18T00:00:00"/>
        <d v="2025-03-14T00:00:00"/>
        <d v="2024-11-28T00:00:00"/>
        <d v="2025-06-28T00:00:00"/>
        <d v="2025-05-18T00:00:00"/>
        <d v="2024-11-29T00:00:00"/>
        <d v="2025-07-09T00:00:00"/>
        <d v="2024-12-25T00:00:00"/>
        <d v="2024-11-17T00:00:00"/>
        <d v="2025-07-12T00:00:00"/>
        <d v="2025-01-04T00:00:00"/>
        <d v="2025-08-25T00:00:00"/>
        <d v="2025-01-25T00:00:00"/>
        <d v="2025-05-09T00:00:00"/>
        <d v="2024-11-26T00:00:00"/>
        <d v="2025-02-14T00:00:00"/>
        <d v="2025-08-18T00:00:00"/>
        <d v="2025-09-29T00:00:00"/>
        <d v="2025-06-03T00:00:00"/>
        <d v="2025-01-18T00:00:00"/>
        <d v="2025-09-18T00:00:00"/>
        <d v="2025-02-19T00:00:00"/>
      </sharedItems>
      <fieldGroup par="14"/>
    </cacheField>
    <cacheField name="Diagnosis" numFmtId="0">
      <sharedItems count="10">
        <s v="Asthma"/>
        <s v="Migraine"/>
        <s v="Cancer"/>
        <s v="Flu"/>
        <s v="Stroke"/>
        <s v="Hypertension"/>
        <s v="Fracture"/>
        <s v="Diabetes"/>
        <s v="Covid-19"/>
        <s v="Malaria"/>
      </sharedItems>
    </cacheField>
    <cacheField name="Treatment" numFmtId="0">
      <sharedItems count="6">
        <s v="Physiotherapy"/>
        <s v="Medication"/>
        <s v="Surgery"/>
        <s v="Observation"/>
        <s v="Counseling"/>
        <s v="Chemotherapy"/>
      </sharedItems>
    </cacheField>
    <cacheField name="Bill_Amount" numFmtId="0">
      <sharedItems containsSemiMixedTypes="0" containsString="0" containsNumber="1" minValue="5071.92" maxValue="499979.28"/>
    </cacheField>
    <cacheField name="Payment_Status" numFmtId="0">
      <sharedItems count="3">
        <s v="Paid"/>
        <s v="Insurance"/>
        <s v="Pending"/>
      </sharedItems>
    </cacheField>
    <cacheField name="Length_of_Stay" numFmtId="0">
      <sharedItems containsSemiMixedTypes="0" containsString="0" containsNumber="1" containsInteger="1" minValue="1" maxValue="15" count="15">
        <n v="12"/>
        <n v="1"/>
        <n v="11"/>
        <n v="6"/>
        <n v="7"/>
        <n v="2"/>
        <n v="10"/>
        <n v="15"/>
        <n v="14"/>
        <n v="9"/>
        <n v="5"/>
        <n v="8"/>
        <n v="4"/>
        <n v="13"/>
        <n v="3"/>
      </sharedItems>
      <fieldGroup base="12">
        <rangePr autoEnd="0" startNum="1" endNum="100" groupInterval="2"/>
        <groupItems count="52">
          <s v="&lt;1"/>
          <s v="1-2"/>
          <s v="3-4"/>
          <s v="5-6"/>
          <s v="7-8"/>
          <s v="9-10"/>
          <s v="11-12"/>
          <s v="13-14"/>
          <s v="15-16"/>
          <s v="17-18"/>
          <s v="19-20"/>
          <s v="21-22"/>
          <s v="23-24"/>
          <s v="25-26"/>
          <s v="27-28"/>
          <s v="29-30"/>
          <s v="31-32"/>
          <s v="33-34"/>
          <s v="35-36"/>
          <s v="37-38"/>
          <s v="39-40"/>
          <s v="41-42"/>
          <s v="43-44"/>
          <s v="45-46"/>
          <s v="47-48"/>
          <s v="49-50"/>
          <s v="51-52"/>
          <s v="53-54"/>
          <s v="55-56"/>
          <s v="57-58"/>
          <s v="59-60"/>
          <s v="61-62"/>
          <s v="63-64"/>
          <s v="65-66"/>
          <s v="67-68"/>
          <s v="69-70"/>
          <s v="71-72"/>
          <s v="73-74"/>
          <s v="75-76"/>
          <s v="77-78"/>
          <s v="79-80"/>
          <s v="81-82"/>
          <s v="83-84"/>
          <s v="85-86"/>
          <s v="87-88"/>
          <s v="89-90"/>
          <s v="91-92"/>
          <s v="93-94"/>
          <s v="95-96"/>
          <s v="97-98"/>
          <s v="99-100"/>
          <s v="&gt;101"/>
        </groupItems>
      </fieldGroup>
    </cacheField>
    <cacheField name="Months (Admission_Date)" numFmtId="0" databaseField="0">
      <fieldGroup base="6">
        <rangePr groupBy="months" startDate="2024-09-14T00:00:00" endDate="2025-09-15T00:00:00"/>
        <groupItems count="14">
          <s v="&lt;9/14/2024"/>
          <s v="Jan"/>
          <s v="Feb"/>
          <s v="Mar"/>
          <s v="Apr"/>
          <s v="May"/>
          <s v="Jun"/>
          <s v="Jul"/>
          <s v="Aug"/>
          <s v="Sep"/>
          <s v="Oct"/>
          <s v="Nov"/>
          <s v="Dec"/>
          <s v="&gt;9/15/2025"/>
        </groupItems>
      </fieldGroup>
    </cacheField>
    <cacheField name="Months (Discharge_Date)" numFmtId="0" databaseField="0">
      <fieldGroup base="7">
        <rangePr groupBy="months" startDate="2024-09-15T00:00:00" endDate="2025-09-30T00:00:00"/>
        <groupItems count="14">
          <s v="&lt;9/15/2024"/>
          <s v="Jan"/>
          <s v="Feb"/>
          <s v="Mar"/>
          <s v="Apr"/>
          <s v="May"/>
          <s v="Jun"/>
          <s v="Jul"/>
          <s v="Aug"/>
          <s v="Sep"/>
          <s v="Oct"/>
          <s v="Nov"/>
          <s v="Dec"/>
          <s v="&gt;9/30/2025"/>
        </groupItems>
      </fieldGroup>
    </cacheField>
  </cacheFields>
  <extLst>
    <ext xmlns:x14="http://schemas.microsoft.com/office/spreadsheetml/2009/9/main" uri="{725AE2AE-9491-48be-B2B4-4EB974FC3084}">
      <x14:pivotCacheDefinition pivotCacheId="1214511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s v="Joann Harris"/>
    <x v="0"/>
    <x v="0"/>
    <x v="0"/>
    <x v="0"/>
    <x v="0"/>
    <x v="0"/>
    <x v="0"/>
    <x v="0"/>
    <n v="391359.55"/>
    <x v="0"/>
    <x v="0"/>
  </r>
  <r>
    <x v="1"/>
    <s v="Benjamin Williams"/>
    <x v="1"/>
    <x v="0"/>
    <x v="0"/>
    <x v="1"/>
    <x v="1"/>
    <x v="1"/>
    <x v="1"/>
    <x v="1"/>
    <n v="62401.25"/>
    <x v="1"/>
    <x v="1"/>
  </r>
  <r>
    <x v="2"/>
    <s v="Leonard Mills"/>
    <x v="2"/>
    <x v="0"/>
    <x v="1"/>
    <x v="2"/>
    <x v="2"/>
    <x v="2"/>
    <x v="1"/>
    <x v="2"/>
    <n v="464172.86"/>
    <x v="2"/>
    <x v="2"/>
  </r>
  <r>
    <x v="3"/>
    <s v="Brandon Taylor"/>
    <x v="3"/>
    <x v="1"/>
    <x v="1"/>
    <x v="3"/>
    <x v="3"/>
    <x v="3"/>
    <x v="2"/>
    <x v="3"/>
    <n v="140999.76999999999"/>
    <x v="1"/>
    <x v="3"/>
  </r>
  <r>
    <x v="4"/>
    <s v="Caitlin Henderson"/>
    <x v="4"/>
    <x v="1"/>
    <x v="1"/>
    <x v="4"/>
    <x v="4"/>
    <x v="4"/>
    <x v="0"/>
    <x v="1"/>
    <n v="89242.72"/>
    <x v="0"/>
    <x v="4"/>
  </r>
  <r>
    <x v="5"/>
    <s v="Joshua Armstrong"/>
    <x v="5"/>
    <x v="1"/>
    <x v="0"/>
    <x v="5"/>
    <x v="5"/>
    <x v="5"/>
    <x v="3"/>
    <x v="2"/>
    <n v="29612.02"/>
    <x v="2"/>
    <x v="0"/>
  </r>
  <r>
    <x v="6"/>
    <s v="Jason Perkins"/>
    <x v="6"/>
    <x v="0"/>
    <x v="2"/>
    <x v="6"/>
    <x v="6"/>
    <x v="6"/>
    <x v="4"/>
    <x v="4"/>
    <n v="298851.08"/>
    <x v="0"/>
    <x v="5"/>
  </r>
  <r>
    <x v="7"/>
    <s v="Jennifer Thomas"/>
    <x v="7"/>
    <x v="1"/>
    <x v="3"/>
    <x v="7"/>
    <x v="7"/>
    <x v="7"/>
    <x v="2"/>
    <x v="3"/>
    <n v="32697.65"/>
    <x v="2"/>
    <x v="3"/>
  </r>
  <r>
    <x v="8"/>
    <s v="Erica Hicks"/>
    <x v="8"/>
    <x v="1"/>
    <x v="4"/>
    <x v="8"/>
    <x v="8"/>
    <x v="8"/>
    <x v="0"/>
    <x v="2"/>
    <n v="234153.95"/>
    <x v="0"/>
    <x v="3"/>
  </r>
  <r>
    <x v="9"/>
    <s v="Linda Perry"/>
    <x v="9"/>
    <x v="0"/>
    <x v="4"/>
    <x v="9"/>
    <x v="9"/>
    <x v="9"/>
    <x v="1"/>
    <x v="1"/>
    <n v="8441.2199999999993"/>
    <x v="0"/>
    <x v="6"/>
  </r>
  <r>
    <x v="10"/>
    <s v="Monica Mays"/>
    <x v="10"/>
    <x v="0"/>
    <x v="3"/>
    <x v="10"/>
    <x v="10"/>
    <x v="10"/>
    <x v="5"/>
    <x v="3"/>
    <n v="336204.86"/>
    <x v="2"/>
    <x v="7"/>
  </r>
  <r>
    <x v="11"/>
    <s v="Kathy Chen"/>
    <x v="11"/>
    <x v="0"/>
    <x v="4"/>
    <x v="11"/>
    <x v="11"/>
    <x v="11"/>
    <x v="6"/>
    <x v="1"/>
    <n v="29746.07"/>
    <x v="1"/>
    <x v="8"/>
  </r>
  <r>
    <x v="12"/>
    <s v="Andrew Torres"/>
    <x v="12"/>
    <x v="0"/>
    <x v="5"/>
    <x v="12"/>
    <x v="12"/>
    <x v="12"/>
    <x v="7"/>
    <x v="3"/>
    <n v="224156.39"/>
    <x v="2"/>
    <x v="9"/>
  </r>
  <r>
    <x v="13"/>
    <s v="Julie Scott"/>
    <x v="13"/>
    <x v="0"/>
    <x v="0"/>
    <x v="13"/>
    <x v="13"/>
    <x v="13"/>
    <x v="8"/>
    <x v="1"/>
    <n v="32735.4"/>
    <x v="2"/>
    <x v="4"/>
  </r>
  <r>
    <x v="14"/>
    <s v="Michael Carroll"/>
    <x v="14"/>
    <x v="1"/>
    <x v="5"/>
    <x v="14"/>
    <x v="14"/>
    <x v="14"/>
    <x v="8"/>
    <x v="1"/>
    <n v="333045.59000000003"/>
    <x v="1"/>
    <x v="10"/>
  </r>
  <r>
    <x v="15"/>
    <s v="Lisa Cox"/>
    <x v="15"/>
    <x v="0"/>
    <x v="4"/>
    <x v="15"/>
    <x v="15"/>
    <x v="15"/>
    <x v="0"/>
    <x v="5"/>
    <n v="37663.839999999997"/>
    <x v="1"/>
    <x v="11"/>
  </r>
  <r>
    <x v="16"/>
    <s v="Crystal Olson"/>
    <x v="16"/>
    <x v="0"/>
    <x v="6"/>
    <x v="16"/>
    <x v="16"/>
    <x v="16"/>
    <x v="6"/>
    <x v="3"/>
    <n v="55221.440000000002"/>
    <x v="2"/>
    <x v="4"/>
  </r>
  <r>
    <x v="17"/>
    <s v="Charles Bell"/>
    <x v="17"/>
    <x v="0"/>
    <x v="3"/>
    <x v="17"/>
    <x v="7"/>
    <x v="17"/>
    <x v="5"/>
    <x v="3"/>
    <n v="384255.35"/>
    <x v="2"/>
    <x v="2"/>
  </r>
  <r>
    <x v="18"/>
    <s v="Karen Salinas"/>
    <x v="18"/>
    <x v="1"/>
    <x v="1"/>
    <x v="18"/>
    <x v="17"/>
    <x v="18"/>
    <x v="8"/>
    <x v="0"/>
    <n v="369114.44"/>
    <x v="0"/>
    <x v="9"/>
  </r>
  <r>
    <x v="19"/>
    <s v="Jeffrey Davis"/>
    <x v="19"/>
    <x v="1"/>
    <x v="1"/>
    <x v="19"/>
    <x v="18"/>
    <x v="19"/>
    <x v="6"/>
    <x v="5"/>
    <n v="406631.04"/>
    <x v="1"/>
    <x v="12"/>
  </r>
  <r>
    <x v="20"/>
    <s v="Christopher Clark"/>
    <x v="10"/>
    <x v="1"/>
    <x v="1"/>
    <x v="20"/>
    <x v="19"/>
    <x v="20"/>
    <x v="7"/>
    <x v="3"/>
    <n v="237925.9"/>
    <x v="1"/>
    <x v="8"/>
  </r>
  <r>
    <x v="21"/>
    <s v="Daniel Johnson"/>
    <x v="20"/>
    <x v="0"/>
    <x v="4"/>
    <x v="21"/>
    <x v="20"/>
    <x v="21"/>
    <x v="0"/>
    <x v="5"/>
    <n v="369743.31"/>
    <x v="1"/>
    <x v="1"/>
  </r>
  <r>
    <x v="22"/>
    <s v="Brian Turner"/>
    <x v="13"/>
    <x v="0"/>
    <x v="1"/>
    <x v="22"/>
    <x v="21"/>
    <x v="22"/>
    <x v="6"/>
    <x v="2"/>
    <n v="334976.87"/>
    <x v="0"/>
    <x v="13"/>
  </r>
  <r>
    <x v="23"/>
    <s v="Brian Bryant"/>
    <x v="21"/>
    <x v="0"/>
    <x v="4"/>
    <x v="23"/>
    <x v="22"/>
    <x v="23"/>
    <x v="4"/>
    <x v="5"/>
    <n v="221203.53"/>
    <x v="2"/>
    <x v="1"/>
  </r>
  <r>
    <x v="24"/>
    <s v="Nathaniel Baker"/>
    <x v="22"/>
    <x v="0"/>
    <x v="4"/>
    <x v="24"/>
    <x v="23"/>
    <x v="24"/>
    <x v="7"/>
    <x v="2"/>
    <n v="229994.72"/>
    <x v="1"/>
    <x v="11"/>
  </r>
  <r>
    <x v="25"/>
    <s v="Lori Hayes"/>
    <x v="23"/>
    <x v="1"/>
    <x v="2"/>
    <x v="25"/>
    <x v="24"/>
    <x v="25"/>
    <x v="8"/>
    <x v="0"/>
    <n v="261258.02"/>
    <x v="1"/>
    <x v="12"/>
  </r>
  <r>
    <x v="26"/>
    <s v="Dean Williams"/>
    <x v="24"/>
    <x v="0"/>
    <x v="0"/>
    <x v="26"/>
    <x v="1"/>
    <x v="26"/>
    <x v="6"/>
    <x v="4"/>
    <n v="129845.48"/>
    <x v="0"/>
    <x v="7"/>
  </r>
  <r>
    <x v="27"/>
    <s v="Felicia Burns"/>
    <x v="23"/>
    <x v="0"/>
    <x v="2"/>
    <x v="27"/>
    <x v="25"/>
    <x v="27"/>
    <x v="8"/>
    <x v="2"/>
    <n v="281235.59999999998"/>
    <x v="2"/>
    <x v="6"/>
  </r>
  <r>
    <x v="28"/>
    <s v="Luis Gonzalez"/>
    <x v="3"/>
    <x v="0"/>
    <x v="4"/>
    <x v="28"/>
    <x v="26"/>
    <x v="28"/>
    <x v="4"/>
    <x v="4"/>
    <n v="353514.59"/>
    <x v="2"/>
    <x v="14"/>
  </r>
  <r>
    <x v="29"/>
    <s v="Alice Herrera"/>
    <x v="25"/>
    <x v="1"/>
    <x v="1"/>
    <x v="29"/>
    <x v="27"/>
    <x v="29"/>
    <x v="0"/>
    <x v="3"/>
    <n v="293367.93"/>
    <x v="2"/>
    <x v="2"/>
  </r>
  <r>
    <x v="30"/>
    <s v="Paul Nelson"/>
    <x v="26"/>
    <x v="0"/>
    <x v="4"/>
    <x v="30"/>
    <x v="28"/>
    <x v="30"/>
    <x v="4"/>
    <x v="3"/>
    <n v="230219.64"/>
    <x v="1"/>
    <x v="9"/>
  </r>
  <r>
    <x v="31"/>
    <s v="Robert Chandler"/>
    <x v="27"/>
    <x v="1"/>
    <x v="2"/>
    <x v="31"/>
    <x v="29"/>
    <x v="31"/>
    <x v="4"/>
    <x v="5"/>
    <n v="9622.42"/>
    <x v="2"/>
    <x v="13"/>
  </r>
  <r>
    <x v="32"/>
    <s v="Carolyn Johnson"/>
    <x v="14"/>
    <x v="1"/>
    <x v="4"/>
    <x v="32"/>
    <x v="13"/>
    <x v="32"/>
    <x v="0"/>
    <x v="4"/>
    <n v="374231.54"/>
    <x v="2"/>
    <x v="6"/>
  </r>
  <r>
    <x v="33"/>
    <s v="Jamie Lee"/>
    <x v="0"/>
    <x v="0"/>
    <x v="2"/>
    <x v="33"/>
    <x v="30"/>
    <x v="33"/>
    <x v="3"/>
    <x v="5"/>
    <n v="25177.95"/>
    <x v="0"/>
    <x v="0"/>
  </r>
  <r>
    <x v="34"/>
    <s v="Erik Nunez"/>
    <x v="2"/>
    <x v="1"/>
    <x v="0"/>
    <x v="34"/>
    <x v="31"/>
    <x v="34"/>
    <x v="3"/>
    <x v="3"/>
    <n v="327378.64"/>
    <x v="1"/>
    <x v="12"/>
  </r>
  <r>
    <x v="35"/>
    <s v="Zachary Henderson"/>
    <x v="28"/>
    <x v="0"/>
    <x v="5"/>
    <x v="35"/>
    <x v="32"/>
    <x v="35"/>
    <x v="1"/>
    <x v="3"/>
    <n v="290923.28999999998"/>
    <x v="0"/>
    <x v="5"/>
  </r>
  <r>
    <x v="36"/>
    <s v="Timothy Wall Jr."/>
    <x v="29"/>
    <x v="1"/>
    <x v="5"/>
    <x v="36"/>
    <x v="33"/>
    <x v="36"/>
    <x v="3"/>
    <x v="0"/>
    <n v="463825.12"/>
    <x v="0"/>
    <x v="2"/>
  </r>
  <r>
    <x v="37"/>
    <s v="Shane Cook"/>
    <x v="30"/>
    <x v="0"/>
    <x v="3"/>
    <x v="37"/>
    <x v="34"/>
    <x v="37"/>
    <x v="5"/>
    <x v="3"/>
    <n v="179984.18"/>
    <x v="0"/>
    <x v="7"/>
  </r>
  <r>
    <x v="38"/>
    <s v="Samantha Barker"/>
    <x v="31"/>
    <x v="0"/>
    <x v="3"/>
    <x v="38"/>
    <x v="35"/>
    <x v="38"/>
    <x v="7"/>
    <x v="4"/>
    <n v="448269.92"/>
    <x v="2"/>
    <x v="1"/>
  </r>
  <r>
    <x v="39"/>
    <s v="Pamela Johnson"/>
    <x v="32"/>
    <x v="0"/>
    <x v="6"/>
    <x v="39"/>
    <x v="36"/>
    <x v="39"/>
    <x v="7"/>
    <x v="5"/>
    <n v="345480.71"/>
    <x v="1"/>
    <x v="0"/>
  </r>
  <r>
    <x v="40"/>
    <s v="Thomas Vega"/>
    <x v="33"/>
    <x v="0"/>
    <x v="2"/>
    <x v="40"/>
    <x v="37"/>
    <x v="40"/>
    <x v="2"/>
    <x v="2"/>
    <n v="469893.77"/>
    <x v="2"/>
    <x v="7"/>
  </r>
  <r>
    <x v="41"/>
    <s v="Cynthia Sanchez"/>
    <x v="31"/>
    <x v="0"/>
    <x v="4"/>
    <x v="41"/>
    <x v="38"/>
    <x v="41"/>
    <x v="5"/>
    <x v="5"/>
    <n v="62756.47"/>
    <x v="1"/>
    <x v="2"/>
  </r>
  <r>
    <x v="42"/>
    <s v="Adam Thomas"/>
    <x v="34"/>
    <x v="1"/>
    <x v="2"/>
    <x v="42"/>
    <x v="39"/>
    <x v="42"/>
    <x v="1"/>
    <x v="3"/>
    <n v="430896.5"/>
    <x v="1"/>
    <x v="6"/>
  </r>
  <r>
    <x v="43"/>
    <s v="Brenda Howe"/>
    <x v="11"/>
    <x v="0"/>
    <x v="1"/>
    <x v="43"/>
    <x v="40"/>
    <x v="43"/>
    <x v="7"/>
    <x v="2"/>
    <n v="77772.53"/>
    <x v="0"/>
    <x v="14"/>
  </r>
  <r>
    <x v="44"/>
    <s v="Susan Taylor"/>
    <x v="35"/>
    <x v="1"/>
    <x v="4"/>
    <x v="44"/>
    <x v="41"/>
    <x v="44"/>
    <x v="2"/>
    <x v="0"/>
    <n v="445864.81"/>
    <x v="2"/>
    <x v="11"/>
  </r>
  <r>
    <x v="45"/>
    <s v="Margaret Scott"/>
    <x v="36"/>
    <x v="1"/>
    <x v="6"/>
    <x v="45"/>
    <x v="42"/>
    <x v="45"/>
    <x v="9"/>
    <x v="4"/>
    <n v="65763.88"/>
    <x v="1"/>
    <x v="4"/>
  </r>
  <r>
    <x v="46"/>
    <s v="Jonathan Allen"/>
    <x v="37"/>
    <x v="1"/>
    <x v="1"/>
    <x v="46"/>
    <x v="43"/>
    <x v="46"/>
    <x v="8"/>
    <x v="3"/>
    <n v="460685.21"/>
    <x v="2"/>
    <x v="14"/>
  </r>
  <r>
    <x v="47"/>
    <s v="Sherry Bowen"/>
    <x v="38"/>
    <x v="0"/>
    <x v="1"/>
    <x v="47"/>
    <x v="44"/>
    <x v="18"/>
    <x v="8"/>
    <x v="2"/>
    <n v="242330.09"/>
    <x v="0"/>
    <x v="10"/>
  </r>
  <r>
    <x v="48"/>
    <s v="Katherine Roth"/>
    <x v="39"/>
    <x v="0"/>
    <x v="0"/>
    <x v="48"/>
    <x v="45"/>
    <x v="47"/>
    <x v="5"/>
    <x v="0"/>
    <n v="364197.54"/>
    <x v="1"/>
    <x v="8"/>
  </r>
  <r>
    <x v="49"/>
    <s v="David Hurley"/>
    <x v="40"/>
    <x v="1"/>
    <x v="5"/>
    <x v="49"/>
    <x v="46"/>
    <x v="48"/>
    <x v="4"/>
    <x v="2"/>
    <n v="369926.59"/>
    <x v="1"/>
    <x v="4"/>
  </r>
  <r>
    <x v="50"/>
    <s v="Kelli Gordon"/>
    <x v="41"/>
    <x v="1"/>
    <x v="4"/>
    <x v="50"/>
    <x v="47"/>
    <x v="49"/>
    <x v="9"/>
    <x v="3"/>
    <n v="74908.61"/>
    <x v="2"/>
    <x v="9"/>
  </r>
  <r>
    <x v="51"/>
    <s v="Eric Zamora"/>
    <x v="42"/>
    <x v="1"/>
    <x v="2"/>
    <x v="51"/>
    <x v="48"/>
    <x v="50"/>
    <x v="4"/>
    <x v="2"/>
    <n v="415459.57"/>
    <x v="0"/>
    <x v="6"/>
  </r>
  <r>
    <x v="52"/>
    <s v="Bryan Williams"/>
    <x v="31"/>
    <x v="0"/>
    <x v="2"/>
    <x v="52"/>
    <x v="49"/>
    <x v="51"/>
    <x v="9"/>
    <x v="4"/>
    <n v="268833.28000000003"/>
    <x v="0"/>
    <x v="3"/>
  </r>
  <r>
    <x v="53"/>
    <s v="Linda Lozano"/>
    <x v="43"/>
    <x v="1"/>
    <x v="0"/>
    <x v="53"/>
    <x v="50"/>
    <x v="52"/>
    <x v="8"/>
    <x v="5"/>
    <n v="14845.75"/>
    <x v="1"/>
    <x v="8"/>
  </r>
  <r>
    <x v="54"/>
    <s v="Aaron Young"/>
    <x v="42"/>
    <x v="0"/>
    <x v="6"/>
    <x v="54"/>
    <x v="51"/>
    <x v="53"/>
    <x v="8"/>
    <x v="4"/>
    <n v="426141.86"/>
    <x v="0"/>
    <x v="14"/>
  </r>
  <r>
    <x v="55"/>
    <s v="Benjamin Cruz DDS"/>
    <x v="30"/>
    <x v="0"/>
    <x v="1"/>
    <x v="55"/>
    <x v="52"/>
    <x v="54"/>
    <x v="6"/>
    <x v="0"/>
    <n v="221345.33"/>
    <x v="1"/>
    <x v="2"/>
  </r>
  <r>
    <x v="56"/>
    <s v="Tony Whitaker"/>
    <x v="37"/>
    <x v="1"/>
    <x v="2"/>
    <x v="56"/>
    <x v="53"/>
    <x v="55"/>
    <x v="9"/>
    <x v="1"/>
    <n v="180783.18"/>
    <x v="2"/>
    <x v="14"/>
  </r>
  <r>
    <x v="57"/>
    <s v="Julie Wolf"/>
    <x v="30"/>
    <x v="1"/>
    <x v="2"/>
    <x v="57"/>
    <x v="54"/>
    <x v="56"/>
    <x v="9"/>
    <x v="1"/>
    <n v="260455.14"/>
    <x v="1"/>
    <x v="13"/>
  </r>
  <r>
    <x v="58"/>
    <s v="Dr. Stephanie Beck DDS"/>
    <x v="44"/>
    <x v="0"/>
    <x v="2"/>
    <x v="58"/>
    <x v="21"/>
    <x v="57"/>
    <x v="4"/>
    <x v="1"/>
    <n v="111044.2"/>
    <x v="1"/>
    <x v="7"/>
  </r>
  <r>
    <x v="59"/>
    <s v="Mathew Rice"/>
    <x v="45"/>
    <x v="1"/>
    <x v="6"/>
    <x v="59"/>
    <x v="39"/>
    <x v="58"/>
    <x v="7"/>
    <x v="1"/>
    <n v="251235.01"/>
    <x v="1"/>
    <x v="1"/>
  </r>
  <r>
    <x v="60"/>
    <s v="Anthony Wilson"/>
    <x v="20"/>
    <x v="1"/>
    <x v="0"/>
    <x v="60"/>
    <x v="55"/>
    <x v="59"/>
    <x v="1"/>
    <x v="2"/>
    <n v="61820.54"/>
    <x v="0"/>
    <x v="13"/>
  </r>
  <r>
    <x v="61"/>
    <s v="Philip Murphy"/>
    <x v="46"/>
    <x v="1"/>
    <x v="6"/>
    <x v="61"/>
    <x v="44"/>
    <x v="60"/>
    <x v="4"/>
    <x v="4"/>
    <n v="197702.42"/>
    <x v="1"/>
    <x v="12"/>
  </r>
  <r>
    <x v="62"/>
    <s v="Mr. David Garcia"/>
    <x v="0"/>
    <x v="1"/>
    <x v="2"/>
    <x v="62"/>
    <x v="56"/>
    <x v="50"/>
    <x v="1"/>
    <x v="3"/>
    <n v="239119.2"/>
    <x v="2"/>
    <x v="10"/>
  </r>
  <r>
    <x v="63"/>
    <s v="Matthew Wang"/>
    <x v="8"/>
    <x v="1"/>
    <x v="1"/>
    <x v="63"/>
    <x v="57"/>
    <x v="61"/>
    <x v="5"/>
    <x v="1"/>
    <n v="11118.11"/>
    <x v="0"/>
    <x v="11"/>
  </r>
  <r>
    <x v="64"/>
    <s v="Melanie Ford"/>
    <x v="47"/>
    <x v="1"/>
    <x v="0"/>
    <x v="64"/>
    <x v="58"/>
    <x v="44"/>
    <x v="8"/>
    <x v="1"/>
    <n v="174447.11"/>
    <x v="2"/>
    <x v="14"/>
  </r>
  <r>
    <x v="65"/>
    <s v="Kevin Graham"/>
    <x v="48"/>
    <x v="0"/>
    <x v="6"/>
    <x v="65"/>
    <x v="59"/>
    <x v="62"/>
    <x v="8"/>
    <x v="5"/>
    <n v="221072.79"/>
    <x v="1"/>
    <x v="9"/>
  </r>
  <r>
    <x v="66"/>
    <s v="Nancy Berger"/>
    <x v="49"/>
    <x v="0"/>
    <x v="1"/>
    <x v="66"/>
    <x v="60"/>
    <x v="63"/>
    <x v="0"/>
    <x v="5"/>
    <n v="100435.19"/>
    <x v="2"/>
    <x v="0"/>
  </r>
  <r>
    <x v="67"/>
    <s v="Kathleen Austin"/>
    <x v="50"/>
    <x v="1"/>
    <x v="1"/>
    <x v="67"/>
    <x v="61"/>
    <x v="64"/>
    <x v="7"/>
    <x v="4"/>
    <n v="6768.21"/>
    <x v="0"/>
    <x v="1"/>
  </r>
  <r>
    <x v="68"/>
    <s v="Carla Moreno"/>
    <x v="51"/>
    <x v="0"/>
    <x v="2"/>
    <x v="68"/>
    <x v="62"/>
    <x v="65"/>
    <x v="8"/>
    <x v="4"/>
    <n v="351528.94"/>
    <x v="1"/>
    <x v="12"/>
  </r>
  <r>
    <x v="69"/>
    <s v="Jake Hawkins"/>
    <x v="47"/>
    <x v="0"/>
    <x v="1"/>
    <x v="69"/>
    <x v="63"/>
    <x v="66"/>
    <x v="2"/>
    <x v="5"/>
    <n v="161664.82999999999"/>
    <x v="1"/>
    <x v="9"/>
  </r>
  <r>
    <x v="70"/>
    <s v="David Green"/>
    <x v="52"/>
    <x v="0"/>
    <x v="0"/>
    <x v="70"/>
    <x v="64"/>
    <x v="67"/>
    <x v="9"/>
    <x v="5"/>
    <n v="156615.76999999999"/>
    <x v="2"/>
    <x v="0"/>
  </r>
  <r>
    <x v="71"/>
    <s v="Christina Garcia"/>
    <x v="14"/>
    <x v="1"/>
    <x v="2"/>
    <x v="71"/>
    <x v="65"/>
    <x v="68"/>
    <x v="3"/>
    <x v="1"/>
    <n v="101714.05"/>
    <x v="0"/>
    <x v="2"/>
  </r>
  <r>
    <x v="72"/>
    <s v="Adam Stout"/>
    <x v="49"/>
    <x v="0"/>
    <x v="6"/>
    <x v="72"/>
    <x v="66"/>
    <x v="69"/>
    <x v="1"/>
    <x v="0"/>
    <n v="161443.1"/>
    <x v="1"/>
    <x v="12"/>
  </r>
  <r>
    <x v="73"/>
    <s v="Peggy Walter"/>
    <x v="21"/>
    <x v="1"/>
    <x v="1"/>
    <x v="73"/>
    <x v="67"/>
    <x v="14"/>
    <x v="0"/>
    <x v="0"/>
    <n v="378922.04"/>
    <x v="2"/>
    <x v="3"/>
  </r>
  <r>
    <x v="74"/>
    <s v="Daniel Rivera"/>
    <x v="53"/>
    <x v="0"/>
    <x v="6"/>
    <x v="74"/>
    <x v="68"/>
    <x v="70"/>
    <x v="4"/>
    <x v="2"/>
    <n v="36812.75"/>
    <x v="0"/>
    <x v="11"/>
  </r>
  <r>
    <x v="75"/>
    <s v="Diana Wiggins"/>
    <x v="54"/>
    <x v="0"/>
    <x v="2"/>
    <x v="75"/>
    <x v="52"/>
    <x v="71"/>
    <x v="2"/>
    <x v="2"/>
    <n v="272053.19"/>
    <x v="1"/>
    <x v="1"/>
  </r>
  <r>
    <x v="76"/>
    <s v="Nancy Newman"/>
    <x v="49"/>
    <x v="1"/>
    <x v="5"/>
    <x v="76"/>
    <x v="69"/>
    <x v="72"/>
    <x v="9"/>
    <x v="1"/>
    <n v="270804.8"/>
    <x v="1"/>
    <x v="4"/>
  </r>
  <r>
    <x v="77"/>
    <s v="Donald Frazier"/>
    <x v="55"/>
    <x v="0"/>
    <x v="1"/>
    <x v="77"/>
    <x v="70"/>
    <x v="73"/>
    <x v="7"/>
    <x v="5"/>
    <n v="215457.51"/>
    <x v="0"/>
    <x v="11"/>
  </r>
  <r>
    <x v="78"/>
    <s v="Jackie Johnson"/>
    <x v="1"/>
    <x v="0"/>
    <x v="4"/>
    <x v="78"/>
    <x v="71"/>
    <x v="74"/>
    <x v="8"/>
    <x v="5"/>
    <n v="359473.68"/>
    <x v="0"/>
    <x v="6"/>
  </r>
  <r>
    <x v="79"/>
    <s v="Raymond Bruce"/>
    <x v="37"/>
    <x v="1"/>
    <x v="6"/>
    <x v="79"/>
    <x v="72"/>
    <x v="75"/>
    <x v="9"/>
    <x v="4"/>
    <n v="393854.52"/>
    <x v="0"/>
    <x v="11"/>
  </r>
  <r>
    <x v="80"/>
    <s v="Elizabeth Rivera"/>
    <x v="56"/>
    <x v="1"/>
    <x v="4"/>
    <x v="80"/>
    <x v="73"/>
    <x v="76"/>
    <x v="8"/>
    <x v="2"/>
    <n v="406706.84"/>
    <x v="1"/>
    <x v="2"/>
  </r>
  <r>
    <x v="81"/>
    <s v="Julie Thompson"/>
    <x v="47"/>
    <x v="0"/>
    <x v="5"/>
    <x v="81"/>
    <x v="74"/>
    <x v="77"/>
    <x v="3"/>
    <x v="0"/>
    <n v="112099.73"/>
    <x v="2"/>
    <x v="10"/>
  </r>
  <r>
    <x v="82"/>
    <s v="Daniel White"/>
    <x v="51"/>
    <x v="0"/>
    <x v="2"/>
    <x v="82"/>
    <x v="75"/>
    <x v="78"/>
    <x v="4"/>
    <x v="0"/>
    <n v="268618.74"/>
    <x v="1"/>
    <x v="12"/>
  </r>
  <r>
    <x v="83"/>
    <s v="Brian Adkins"/>
    <x v="57"/>
    <x v="0"/>
    <x v="3"/>
    <x v="83"/>
    <x v="24"/>
    <x v="79"/>
    <x v="0"/>
    <x v="5"/>
    <n v="213144.75"/>
    <x v="1"/>
    <x v="13"/>
  </r>
  <r>
    <x v="84"/>
    <s v="Barbara Mckinney"/>
    <x v="58"/>
    <x v="1"/>
    <x v="1"/>
    <x v="84"/>
    <x v="76"/>
    <x v="80"/>
    <x v="7"/>
    <x v="0"/>
    <n v="81124.73"/>
    <x v="2"/>
    <x v="5"/>
  </r>
  <r>
    <x v="85"/>
    <s v="Sarah Payne"/>
    <x v="56"/>
    <x v="0"/>
    <x v="1"/>
    <x v="85"/>
    <x v="77"/>
    <x v="81"/>
    <x v="4"/>
    <x v="1"/>
    <n v="358428.17"/>
    <x v="0"/>
    <x v="11"/>
  </r>
  <r>
    <x v="86"/>
    <s v="Jennifer Salinas"/>
    <x v="59"/>
    <x v="0"/>
    <x v="2"/>
    <x v="86"/>
    <x v="78"/>
    <x v="37"/>
    <x v="7"/>
    <x v="4"/>
    <n v="491113.36"/>
    <x v="1"/>
    <x v="8"/>
  </r>
  <r>
    <x v="87"/>
    <s v="Jill Maddox"/>
    <x v="50"/>
    <x v="0"/>
    <x v="5"/>
    <x v="87"/>
    <x v="79"/>
    <x v="82"/>
    <x v="4"/>
    <x v="2"/>
    <n v="263762.15000000002"/>
    <x v="0"/>
    <x v="8"/>
  </r>
  <r>
    <x v="88"/>
    <s v="Michelle Wells"/>
    <x v="11"/>
    <x v="1"/>
    <x v="3"/>
    <x v="88"/>
    <x v="80"/>
    <x v="83"/>
    <x v="0"/>
    <x v="3"/>
    <n v="465426.84"/>
    <x v="2"/>
    <x v="14"/>
  </r>
  <r>
    <x v="89"/>
    <s v="Patricia Reyes"/>
    <x v="49"/>
    <x v="1"/>
    <x v="6"/>
    <x v="89"/>
    <x v="5"/>
    <x v="83"/>
    <x v="0"/>
    <x v="2"/>
    <n v="100719.29"/>
    <x v="0"/>
    <x v="13"/>
  </r>
  <r>
    <x v="90"/>
    <s v="Victor Perez"/>
    <x v="60"/>
    <x v="1"/>
    <x v="2"/>
    <x v="90"/>
    <x v="81"/>
    <x v="84"/>
    <x v="0"/>
    <x v="5"/>
    <n v="84392.25"/>
    <x v="0"/>
    <x v="2"/>
  </r>
  <r>
    <x v="91"/>
    <s v="Dwayne Weiss"/>
    <x v="56"/>
    <x v="1"/>
    <x v="2"/>
    <x v="91"/>
    <x v="82"/>
    <x v="85"/>
    <x v="0"/>
    <x v="0"/>
    <n v="417617.09"/>
    <x v="1"/>
    <x v="8"/>
  </r>
  <r>
    <x v="92"/>
    <s v="David Miranda"/>
    <x v="11"/>
    <x v="0"/>
    <x v="0"/>
    <x v="92"/>
    <x v="83"/>
    <x v="86"/>
    <x v="0"/>
    <x v="5"/>
    <n v="381381.04"/>
    <x v="1"/>
    <x v="8"/>
  </r>
  <r>
    <x v="93"/>
    <s v="Bradley Armstrong"/>
    <x v="16"/>
    <x v="1"/>
    <x v="1"/>
    <x v="93"/>
    <x v="84"/>
    <x v="87"/>
    <x v="6"/>
    <x v="5"/>
    <n v="62382.36"/>
    <x v="1"/>
    <x v="11"/>
  </r>
  <r>
    <x v="94"/>
    <s v="Mr. Noah Henry"/>
    <x v="43"/>
    <x v="0"/>
    <x v="6"/>
    <x v="94"/>
    <x v="85"/>
    <x v="88"/>
    <x v="8"/>
    <x v="1"/>
    <n v="315451.63"/>
    <x v="2"/>
    <x v="11"/>
  </r>
  <r>
    <x v="95"/>
    <s v="Antonio Scott"/>
    <x v="61"/>
    <x v="0"/>
    <x v="6"/>
    <x v="95"/>
    <x v="86"/>
    <x v="89"/>
    <x v="6"/>
    <x v="2"/>
    <n v="199150.15"/>
    <x v="1"/>
    <x v="10"/>
  </r>
  <r>
    <x v="96"/>
    <s v="Alexis Green"/>
    <x v="7"/>
    <x v="0"/>
    <x v="5"/>
    <x v="96"/>
    <x v="87"/>
    <x v="90"/>
    <x v="2"/>
    <x v="1"/>
    <n v="129429.89"/>
    <x v="0"/>
    <x v="5"/>
  </r>
  <r>
    <x v="97"/>
    <s v="Alicia Koch"/>
    <x v="59"/>
    <x v="0"/>
    <x v="6"/>
    <x v="97"/>
    <x v="88"/>
    <x v="81"/>
    <x v="4"/>
    <x v="1"/>
    <n v="362567.11"/>
    <x v="1"/>
    <x v="2"/>
  </r>
  <r>
    <x v="98"/>
    <s v="Tammy Adams"/>
    <x v="21"/>
    <x v="0"/>
    <x v="0"/>
    <x v="98"/>
    <x v="24"/>
    <x v="91"/>
    <x v="1"/>
    <x v="0"/>
    <n v="144911.94"/>
    <x v="1"/>
    <x v="14"/>
  </r>
  <r>
    <x v="99"/>
    <s v="Carmen Warren"/>
    <x v="14"/>
    <x v="1"/>
    <x v="1"/>
    <x v="99"/>
    <x v="89"/>
    <x v="92"/>
    <x v="5"/>
    <x v="3"/>
    <n v="311763.95"/>
    <x v="0"/>
    <x v="7"/>
  </r>
  <r>
    <x v="100"/>
    <s v="Stacy Gibson"/>
    <x v="30"/>
    <x v="1"/>
    <x v="4"/>
    <x v="100"/>
    <x v="57"/>
    <x v="93"/>
    <x v="6"/>
    <x v="2"/>
    <n v="76207.16"/>
    <x v="1"/>
    <x v="1"/>
  </r>
  <r>
    <x v="101"/>
    <s v="Traci Goodwin"/>
    <x v="62"/>
    <x v="0"/>
    <x v="6"/>
    <x v="101"/>
    <x v="90"/>
    <x v="94"/>
    <x v="9"/>
    <x v="2"/>
    <n v="225613.22"/>
    <x v="1"/>
    <x v="5"/>
  </r>
  <r>
    <x v="102"/>
    <s v="Jacob Serrano"/>
    <x v="20"/>
    <x v="0"/>
    <x v="0"/>
    <x v="102"/>
    <x v="91"/>
    <x v="64"/>
    <x v="8"/>
    <x v="3"/>
    <n v="248082.87"/>
    <x v="2"/>
    <x v="5"/>
  </r>
  <r>
    <x v="103"/>
    <s v="Patricia Tucker"/>
    <x v="35"/>
    <x v="1"/>
    <x v="1"/>
    <x v="103"/>
    <x v="27"/>
    <x v="95"/>
    <x v="8"/>
    <x v="2"/>
    <n v="133828.51"/>
    <x v="2"/>
    <x v="12"/>
  </r>
  <r>
    <x v="104"/>
    <s v="Patricia Robbins"/>
    <x v="63"/>
    <x v="1"/>
    <x v="1"/>
    <x v="104"/>
    <x v="7"/>
    <x v="96"/>
    <x v="2"/>
    <x v="1"/>
    <n v="147352.21"/>
    <x v="0"/>
    <x v="12"/>
  </r>
  <r>
    <x v="105"/>
    <s v="Timothy Harper"/>
    <x v="10"/>
    <x v="0"/>
    <x v="3"/>
    <x v="105"/>
    <x v="56"/>
    <x v="97"/>
    <x v="1"/>
    <x v="1"/>
    <n v="478224.76"/>
    <x v="1"/>
    <x v="4"/>
  </r>
  <r>
    <x v="106"/>
    <s v="Bruce Parsons"/>
    <x v="15"/>
    <x v="0"/>
    <x v="4"/>
    <x v="106"/>
    <x v="92"/>
    <x v="98"/>
    <x v="0"/>
    <x v="2"/>
    <n v="434745.51"/>
    <x v="0"/>
    <x v="14"/>
  </r>
  <r>
    <x v="107"/>
    <s v="Debra White"/>
    <x v="29"/>
    <x v="0"/>
    <x v="0"/>
    <x v="107"/>
    <x v="93"/>
    <x v="99"/>
    <x v="0"/>
    <x v="2"/>
    <n v="344768.53"/>
    <x v="0"/>
    <x v="10"/>
  </r>
  <r>
    <x v="108"/>
    <s v="Timothy King"/>
    <x v="13"/>
    <x v="1"/>
    <x v="1"/>
    <x v="108"/>
    <x v="94"/>
    <x v="100"/>
    <x v="6"/>
    <x v="0"/>
    <n v="170783"/>
    <x v="1"/>
    <x v="3"/>
  </r>
  <r>
    <x v="109"/>
    <s v="Jeremy Barnes"/>
    <x v="20"/>
    <x v="1"/>
    <x v="2"/>
    <x v="109"/>
    <x v="95"/>
    <x v="101"/>
    <x v="2"/>
    <x v="5"/>
    <n v="310454.28999999998"/>
    <x v="2"/>
    <x v="3"/>
  </r>
  <r>
    <x v="110"/>
    <s v="Angela Swanson"/>
    <x v="64"/>
    <x v="0"/>
    <x v="1"/>
    <x v="110"/>
    <x v="96"/>
    <x v="102"/>
    <x v="6"/>
    <x v="0"/>
    <n v="340414.47"/>
    <x v="0"/>
    <x v="7"/>
  </r>
  <r>
    <x v="111"/>
    <s v="Joshua Taylor"/>
    <x v="65"/>
    <x v="1"/>
    <x v="6"/>
    <x v="111"/>
    <x v="97"/>
    <x v="103"/>
    <x v="2"/>
    <x v="0"/>
    <n v="413559.81"/>
    <x v="1"/>
    <x v="8"/>
  </r>
  <r>
    <x v="112"/>
    <s v="Julie Vargas"/>
    <x v="66"/>
    <x v="0"/>
    <x v="0"/>
    <x v="112"/>
    <x v="61"/>
    <x v="104"/>
    <x v="6"/>
    <x v="0"/>
    <n v="29200.37"/>
    <x v="1"/>
    <x v="2"/>
  </r>
  <r>
    <x v="113"/>
    <s v="Wayne Taylor"/>
    <x v="67"/>
    <x v="1"/>
    <x v="3"/>
    <x v="113"/>
    <x v="94"/>
    <x v="105"/>
    <x v="0"/>
    <x v="0"/>
    <n v="236176.35"/>
    <x v="0"/>
    <x v="7"/>
  </r>
  <r>
    <x v="114"/>
    <s v="Julia Hogan"/>
    <x v="68"/>
    <x v="1"/>
    <x v="1"/>
    <x v="114"/>
    <x v="98"/>
    <x v="106"/>
    <x v="4"/>
    <x v="2"/>
    <n v="474818.31"/>
    <x v="2"/>
    <x v="2"/>
  </r>
  <r>
    <x v="115"/>
    <s v="Sandra Taylor"/>
    <x v="38"/>
    <x v="0"/>
    <x v="5"/>
    <x v="115"/>
    <x v="99"/>
    <x v="107"/>
    <x v="6"/>
    <x v="4"/>
    <n v="304514.21999999997"/>
    <x v="1"/>
    <x v="7"/>
  </r>
  <r>
    <x v="116"/>
    <s v="Lisa Walters"/>
    <x v="55"/>
    <x v="1"/>
    <x v="4"/>
    <x v="116"/>
    <x v="100"/>
    <x v="108"/>
    <x v="8"/>
    <x v="4"/>
    <n v="346413.99"/>
    <x v="1"/>
    <x v="9"/>
  </r>
  <r>
    <x v="117"/>
    <s v="Christina Diaz"/>
    <x v="69"/>
    <x v="1"/>
    <x v="4"/>
    <x v="117"/>
    <x v="101"/>
    <x v="109"/>
    <x v="1"/>
    <x v="2"/>
    <n v="125160.45"/>
    <x v="2"/>
    <x v="4"/>
  </r>
  <r>
    <x v="118"/>
    <s v="Robert Harris"/>
    <x v="29"/>
    <x v="1"/>
    <x v="2"/>
    <x v="118"/>
    <x v="76"/>
    <x v="110"/>
    <x v="5"/>
    <x v="0"/>
    <n v="291950.51"/>
    <x v="1"/>
    <x v="7"/>
  </r>
  <r>
    <x v="119"/>
    <s v="Anna Williams"/>
    <x v="36"/>
    <x v="0"/>
    <x v="0"/>
    <x v="119"/>
    <x v="102"/>
    <x v="111"/>
    <x v="8"/>
    <x v="4"/>
    <n v="390024.28"/>
    <x v="2"/>
    <x v="0"/>
  </r>
  <r>
    <x v="120"/>
    <s v="Jorge Evans"/>
    <x v="60"/>
    <x v="0"/>
    <x v="1"/>
    <x v="120"/>
    <x v="103"/>
    <x v="112"/>
    <x v="2"/>
    <x v="1"/>
    <n v="123700.82"/>
    <x v="2"/>
    <x v="7"/>
  </r>
  <r>
    <x v="121"/>
    <s v="Jacob Warren"/>
    <x v="69"/>
    <x v="1"/>
    <x v="5"/>
    <x v="121"/>
    <x v="104"/>
    <x v="77"/>
    <x v="5"/>
    <x v="3"/>
    <n v="359462.93"/>
    <x v="2"/>
    <x v="0"/>
  </r>
  <r>
    <x v="122"/>
    <s v="Heather Anderson"/>
    <x v="13"/>
    <x v="0"/>
    <x v="3"/>
    <x v="122"/>
    <x v="15"/>
    <x v="90"/>
    <x v="4"/>
    <x v="1"/>
    <n v="172410.11"/>
    <x v="0"/>
    <x v="4"/>
  </r>
  <r>
    <x v="123"/>
    <s v="Jennifer Williams"/>
    <x v="1"/>
    <x v="0"/>
    <x v="5"/>
    <x v="123"/>
    <x v="53"/>
    <x v="113"/>
    <x v="1"/>
    <x v="0"/>
    <n v="232738.23"/>
    <x v="0"/>
    <x v="5"/>
  </r>
  <r>
    <x v="124"/>
    <s v="Richard Frazier"/>
    <x v="42"/>
    <x v="1"/>
    <x v="0"/>
    <x v="124"/>
    <x v="105"/>
    <x v="59"/>
    <x v="2"/>
    <x v="3"/>
    <n v="414227.43"/>
    <x v="1"/>
    <x v="2"/>
  </r>
  <r>
    <x v="125"/>
    <s v="Dawn Peterson"/>
    <x v="49"/>
    <x v="0"/>
    <x v="0"/>
    <x v="125"/>
    <x v="106"/>
    <x v="114"/>
    <x v="7"/>
    <x v="4"/>
    <n v="368506.46"/>
    <x v="2"/>
    <x v="13"/>
  </r>
  <r>
    <x v="126"/>
    <s v="Brittany Robinson"/>
    <x v="59"/>
    <x v="1"/>
    <x v="4"/>
    <x v="126"/>
    <x v="102"/>
    <x v="28"/>
    <x v="0"/>
    <x v="5"/>
    <n v="361186.77"/>
    <x v="0"/>
    <x v="7"/>
  </r>
  <r>
    <x v="127"/>
    <s v="Jessica Richards"/>
    <x v="22"/>
    <x v="1"/>
    <x v="1"/>
    <x v="127"/>
    <x v="107"/>
    <x v="115"/>
    <x v="9"/>
    <x v="2"/>
    <n v="229141.31"/>
    <x v="0"/>
    <x v="9"/>
  </r>
  <r>
    <x v="128"/>
    <s v="Matthew Baldwin"/>
    <x v="70"/>
    <x v="1"/>
    <x v="1"/>
    <x v="128"/>
    <x v="108"/>
    <x v="116"/>
    <x v="3"/>
    <x v="2"/>
    <n v="151414.56"/>
    <x v="0"/>
    <x v="14"/>
  </r>
  <r>
    <x v="129"/>
    <s v="Joseph Mendoza"/>
    <x v="71"/>
    <x v="1"/>
    <x v="1"/>
    <x v="129"/>
    <x v="85"/>
    <x v="117"/>
    <x v="7"/>
    <x v="4"/>
    <n v="139694.82"/>
    <x v="2"/>
    <x v="3"/>
  </r>
  <r>
    <x v="130"/>
    <s v="George Wilson"/>
    <x v="70"/>
    <x v="0"/>
    <x v="4"/>
    <x v="130"/>
    <x v="109"/>
    <x v="118"/>
    <x v="4"/>
    <x v="0"/>
    <n v="188293.16"/>
    <x v="1"/>
    <x v="11"/>
  </r>
  <r>
    <x v="131"/>
    <s v="Marie Reyes"/>
    <x v="60"/>
    <x v="1"/>
    <x v="3"/>
    <x v="131"/>
    <x v="110"/>
    <x v="2"/>
    <x v="6"/>
    <x v="0"/>
    <n v="47270.559999999998"/>
    <x v="2"/>
    <x v="4"/>
  </r>
  <r>
    <x v="132"/>
    <s v="Sean Griffin"/>
    <x v="51"/>
    <x v="0"/>
    <x v="5"/>
    <x v="132"/>
    <x v="111"/>
    <x v="119"/>
    <x v="8"/>
    <x v="4"/>
    <n v="400810.56"/>
    <x v="2"/>
    <x v="3"/>
  </r>
  <r>
    <x v="133"/>
    <s v="Nicholas Brown"/>
    <x v="10"/>
    <x v="1"/>
    <x v="3"/>
    <x v="133"/>
    <x v="112"/>
    <x v="33"/>
    <x v="4"/>
    <x v="5"/>
    <n v="361959.62"/>
    <x v="2"/>
    <x v="4"/>
  </r>
  <r>
    <x v="134"/>
    <s v="Tammy Ellis"/>
    <x v="65"/>
    <x v="0"/>
    <x v="5"/>
    <x v="134"/>
    <x v="113"/>
    <x v="120"/>
    <x v="7"/>
    <x v="0"/>
    <n v="320125.76"/>
    <x v="0"/>
    <x v="5"/>
  </r>
  <r>
    <x v="135"/>
    <s v="Linda Spencer"/>
    <x v="72"/>
    <x v="0"/>
    <x v="3"/>
    <x v="135"/>
    <x v="114"/>
    <x v="121"/>
    <x v="3"/>
    <x v="0"/>
    <n v="349863.53"/>
    <x v="1"/>
    <x v="12"/>
  </r>
  <r>
    <x v="136"/>
    <s v="Tiffany Barber"/>
    <x v="73"/>
    <x v="1"/>
    <x v="2"/>
    <x v="136"/>
    <x v="115"/>
    <x v="89"/>
    <x v="2"/>
    <x v="3"/>
    <n v="215807.75"/>
    <x v="1"/>
    <x v="4"/>
  </r>
  <r>
    <x v="137"/>
    <s v="Jeremiah Nelson"/>
    <x v="49"/>
    <x v="1"/>
    <x v="3"/>
    <x v="137"/>
    <x v="47"/>
    <x v="122"/>
    <x v="7"/>
    <x v="2"/>
    <n v="304712"/>
    <x v="0"/>
    <x v="4"/>
  </r>
  <r>
    <x v="138"/>
    <s v="Lauren Zimmerman"/>
    <x v="74"/>
    <x v="1"/>
    <x v="5"/>
    <x v="138"/>
    <x v="95"/>
    <x v="71"/>
    <x v="2"/>
    <x v="3"/>
    <n v="421458.05"/>
    <x v="0"/>
    <x v="13"/>
  </r>
  <r>
    <x v="139"/>
    <s v="Melissa Johnson"/>
    <x v="19"/>
    <x v="1"/>
    <x v="0"/>
    <x v="139"/>
    <x v="116"/>
    <x v="123"/>
    <x v="7"/>
    <x v="3"/>
    <n v="338744.27"/>
    <x v="0"/>
    <x v="7"/>
  </r>
  <r>
    <x v="140"/>
    <s v="Kayla Phelps"/>
    <x v="10"/>
    <x v="1"/>
    <x v="0"/>
    <x v="140"/>
    <x v="117"/>
    <x v="124"/>
    <x v="6"/>
    <x v="4"/>
    <n v="449968.85"/>
    <x v="2"/>
    <x v="2"/>
  </r>
  <r>
    <x v="141"/>
    <s v="Robin Brooks"/>
    <x v="58"/>
    <x v="0"/>
    <x v="1"/>
    <x v="141"/>
    <x v="118"/>
    <x v="125"/>
    <x v="8"/>
    <x v="3"/>
    <n v="205503.2"/>
    <x v="2"/>
    <x v="13"/>
  </r>
  <r>
    <x v="142"/>
    <s v="Mrs. Denise Hart"/>
    <x v="40"/>
    <x v="0"/>
    <x v="2"/>
    <x v="142"/>
    <x v="119"/>
    <x v="126"/>
    <x v="4"/>
    <x v="2"/>
    <n v="260254"/>
    <x v="0"/>
    <x v="6"/>
  </r>
  <r>
    <x v="143"/>
    <s v="Kelli Webb"/>
    <x v="75"/>
    <x v="1"/>
    <x v="3"/>
    <x v="143"/>
    <x v="85"/>
    <x v="18"/>
    <x v="2"/>
    <x v="4"/>
    <n v="183936.08"/>
    <x v="2"/>
    <x v="8"/>
  </r>
  <r>
    <x v="144"/>
    <s v="Jennifer Osborne"/>
    <x v="51"/>
    <x v="0"/>
    <x v="5"/>
    <x v="144"/>
    <x v="120"/>
    <x v="127"/>
    <x v="1"/>
    <x v="4"/>
    <n v="356062.25"/>
    <x v="2"/>
    <x v="7"/>
  </r>
  <r>
    <x v="145"/>
    <s v="Anne Lee"/>
    <x v="43"/>
    <x v="0"/>
    <x v="4"/>
    <x v="145"/>
    <x v="121"/>
    <x v="128"/>
    <x v="6"/>
    <x v="3"/>
    <n v="181676.47"/>
    <x v="2"/>
    <x v="10"/>
  </r>
  <r>
    <x v="146"/>
    <s v="Douglas Sandoval"/>
    <x v="61"/>
    <x v="0"/>
    <x v="6"/>
    <x v="146"/>
    <x v="122"/>
    <x v="129"/>
    <x v="4"/>
    <x v="0"/>
    <n v="193469.72"/>
    <x v="2"/>
    <x v="4"/>
  </r>
  <r>
    <x v="147"/>
    <s v="Michelle Scott"/>
    <x v="63"/>
    <x v="0"/>
    <x v="6"/>
    <x v="147"/>
    <x v="123"/>
    <x v="130"/>
    <x v="0"/>
    <x v="1"/>
    <n v="457867.86"/>
    <x v="2"/>
    <x v="6"/>
  </r>
  <r>
    <x v="148"/>
    <s v="Tyler Holden"/>
    <x v="6"/>
    <x v="1"/>
    <x v="6"/>
    <x v="148"/>
    <x v="97"/>
    <x v="131"/>
    <x v="4"/>
    <x v="5"/>
    <n v="303958.65999999997"/>
    <x v="1"/>
    <x v="2"/>
  </r>
  <r>
    <x v="149"/>
    <s v="Joyce Ryan"/>
    <x v="13"/>
    <x v="0"/>
    <x v="5"/>
    <x v="149"/>
    <x v="124"/>
    <x v="132"/>
    <x v="5"/>
    <x v="1"/>
    <n v="193886.91"/>
    <x v="1"/>
    <x v="9"/>
  </r>
  <r>
    <x v="150"/>
    <s v="Jason Sanchez"/>
    <x v="21"/>
    <x v="1"/>
    <x v="5"/>
    <x v="150"/>
    <x v="125"/>
    <x v="51"/>
    <x v="9"/>
    <x v="3"/>
    <n v="418395.88"/>
    <x v="1"/>
    <x v="2"/>
  </r>
  <r>
    <x v="151"/>
    <s v="Alexander Myers"/>
    <x v="74"/>
    <x v="1"/>
    <x v="0"/>
    <x v="151"/>
    <x v="56"/>
    <x v="133"/>
    <x v="2"/>
    <x v="4"/>
    <n v="405729.86"/>
    <x v="0"/>
    <x v="8"/>
  </r>
  <r>
    <x v="152"/>
    <s v="Mary Mitchell"/>
    <x v="10"/>
    <x v="1"/>
    <x v="5"/>
    <x v="152"/>
    <x v="126"/>
    <x v="134"/>
    <x v="7"/>
    <x v="5"/>
    <n v="61363.23"/>
    <x v="0"/>
    <x v="1"/>
  </r>
  <r>
    <x v="153"/>
    <s v="Nathaniel Cook"/>
    <x v="65"/>
    <x v="0"/>
    <x v="6"/>
    <x v="153"/>
    <x v="50"/>
    <x v="120"/>
    <x v="6"/>
    <x v="4"/>
    <n v="113058.87"/>
    <x v="1"/>
    <x v="10"/>
  </r>
  <r>
    <x v="154"/>
    <s v="Elizabeth Green"/>
    <x v="30"/>
    <x v="1"/>
    <x v="3"/>
    <x v="154"/>
    <x v="127"/>
    <x v="135"/>
    <x v="9"/>
    <x v="5"/>
    <n v="326022.48"/>
    <x v="0"/>
    <x v="0"/>
  </r>
  <r>
    <x v="155"/>
    <s v="Natalie Bennett"/>
    <x v="33"/>
    <x v="1"/>
    <x v="2"/>
    <x v="155"/>
    <x v="125"/>
    <x v="136"/>
    <x v="1"/>
    <x v="0"/>
    <n v="296983.21999999997"/>
    <x v="0"/>
    <x v="10"/>
  </r>
  <r>
    <x v="156"/>
    <s v="Amanda Williams"/>
    <x v="54"/>
    <x v="0"/>
    <x v="3"/>
    <x v="156"/>
    <x v="27"/>
    <x v="137"/>
    <x v="3"/>
    <x v="5"/>
    <n v="41091.67"/>
    <x v="0"/>
    <x v="4"/>
  </r>
  <r>
    <x v="157"/>
    <s v="Amanda Cain"/>
    <x v="15"/>
    <x v="0"/>
    <x v="0"/>
    <x v="157"/>
    <x v="128"/>
    <x v="138"/>
    <x v="5"/>
    <x v="3"/>
    <n v="346733.19"/>
    <x v="2"/>
    <x v="12"/>
  </r>
  <r>
    <x v="158"/>
    <s v="Caitlin Hughes"/>
    <x v="73"/>
    <x v="1"/>
    <x v="0"/>
    <x v="158"/>
    <x v="86"/>
    <x v="59"/>
    <x v="2"/>
    <x v="4"/>
    <n v="63431.89"/>
    <x v="2"/>
    <x v="5"/>
  </r>
  <r>
    <x v="159"/>
    <s v="Joel Mcgrath"/>
    <x v="29"/>
    <x v="1"/>
    <x v="1"/>
    <x v="159"/>
    <x v="13"/>
    <x v="139"/>
    <x v="5"/>
    <x v="4"/>
    <n v="382783.69"/>
    <x v="1"/>
    <x v="13"/>
  </r>
  <r>
    <x v="160"/>
    <s v="Amber Cooke"/>
    <x v="68"/>
    <x v="1"/>
    <x v="2"/>
    <x v="160"/>
    <x v="129"/>
    <x v="66"/>
    <x v="7"/>
    <x v="5"/>
    <n v="365425.43"/>
    <x v="1"/>
    <x v="0"/>
  </r>
  <r>
    <x v="161"/>
    <s v="Carlos Mayer"/>
    <x v="27"/>
    <x v="0"/>
    <x v="2"/>
    <x v="161"/>
    <x v="130"/>
    <x v="80"/>
    <x v="1"/>
    <x v="4"/>
    <n v="329110.75"/>
    <x v="1"/>
    <x v="0"/>
  </r>
  <r>
    <x v="162"/>
    <s v="Brian Fleming"/>
    <x v="76"/>
    <x v="1"/>
    <x v="1"/>
    <x v="162"/>
    <x v="79"/>
    <x v="82"/>
    <x v="3"/>
    <x v="2"/>
    <n v="472678.33"/>
    <x v="2"/>
    <x v="8"/>
  </r>
  <r>
    <x v="163"/>
    <s v="Meghan Butler"/>
    <x v="36"/>
    <x v="0"/>
    <x v="0"/>
    <x v="163"/>
    <x v="131"/>
    <x v="140"/>
    <x v="2"/>
    <x v="2"/>
    <n v="312307.39"/>
    <x v="1"/>
    <x v="0"/>
  </r>
  <r>
    <x v="164"/>
    <s v="Brittany Shelton"/>
    <x v="77"/>
    <x v="1"/>
    <x v="6"/>
    <x v="164"/>
    <x v="132"/>
    <x v="55"/>
    <x v="5"/>
    <x v="0"/>
    <n v="374178.23"/>
    <x v="2"/>
    <x v="1"/>
  </r>
  <r>
    <x v="165"/>
    <s v="Olivia Pennington"/>
    <x v="5"/>
    <x v="0"/>
    <x v="3"/>
    <x v="165"/>
    <x v="133"/>
    <x v="141"/>
    <x v="8"/>
    <x v="0"/>
    <n v="85569.72"/>
    <x v="0"/>
    <x v="3"/>
  </r>
  <r>
    <x v="166"/>
    <s v="Nathan Long"/>
    <x v="77"/>
    <x v="0"/>
    <x v="6"/>
    <x v="166"/>
    <x v="134"/>
    <x v="8"/>
    <x v="0"/>
    <x v="4"/>
    <n v="417481.3"/>
    <x v="1"/>
    <x v="2"/>
  </r>
  <r>
    <x v="167"/>
    <s v="Leslie Park"/>
    <x v="78"/>
    <x v="1"/>
    <x v="0"/>
    <x v="167"/>
    <x v="135"/>
    <x v="71"/>
    <x v="8"/>
    <x v="3"/>
    <n v="394790.49"/>
    <x v="2"/>
    <x v="5"/>
  </r>
  <r>
    <x v="168"/>
    <s v="Tracey Elliott"/>
    <x v="60"/>
    <x v="1"/>
    <x v="6"/>
    <x v="168"/>
    <x v="136"/>
    <x v="101"/>
    <x v="4"/>
    <x v="1"/>
    <n v="217252.64"/>
    <x v="2"/>
    <x v="14"/>
  </r>
  <r>
    <x v="169"/>
    <s v="Daniel Ferrell"/>
    <x v="24"/>
    <x v="1"/>
    <x v="3"/>
    <x v="169"/>
    <x v="137"/>
    <x v="142"/>
    <x v="3"/>
    <x v="2"/>
    <n v="376850.26"/>
    <x v="1"/>
    <x v="1"/>
  </r>
  <r>
    <x v="170"/>
    <s v="Shelly Marquez"/>
    <x v="72"/>
    <x v="0"/>
    <x v="2"/>
    <x v="170"/>
    <x v="138"/>
    <x v="143"/>
    <x v="6"/>
    <x v="2"/>
    <n v="297222.51"/>
    <x v="0"/>
    <x v="7"/>
  </r>
  <r>
    <x v="171"/>
    <s v="Elizabeth Barker"/>
    <x v="64"/>
    <x v="1"/>
    <x v="6"/>
    <x v="171"/>
    <x v="12"/>
    <x v="144"/>
    <x v="5"/>
    <x v="4"/>
    <n v="467045.61"/>
    <x v="1"/>
    <x v="0"/>
  </r>
  <r>
    <x v="172"/>
    <s v="Elizabeth Castillo"/>
    <x v="57"/>
    <x v="0"/>
    <x v="2"/>
    <x v="172"/>
    <x v="139"/>
    <x v="145"/>
    <x v="8"/>
    <x v="0"/>
    <n v="82808.14"/>
    <x v="2"/>
    <x v="6"/>
  </r>
  <r>
    <x v="173"/>
    <s v="Samantha Oliver"/>
    <x v="60"/>
    <x v="1"/>
    <x v="3"/>
    <x v="173"/>
    <x v="140"/>
    <x v="146"/>
    <x v="4"/>
    <x v="1"/>
    <n v="267596.13"/>
    <x v="0"/>
    <x v="5"/>
  </r>
  <r>
    <x v="174"/>
    <s v="Corey Andrews"/>
    <x v="36"/>
    <x v="0"/>
    <x v="2"/>
    <x v="174"/>
    <x v="85"/>
    <x v="18"/>
    <x v="1"/>
    <x v="3"/>
    <n v="445305.02"/>
    <x v="2"/>
    <x v="8"/>
  </r>
  <r>
    <x v="175"/>
    <s v="Joshua Williams"/>
    <x v="54"/>
    <x v="1"/>
    <x v="2"/>
    <x v="175"/>
    <x v="28"/>
    <x v="147"/>
    <x v="4"/>
    <x v="1"/>
    <n v="8760.42"/>
    <x v="2"/>
    <x v="12"/>
  </r>
  <r>
    <x v="176"/>
    <s v="Brooke Stevens"/>
    <x v="51"/>
    <x v="1"/>
    <x v="4"/>
    <x v="176"/>
    <x v="141"/>
    <x v="148"/>
    <x v="4"/>
    <x v="4"/>
    <n v="35101.64"/>
    <x v="2"/>
    <x v="4"/>
  </r>
  <r>
    <x v="177"/>
    <s v="Michael Whitaker"/>
    <x v="26"/>
    <x v="1"/>
    <x v="3"/>
    <x v="177"/>
    <x v="142"/>
    <x v="149"/>
    <x v="2"/>
    <x v="4"/>
    <n v="192471.97"/>
    <x v="1"/>
    <x v="3"/>
  </r>
  <r>
    <x v="178"/>
    <s v="Janet Nguyen"/>
    <x v="54"/>
    <x v="0"/>
    <x v="0"/>
    <x v="178"/>
    <x v="64"/>
    <x v="150"/>
    <x v="0"/>
    <x v="5"/>
    <n v="105388.23"/>
    <x v="2"/>
    <x v="7"/>
  </r>
  <r>
    <x v="179"/>
    <s v="Marcus Terry"/>
    <x v="61"/>
    <x v="0"/>
    <x v="1"/>
    <x v="179"/>
    <x v="25"/>
    <x v="151"/>
    <x v="7"/>
    <x v="1"/>
    <n v="460320.6"/>
    <x v="1"/>
    <x v="4"/>
  </r>
  <r>
    <x v="180"/>
    <s v="Todd Bailey"/>
    <x v="14"/>
    <x v="1"/>
    <x v="3"/>
    <x v="180"/>
    <x v="143"/>
    <x v="95"/>
    <x v="6"/>
    <x v="0"/>
    <n v="358342.65"/>
    <x v="0"/>
    <x v="0"/>
  </r>
  <r>
    <x v="181"/>
    <s v="Daniel Fleming"/>
    <x v="79"/>
    <x v="0"/>
    <x v="3"/>
    <x v="181"/>
    <x v="144"/>
    <x v="152"/>
    <x v="4"/>
    <x v="3"/>
    <n v="467020.93"/>
    <x v="1"/>
    <x v="1"/>
  </r>
  <r>
    <x v="182"/>
    <s v="Angel Rios"/>
    <x v="80"/>
    <x v="1"/>
    <x v="5"/>
    <x v="182"/>
    <x v="145"/>
    <x v="14"/>
    <x v="6"/>
    <x v="5"/>
    <n v="395318.96"/>
    <x v="2"/>
    <x v="8"/>
  </r>
  <r>
    <x v="183"/>
    <s v="Traci Jenkins"/>
    <x v="56"/>
    <x v="0"/>
    <x v="2"/>
    <x v="183"/>
    <x v="146"/>
    <x v="80"/>
    <x v="7"/>
    <x v="3"/>
    <n v="267838.53000000003"/>
    <x v="2"/>
    <x v="10"/>
  </r>
  <r>
    <x v="184"/>
    <s v="Shirley Mccall"/>
    <x v="73"/>
    <x v="1"/>
    <x v="3"/>
    <x v="184"/>
    <x v="147"/>
    <x v="5"/>
    <x v="5"/>
    <x v="5"/>
    <n v="100384.72"/>
    <x v="1"/>
    <x v="2"/>
  </r>
  <r>
    <x v="185"/>
    <s v="Jennifer Walker"/>
    <x v="19"/>
    <x v="0"/>
    <x v="5"/>
    <x v="185"/>
    <x v="148"/>
    <x v="99"/>
    <x v="2"/>
    <x v="4"/>
    <n v="180368.33"/>
    <x v="1"/>
    <x v="6"/>
  </r>
  <r>
    <x v="186"/>
    <s v="Douglas Jones"/>
    <x v="81"/>
    <x v="0"/>
    <x v="2"/>
    <x v="186"/>
    <x v="137"/>
    <x v="153"/>
    <x v="8"/>
    <x v="3"/>
    <n v="34449.07"/>
    <x v="2"/>
    <x v="12"/>
  </r>
  <r>
    <x v="187"/>
    <s v="Robert Perry Jr."/>
    <x v="56"/>
    <x v="1"/>
    <x v="5"/>
    <x v="187"/>
    <x v="149"/>
    <x v="45"/>
    <x v="7"/>
    <x v="4"/>
    <n v="301256.26"/>
    <x v="0"/>
    <x v="0"/>
  </r>
  <r>
    <x v="188"/>
    <s v="Katie Allen"/>
    <x v="51"/>
    <x v="1"/>
    <x v="2"/>
    <x v="188"/>
    <x v="80"/>
    <x v="14"/>
    <x v="4"/>
    <x v="0"/>
    <n v="461156.42"/>
    <x v="2"/>
    <x v="1"/>
  </r>
  <r>
    <x v="189"/>
    <s v="Frank Green"/>
    <x v="60"/>
    <x v="1"/>
    <x v="3"/>
    <x v="189"/>
    <x v="150"/>
    <x v="11"/>
    <x v="8"/>
    <x v="2"/>
    <n v="104648.79"/>
    <x v="0"/>
    <x v="0"/>
  </r>
  <r>
    <x v="190"/>
    <s v="Erik Rivera"/>
    <x v="52"/>
    <x v="0"/>
    <x v="2"/>
    <x v="190"/>
    <x v="90"/>
    <x v="154"/>
    <x v="8"/>
    <x v="4"/>
    <n v="461067.55"/>
    <x v="1"/>
    <x v="2"/>
  </r>
  <r>
    <x v="191"/>
    <s v="Phillip Prince II"/>
    <x v="76"/>
    <x v="1"/>
    <x v="1"/>
    <x v="191"/>
    <x v="151"/>
    <x v="6"/>
    <x v="2"/>
    <x v="4"/>
    <n v="199748.89"/>
    <x v="1"/>
    <x v="14"/>
  </r>
  <r>
    <x v="192"/>
    <s v="Natalie Graham"/>
    <x v="82"/>
    <x v="1"/>
    <x v="2"/>
    <x v="192"/>
    <x v="77"/>
    <x v="155"/>
    <x v="1"/>
    <x v="2"/>
    <n v="278965.34999999998"/>
    <x v="0"/>
    <x v="5"/>
  </r>
  <r>
    <x v="193"/>
    <s v="Kathy Johnson"/>
    <x v="3"/>
    <x v="1"/>
    <x v="3"/>
    <x v="193"/>
    <x v="152"/>
    <x v="156"/>
    <x v="4"/>
    <x v="2"/>
    <n v="403315.18"/>
    <x v="1"/>
    <x v="10"/>
  </r>
  <r>
    <x v="194"/>
    <s v="Eric Edwards"/>
    <x v="18"/>
    <x v="0"/>
    <x v="4"/>
    <x v="194"/>
    <x v="153"/>
    <x v="157"/>
    <x v="4"/>
    <x v="2"/>
    <n v="307078.84000000003"/>
    <x v="2"/>
    <x v="5"/>
  </r>
  <r>
    <x v="195"/>
    <s v="Beth Parker"/>
    <x v="14"/>
    <x v="0"/>
    <x v="4"/>
    <x v="195"/>
    <x v="154"/>
    <x v="158"/>
    <x v="9"/>
    <x v="1"/>
    <n v="439161.95"/>
    <x v="2"/>
    <x v="1"/>
  </r>
  <r>
    <x v="196"/>
    <s v="Tiffany Watkins"/>
    <x v="63"/>
    <x v="1"/>
    <x v="3"/>
    <x v="196"/>
    <x v="155"/>
    <x v="159"/>
    <x v="1"/>
    <x v="0"/>
    <n v="292281.65000000002"/>
    <x v="2"/>
    <x v="5"/>
  </r>
  <r>
    <x v="197"/>
    <s v="Daniel Barajas"/>
    <x v="33"/>
    <x v="0"/>
    <x v="2"/>
    <x v="197"/>
    <x v="59"/>
    <x v="160"/>
    <x v="2"/>
    <x v="0"/>
    <n v="130452.41"/>
    <x v="2"/>
    <x v="8"/>
  </r>
  <r>
    <x v="198"/>
    <s v="Benjamin Walter"/>
    <x v="83"/>
    <x v="1"/>
    <x v="2"/>
    <x v="198"/>
    <x v="156"/>
    <x v="161"/>
    <x v="6"/>
    <x v="2"/>
    <n v="351665.17"/>
    <x v="1"/>
    <x v="12"/>
  </r>
  <r>
    <x v="199"/>
    <s v="Zachary Goodman"/>
    <x v="84"/>
    <x v="0"/>
    <x v="5"/>
    <x v="199"/>
    <x v="130"/>
    <x v="162"/>
    <x v="1"/>
    <x v="4"/>
    <n v="410307.92"/>
    <x v="0"/>
    <x v="14"/>
  </r>
  <r>
    <x v="200"/>
    <s v="Stephanie Rivas"/>
    <x v="20"/>
    <x v="1"/>
    <x v="1"/>
    <x v="200"/>
    <x v="157"/>
    <x v="118"/>
    <x v="7"/>
    <x v="4"/>
    <n v="387516.79"/>
    <x v="0"/>
    <x v="5"/>
  </r>
  <r>
    <x v="201"/>
    <s v="Austin Watson"/>
    <x v="85"/>
    <x v="0"/>
    <x v="2"/>
    <x v="201"/>
    <x v="22"/>
    <x v="54"/>
    <x v="0"/>
    <x v="4"/>
    <n v="498490.29"/>
    <x v="0"/>
    <x v="8"/>
  </r>
  <r>
    <x v="202"/>
    <s v="James Morris"/>
    <x v="86"/>
    <x v="0"/>
    <x v="3"/>
    <x v="202"/>
    <x v="158"/>
    <x v="163"/>
    <x v="7"/>
    <x v="5"/>
    <n v="369213.02"/>
    <x v="1"/>
    <x v="1"/>
  </r>
  <r>
    <x v="203"/>
    <s v="Steve Curtis"/>
    <x v="64"/>
    <x v="0"/>
    <x v="1"/>
    <x v="203"/>
    <x v="159"/>
    <x v="92"/>
    <x v="1"/>
    <x v="2"/>
    <n v="204875.88"/>
    <x v="1"/>
    <x v="1"/>
  </r>
  <r>
    <x v="204"/>
    <s v="Jonathan Moss"/>
    <x v="38"/>
    <x v="0"/>
    <x v="5"/>
    <x v="204"/>
    <x v="160"/>
    <x v="164"/>
    <x v="0"/>
    <x v="3"/>
    <n v="363009.55"/>
    <x v="2"/>
    <x v="5"/>
  </r>
  <r>
    <x v="205"/>
    <s v="Taylor Mckee"/>
    <x v="54"/>
    <x v="0"/>
    <x v="1"/>
    <x v="205"/>
    <x v="161"/>
    <x v="165"/>
    <x v="5"/>
    <x v="5"/>
    <n v="22251.03"/>
    <x v="0"/>
    <x v="0"/>
  </r>
  <r>
    <x v="206"/>
    <s v="Rhonda Lopez"/>
    <x v="70"/>
    <x v="0"/>
    <x v="6"/>
    <x v="206"/>
    <x v="108"/>
    <x v="166"/>
    <x v="4"/>
    <x v="1"/>
    <n v="224240.06"/>
    <x v="0"/>
    <x v="7"/>
  </r>
  <r>
    <x v="207"/>
    <s v="James Rogers"/>
    <x v="65"/>
    <x v="1"/>
    <x v="5"/>
    <x v="207"/>
    <x v="162"/>
    <x v="139"/>
    <x v="0"/>
    <x v="1"/>
    <n v="462194.76"/>
    <x v="0"/>
    <x v="3"/>
  </r>
  <r>
    <x v="208"/>
    <s v="Michael Perez"/>
    <x v="71"/>
    <x v="0"/>
    <x v="6"/>
    <x v="208"/>
    <x v="79"/>
    <x v="46"/>
    <x v="6"/>
    <x v="2"/>
    <n v="349791.61"/>
    <x v="2"/>
    <x v="1"/>
  </r>
  <r>
    <x v="209"/>
    <s v="David Rodriguez"/>
    <x v="31"/>
    <x v="0"/>
    <x v="0"/>
    <x v="209"/>
    <x v="163"/>
    <x v="25"/>
    <x v="6"/>
    <x v="1"/>
    <n v="18819.509999999998"/>
    <x v="1"/>
    <x v="5"/>
  </r>
  <r>
    <x v="210"/>
    <s v="Ryan Flores"/>
    <x v="24"/>
    <x v="0"/>
    <x v="2"/>
    <x v="210"/>
    <x v="113"/>
    <x v="4"/>
    <x v="4"/>
    <x v="4"/>
    <n v="433666.86"/>
    <x v="0"/>
    <x v="11"/>
  </r>
  <r>
    <x v="211"/>
    <s v="Rachel Lynch"/>
    <x v="48"/>
    <x v="0"/>
    <x v="5"/>
    <x v="211"/>
    <x v="164"/>
    <x v="167"/>
    <x v="3"/>
    <x v="5"/>
    <n v="105631.55"/>
    <x v="0"/>
    <x v="14"/>
  </r>
  <r>
    <x v="212"/>
    <s v="Carol Gilmore"/>
    <x v="74"/>
    <x v="1"/>
    <x v="4"/>
    <x v="212"/>
    <x v="157"/>
    <x v="168"/>
    <x v="3"/>
    <x v="5"/>
    <n v="101851.7"/>
    <x v="0"/>
    <x v="8"/>
  </r>
  <r>
    <x v="213"/>
    <s v="Mariah Mendez"/>
    <x v="17"/>
    <x v="1"/>
    <x v="2"/>
    <x v="213"/>
    <x v="165"/>
    <x v="169"/>
    <x v="5"/>
    <x v="2"/>
    <n v="90141.94"/>
    <x v="1"/>
    <x v="6"/>
  </r>
  <r>
    <x v="214"/>
    <s v="Rebecca Vazquez"/>
    <x v="59"/>
    <x v="0"/>
    <x v="3"/>
    <x v="214"/>
    <x v="166"/>
    <x v="81"/>
    <x v="3"/>
    <x v="1"/>
    <n v="101238.88"/>
    <x v="0"/>
    <x v="3"/>
  </r>
  <r>
    <x v="215"/>
    <s v="Joseph Sosa"/>
    <x v="77"/>
    <x v="0"/>
    <x v="2"/>
    <x v="215"/>
    <x v="167"/>
    <x v="94"/>
    <x v="3"/>
    <x v="0"/>
    <n v="385966.35"/>
    <x v="0"/>
    <x v="2"/>
  </r>
  <r>
    <x v="216"/>
    <s v="Hayley Miles"/>
    <x v="76"/>
    <x v="1"/>
    <x v="2"/>
    <x v="216"/>
    <x v="168"/>
    <x v="134"/>
    <x v="6"/>
    <x v="4"/>
    <n v="63171.08"/>
    <x v="2"/>
    <x v="2"/>
  </r>
  <r>
    <x v="217"/>
    <s v="Mr. Taylor Ortiz"/>
    <x v="30"/>
    <x v="0"/>
    <x v="0"/>
    <x v="217"/>
    <x v="26"/>
    <x v="170"/>
    <x v="2"/>
    <x v="0"/>
    <n v="332765.61"/>
    <x v="2"/>
    <x v="8"/>
  </r>
  <r>
    <x v="218"/>
    <s v="Ashley Parks"/>
    <x v="87"/>
    <x v="1"/>
    <x v="1"/>
    <x v="218"/>
    <x v="60"/>
    <x v="81"/>
    <x v="1"/>
    <x v="1"/>
    <n v="102609.66"/>
    <x v="1"/>
    <x v="4"/>
  </r>
  <r>
    <x v="219"/>
    <s v="Eric Barrera"/>
    <x v="34"/>
    <x v="1"/>
    <x v="6"/>
    <x v="219"/>
    <x v="118"/>
    <x v="171"/>
    <x v="9"/>
    <x v="0"/>
    <n v="34640.79"/>
    <x v="0"/>
    <x v="6"/>
  </r>
  <r>
    <x v="220"/>
    <s v="Sandra Gross"/>
    <x v="3"/>
    <x v="1"/>
    <x v="3"/>
    <x v="220"/>
    <x v="169"/>
    <x v="172"/>
    <x v="1"/>
    <x v="2"/>
    <n v="215260.79999999999"/>
    <x v="1"/>
    <x v="9"/>
  </r>
  <r>
    <x v="221"/>
    <s v="Tyler Mcdonald"/>
    <x v="48"/>
    <x v="1"/>
    <x v="2"/>
    <x v="221"/>
    <x v="133"/>
    <x v="141"/>
    <x v="0"/>
    <x v="5"/>
    <n v="29066.63"/>
    <x v="0"/>
    <x v="3"/>
  </r>
  <r>
    <x v="222"/>
    <s v="Michael Dennis"/>
    <x v="67"/>
    <x v="0"/>
    <x v="6"/>
    <x v="222"/>
    <x v="30"/>
    <x v="173"/>
    <x v="4"/>
    <x v="4"/>
    <n v="364109.86"/>
    <x v="2"/>
    <x v="4"/>
  </r>
  <r>
    <x v="223"/>
    <s v="Ronald Meyer"/>
    <x v="28"/>
    <x v="0"/>
    <x v="1"/>
    <x v="223"/>
    <x v="170"/>
    <x v="79"/>
    <x v="1"/>
    <x v="3"/>
    <n v="267998.53000000003"/>
    <x v="1"/>
    <x v="4"/>
  </r>
  <r>
    <x v="224"/>
    <s v="Travis Fields"/>
    <x v="52"/>
    <x v="0"/>
    <x v="2"/>
    <x v="224"/>
    <x v="171"/>
    <x v="42"/>
    <x v="6"/>
    <x v="5"/>
    <n v="164400.87"/>
    <x v="1"/>
    <x v="11"/>
  </r>
  <r>
    <x v="225"/>
    <s v="Brenda Anthony"/>
    <x v="66"/>
    <x v="0"/>
    <x v="6"/>
    <x v="225"/>
    <x v="172"/>
    <x v="174"/>
    <x v="5"/>
    <x v="5"/>
    <n v="330125.68"/>
    <x v="0"/>
    <x v="8"/>
  </r>
  <r>
    <x v="226"/>
    <s v="Jennifer Campbell"/>
    <x v="16"/>
    <x v="1"/>
    <x v="2"/>
    <x v="226"/>
    <x v="88"/>
    <x v="171"/>
    <x v="8"/>
    <x v="0"/>
    <n v="235957.52"/>
    <x v="1"/>
    <x v="9"/>
  </r>
  <r>
    <x v="227"/>
    <s v="Katherine Tran"/>
    <x v="43"/>
    <x v="0"/>
    <x v="4"/>
    <x v="227"/>
    <x v="161"/>
    <x v="175"/>
    <x v="9"/>
    <x v="2"/>
    <n v="423191.06"/>
    <x v="2"/>
    <x v="1"/>
  </r>
  <r>
    <x v="228"/>
    <s v="William Armstrong"/>
    <x v="16"/>
    <x v="0"/>
    <x v="6"/>
    <x v="228"/>
    <x v="173"/>
    <x v="146"/>
    <x v="2"/>
    <x v="3"/>
    <n v="97266.78"/>
    <x v="1"/>
    <x v="3"/>
  </r>
  <r>
    <x v="229"/>
    <s v="Albert Reyes"/>
    <x v="9"/>
    <x v="1"/>
    <x v="2"/>
    <x v="229"/>
    <x v="174"/>
    <x v="176"/>
    <x v="7"/>
    <x v="0"/>
    <n v="245722.7"/>
    <x v="0"/>
    <x v="9"/>
  </r>
  <r>
    <x v="230"/>
    <s v="Melanie Perry"/>
    <x v="4"/>
    <x v="1"/>
    <x v="1"/>
    <x v="230"/>
    <x v="175"/>
    <x v="177"/>
    <x v="6"/>
    <x v="5"/>
    <n v="388474.42"/>
    <x v="1"/>
    <x v="14"/>
  </r>
  <r>
    <x v="231"/>
    <s v="Susan Thomas"/>
    <x v="12"/>
    <x v="1"/>
    <x v="0"/>
    <x v="231"/>
    <x v="176"/>
    <x v="178"/>
    <x v="0"/>
    <x v="3"/>
    <n v="168449.95"/>
    <x v="1"/>
    <x v="5"/>
  </r>
  <r>
    <x v="232"/>
    <s v="Sandra Black"/>
    <x v="53"/>
    <x v="1"/>
    <x v="6"/>
    <x v="232"/>
    <x v="177"/>
    <x v="179"/>
    <x v="7"/>
    <x v="2"/>
    <n v="341442.32"/>
    <x v="2"/>
    <x v="7"/>
  </r>
  <r>
    <x v="233"/>
    <s v="Deanna Martin"/>
    <x v="81"/>
    <x v="1"/>
    <x v="1"/>
    <x v="233"/>
    <x v="133"/>
    <x v="180"/>
    <x v="2"/>
    <x v="4"/>
    <n v="6041.36"/>
    <x v="1"/>
    <x v="9"/>
  </r>
  <r>
    <x v="234"/>
    <s v="Leslie Santos"/>
    <x v="58"/>
    <x v="1"/>
    <x v="5"/>
    <x v="234"/>
    <x v="118"/>
    <x v="103"/>
    <x v="8"/>
    <x v="2"/>
    <n v="416274.86"/>
    <x v="0"/>
    <x v="5"/>
  </r>
  <r>
    <x v="235"/>
    <s v="Lisa Pierce"/>
    <x v="51"/>
    <x v="0"/>
    <x v="4"/>
    <x v="235"/>
    <x v="77"/>
    <x v="125"/>
    <x v="4"/>
    <x v="1"/>
    <n v="209953.35"/>
    <x v="2"/>
    <x v="9"/>
  </r>
  <r>
    <x v="236"/>
    <s v="Samantha Rodriguez"/>
    <x v="29"/>
    <x v="1"/>
    <x v="3"/>
    <x v="236"/>
    <x v="178"/>
    <x v="181"/>
    <x v="2"/>
    <x v="0"/>
    <n v="141154.41"/>
    <x v="1"/>
    <x v="12"/>
  </r>
  <r>
    <x v="237"/>
    <s v="Steven Mays"/>
    <x v="82"/>
    <x v="1"/>
    <x v="5"/>
    <x v="237"/>
    <x v="37"/>
    <x v="182"/>
    <x v="8"/>
    <x v="0"/>
    <n v="296161.78999999998"/>
    <x v="0"/>
    <x v="9"/>
  </r>
  <r>
    <x v="238"/>
    <s v="Dustin Jones"/>
    <x v="35"/>
    <x v="0"/>
    <x v="0"/>
    <x v="238"/>
    <x v="124"/>
    <x v="72"/>
    <x v="4"/>
    <x v="0"/>
    <n v="133766.38"/>
    <x v="2"/>
    <x v="5"/>
  </r>
  <r>
    <x v="239"/>
    <s v="Shawn Ryan"/>
    <x v="32"/>
    <x v="1"/>
    <x v="3"/>
    <x v="239"/>
    <x v="179"/>
    <x v="156"/>
    <x v="7"/>
    <x v="3"/>
    <n v="221321.31"/>
    <x v="0"/>
    <x v="11"/>
  </r>
  <r>
    <x v="240"/>
    <s v="Dr. Angela Mcguire"/>
    <x v="38"/>
    <x v="0"/>
    <x v="2"/>
    <x v="240"/>
    <x v="180"/>
    <x v="157"/>
    <x v="0"/>
    <x v="4"/>
    <n v="231025.29"/>
    <x v="2"/>
    <x v="2"/>
  </r>
  <r>
    <x v="241"/>
    <s v="Seth Wood"/>
    <x v="57"/>
    <x v="0"/>
    <x v="3"/>
    <x v="241"/>
    <x v="181"/>
    <x v="183"/>
    <x v="7"/>
    <x v="4"/>
    <n v="374143.37"/>
    <x v="0"/>
    <x v="1"/>
  </r>
  <r>
    <x v="242"/>
    <s v="Caleb Jacobson"/>
    <x v="0"/>
    <x v="0"/>
    <x v="4"/>
    <x v="242"/>
    <x v="14"/>
    <x v="134"/>
    <x v="7"/>
    <x v="3"/>
    <n v="478638.82"/>
    <x v="0"/>
    <x v="0"/>
  </r>
  <r>
    <x v="243"/>
    <s v="Kimberly Mitchell"/>
    <x v="47"/>
    <x v="0"/>
    <x v="5"/>
    <x v="243"/>
    <x v="182"/>
    <x v="95"/>
    <x v="0"/>
    <x v="3"/>
    <n v="97553.98"/>
    <x v="0"/>
    <x v="8"/>
  </r>
  <r>
    <x v="244"/>
    <s v="Judy Mcdonald"/>
    <x v="68"/>
    <x v="1"/>
    <x v="4"/>
    <x v="244"/>
    <x v="183"/>
    <x v="120"/>
    <x v="4"/>
    <x v="5"/>
    <n v="434233.33"/>
    <x v="0"/>
    <x v="9"/>
  </r>
  <r>
    <x v="245"/>
    <s v="Clayton Parsons"/>
    <x v="44"/>
    <x v="0"/>
    <x v="5"/>
    <x v="245"/>
    <x v="184"/>
    <x v="184"/>
    <x v="9"/>
    <x v="5"/>
    <n v="31123.48"/>
    <x v="2"/>
    <x v="8"/>
  </r>
  <r>
    <x v="246"/>
    <s v="Kendra Mitchell"/>
    <x v="74"/>
    <x v="1"/>
    <x v="4"/>
    <x v="246"/>
    <x v="134"/>
    <x v="185"/>
    <x v="8"/>
    <x v="1"/>
    <n v="469726.51"/>
    <x v="1"/>
    <x v="13"/>
  </r>
  <r>
    <x v="247"/>
    <s v="John Vazquez"/>
    <x v="6"/>
    <x v="1"/>
    <x v="2"/>
    <x v="247"/>
    <x v="6"/>
    <x v="79"/>
    <x v="2"/>
    <x v="0"/>
    <n v="72857.460000000006"/>
    <x v="1"/>
    <x v="8"/>
  </r>
  <r>
    <x v="248"/>
    <s v="Sheila Young"/>
    <x v="4"/>
    <x v="1"/>
    <x v="1"/>
    <x v="248"/>
    <x v="13"/>
    <x v="106"/>
    <x v="1"/>
    <x v="0"/>
    <n v="424125.57"/>
    <x v="2"/>
    <x v="0"/>
  </r>
  <r>
    <x v="249"/>
    <s v="Wesley Williams"/>
    <x v="19"/>
    <x v="1"/>
    <x v="0"/>
    <x v="249"/>
    <x v="128"/>
    <x v="186"/>
    <x v="2"/>
    <x v="3"/>
    <n v="239303.07"/>
    <x v="1"/>
    <x v="4"/>
  </r>
  <r>
    <x v="250"/>
    <s v="Charles Andersen"/>
    <x v="76"/>
    <x v="0"/>
    <x v="3"/>
    <x v="250"/>
    <x v="185"/>
    <x v="103"/>
    <x v="5"/>
    <x v="0"/>
    <n v="351315.08"/>
    <x v="0"/>
    <x v="7"/>
  </r>
  <r>
    <x v="251"/>
    <s v="Taylor Rivera"/>
    <x v="43"/>
    <x v="1"/>
    <x v="5"/>
    <x v="251"/>
    <x v="174"/>
    <x v="13"/>
    <x v="5"/>
    <x v="1"/>
    <n v="386213.4"/>
    <x v="1"/>
    <x v="0"/>
  </r>
  <r>
    <x v="252"/>
    <s v="Amy Farrell"/>
    <x v="75"/>
    <x v="1"/>
    <x v="2"/>
    <x v="252"/>
    <x v="184"/>
    <x v="49"/>
    <x v="4"/>
    <x v="4"/>
    <n v="496664.09"/>
    <x v="1"/>
    <x v="7"/>
  </r>
  <r>
    <x v="253"/>
    <s v="Cory Moore"/>
    <x v="26"/>
    <x v="1"/>
    <x v="6"/>
    <x v="253"/>
    <x v="136"/>
    <x v="187"/>
    <x v="2"/>
    <x v="3"/>
    <n v="458777.31"/>
    <x v="1"/>
    <x v="3"/>
  </r>
  <r>
    <x v="254"/>
    <s v="Robert Acevedo"/>
    <x v="12"/>
    <x v="1"/>
    <x v="0"/>
    <x v="254"/>
    <x v="105"/>
    <x v="188"/>
    <x v="4"/>
    <x v="5"/>
    <n v="289156.58"/>
    <x v="0"/>
    <x v="13"/>
  </r>
  <r>
    <x v="255"/>
    <s v="Amber Adams"/>
    <x v="61"/>
    <x v="0"/>
    <x v="1"/>
    <x v="255"/>
    <x v="54"/>
    <x v="189"/>
    <x v="4"/>
    <x v="1"/>
    <n v="453366.59"/>
    <x v="1"/>
    <x v="4"/>
  </r>
  <r>
    <x v="256"/>
    <s v="Hannah Cohen"/>
    <x v="79"/>
    <x v="1"/>
    <x v="3"/>
    <x v="256"/>
    <x v="186"/>
    <x v="190"/>
    <x v="9"/>
    <x v="4"/>
    <n v="298933.71999999997"/>
    <x v="0"/>
    <x v="14"/>
  </r>
  <r>
    <x v="257"/>
    <s v="Meghan Garcia"/>
    <x v="33"/>
    <x v="1"/>
    <x v="6"/>
    <x v="257"/>
    <x v="10"/>
    <x v="191"/>
    <x v="9"/>
    <x v="2"/>
    <n v="50287.74"/>
    <x v="2"/>
    <x v="0"/>
  </r>
  <r>
    <x v="258"/>
    <s v="Anthony Burns"/>
    <x v="60"/>
    <x v="0"/>
    <x v="0"/>
    <x v="258"/>
    <x v="48"/>
    <x v="107"/>
    <x v="2"/>
    <x v="1"/>
    <n v="243899.75"/>
    <x v="0"/>
    <x v="1"/>
  </r>
  <r>
    <x v="259"/>
    <s v="Teresa Michael"/>
    <x v="79"/>
    <x v="1"/>
    <x v="1"/>
    <x v="259"/>
    <x v="0"/>
    <x v="185"/>
    <x v="3"/>
    <x v="1"/>
    <n v="132240.22"/>
    <x v="0"/>
    <x v="14"/>
  </r>
  <r>
    <x v="260"/>
    <s v="Kevin Garcia"/>
    <x v="21"/>
    <x v="1"/>
    <x v="5"/>
    <x v="260"/>
    <x v="16"/>
    <x v="160"/>
    <x v="8"/>
    <x v="5"/>
    <n v="238395.51"/>
    <x v="1"/>
    <x v="3"/>
  </r>
  <r>
    <x v="261"/>
    <s v="David Gonzalez"/>
    <x v="77"/>
    <x v="0"/>
    <x v="5"/>
    <x v="261"/>
    <x v="41"/>
    <x v="12"/>
    <x v="9"/>
    <x v="5"/>
    <n v="244087.92"/>
    <x v="1"/>
    <x v="5"/>
  </r>
  <r>
    <x v="262"/>
    <s v="Elizabeth Cisneros"/>
    <x v="50"/>
    <x v="1"/>
    <x v="2"/>
    <x v="262"/>
    <x v="187"/>
    <x v="192"/>
    <x v="2"/>
    <x v="3"/>
    <n v="316698.81"/>
    <x v="0"/>
    <x v="10"/>
  </r>
  <r>
    <x v="263"/>
    <s v="Colleen Barton"/>
    <x v="26"/>
    <x v="1"/>
    <x v="1"/>
    <x v="263"/>
    <x v="101"/>
    <x v="46"/>
    <x v="0"/>
    <x v="3"/>
    <n v="312277.06"/>
    <x v="0"/>
    <x v="12"/>
  </r>
  <r>
    <x v="264"/>
    <s v="Sarah James"/>
    <x v="61"/>
    <x v="0"/>
    <x v="0"/>
    <x v="264"/>
    <x v="188"/>
    <x v="193"/>
    <x v="3"/>
    <x v="1"/>
    <n v="380917.15"/>
    <x v="0"/>
    <x v="8"/>
  </r>
  <r>
    <x v="265"/>
    <s v="Sarah Smith"/>
    <x v="14"/>
    <x v="0"/>
    <x v="4"/>
    <x v="265"/>
    <x v="189"/>
    <x v="175"/>
    <x v="7"/>
    <x v="0"/>
    <n v="474981.25"/>
    <x v="2"/>
    <x v="12"/>
  </r>
  <r>
    <x v="266"/>
    <s v="Ricardo Moran"/>
    <x v="88"/>
    <x v="0"/>
    <x v="2"/>
    <x v="266"/>
    <x v="190"/>
    <x v="140"/>
    <x v="8"/>
    <x v="4"/>
    <n v="270932.13"/>
    <x v="2"/>
    <x v="14"/>
  </r>
  <r>
    <x v="267"/>
    <s v="Dylan Berg"/>
    <x v="27"/>
    <x v="0"/>
    <x v="0"/>
    <x v="267"/>
    <x v="191"/>
    <x v="73"/>
    <x v="3"/>
    <x v="4"/>
    <n v="288672.90000000002"/>
    <x v="1"/>
    <x v="5"/>
  </r>
  <r>
    <x v="268"/>
    <s v="Julie Russell"/>
    <x v="28"/>
    <x v="0"/>
    <x v="4"/>
    <x v="268"/>
    <x v="131"/>
    <x v="140"/>
    <x v="6"/>
    <x v="3"/>
    <n v="125638.86"/>
    <x v="2"/>
    <x v="0"/>
  </r>
  <r>
    <x v="269"/>
    <s v="Kyle Stout"/>
    <x v="54"/>
    <x v="0"/>
    <x v="2"/>
    <x v="269"/>
    <x v="88"/>
    <x v="3"/>
    <x v="0"/>
    <x v="1"/>
    <n v="461825.46"/>
    <x v="1"/>
    <x v="14"/>
  </r>
  <r>
    <x v="270"/>
    <s v="Allison Mitchell"/>
    <x v="65"/>
    <x v="1"/>
    <x v="6"/>
    <x v="270"/>
    <x v="192"/>
    <x v="47"/>
    <x v="2"/>
    <x v="5"/>
    <n v="44611.87"/>
    <x v="1"/>
    <x v="5"/>
  </r>
  <r>
    <x v="271"/>
    <s v="Angela Spencer"/>
    <x v="16"/>
    <x v="1"/>
    <x v="2"/>
    <x v="271"/>
    <x v="167"/>
    <x v="18"/>
    <x v="7"/>
    <x v="5"/>
    <n v="459128.29"/>
    <x v="1"/>
    <x v="1"/>
  </r>
  <r>
    <x v="272"/>
    <s v="Dana Price"/>
    <x v="0"/>
    <x v="0"/>
    <x v="5"/>
    <x v="272"/>
    <x v="193"/>
    <x v="194"/>
    <x v="2"/>
    <x v="0"/>
    <n v="348344.45"/>
    <x v="2"/>
    <x v="5"/>
  </r>
  <r>
    <x v="273"/>
    <s v="Samuel Rivas"/>
    <x v="5"/>
    <x v="0"/>
    <x v="1"/>
    <x v="273"/>
    <x v="110"/>
    <x v="195"/>
    <x v="7"/>
    <x v="4"/>
    <n v="388448.08"/>
    <x v="2"/>
    <x v="2"/>
  </r>
  <r>
    <x v="274"/>
    <s v="Jacqueline Church"/>
    <x v="44"/>
    <x v="1"/>
    <x v="0"/>
    <x v="274"/>
    <x v="194"/>
    <x v="88"/>
    <x v="7"/>
    <x v="4"/>
    <n v="15140.09"/>
    <x v="0"/>
    <x v="9"/>
  </r>
  <r>
    <x v="275"/>
    <s v="Bobby Gutierrez"/>
    <x v="32"/>
    <x v="1"/>
    <x v="4"/>
    <x v="275"/>
    <x v="195"/>
    <x v="43"/>
    <x v="4"/>
    <x v="0"/>
    <n v="26087.52"/>
    <x v="1"/>
    <x v="3"/>
  </r>
  <r>
    <x v="276"/>
    <s v="Erica Hurley"/>
    <x v="8"/>
    <x v="1"/>
    <x v="0"/>
    <x v="276"/>
    <x v="85"/>
    <x v="196"/>
    <x v="6"/>
    <x v="3"/>
    <n v="22716.49"/>
    <x v="1"/>
    <x v="0"/>
  </r>
  <r>
    <x v="277"/>
    <s v="Joshua Lee"/>
    <x v="75"/>
    <x v="1"/>
    <x v="0"/>
    <x v="277"/>
    <x v="196"/>
    <x v="99"/>
    <x v="8"/>
    <x v="1"/>
    <n v="359884.85"/>
    <x v="2"/>
    <x v="9"/>
  </r>
  <r>
    <x v="278"/>
    <s v="Joseph Brown"/>
    <x v="23"/>
    <x v="1"/>
    <x v="2"/>
    <x v="278"/>
    <x v="149"/>
    <x v="196"/>
    <x v="8"/>
    <x v="1"/>
    <n v="493436.08"/>
    <x v="0"/>
    <x v="10"/>
  </r>
  <r>
    <x v="279"/>
    <s v="Alan Kennedy"/>
    <x v="50"/>
    <x v="0"/>
    <x v="6"/>
    <x v="279"/>
    <x v="173"/>
    <x v="197"/>
    <x v="8"/>
    <x v="5"/>
    <n v="392446.12"/>
    <x v="1"/>
    <x v="1"/>
  </r>
  <r>
    <x v="280"/>
    <s v="Amy Ayala"/>
    <x v="25"/>
    <x v="1"/>
    <x v="1"/>
    <x v="280"/>
    <x v="15"/>
    <x v="198"/>
    <x v="1"/>
    <x v="5"/>
    <n v="221838.89"/>
    <x v="1"/>
    <x v="1"/>
  </r>
  <r>
    <x v="281"/>
    <s v="Jeremy Caldwell"/>
    <x v="35"/>
    <x v="1"/>
    <x v="6"/>
    <x v="281"/>
    <x v="197"/>
    <x v="15"/>
    <x v="0"/>
    <x v="4"/>
    <n v="31282.82"/>
    <x v="1"/>
    <x v="6"/>
  </r>
  <r>
    <x v="282"/>
    <s v="Joseph Curtis"/>
    <x v="34"/>
    <x v="0"/>
    <x v="2"/>
    <x v="282"/>
    <x v="198"/>
    <x v="199"/>
    <x v="3"/>
    <x v="5"/>
    <n v="80088.37"/>
    <x v="1"/>
    <x v="1"/>
  </r>
  <r>
    <x v="283"/>
    <s v="Hannah Fowler"/>
    <x v="57"/>
    <x v="0"/>
    <x v="3"/>
    <x v="283"/>
    <x v="199"/>
    <x v="66"/>
    <x v="7"/>
    <x v="0"/>
    <n v="407516.73"/>
    <x v="0"/>
    <x v="6"/>
  </r>
  <r>
    <x v="284"/>
    <s v="Scott Rose"/>
    <x v="43"/>
    <x v="1"/>
    <x v="4"/>
    <x v="284"/>
    <x v="200"/>
    <x v="101"/>
    <x v="3"/>
    <x v="5"/>
    <n v="310790.03000000003"/>
    <x v="0"/>
    <x v="6"/>
  </r>
  <r>
    <x v="285"/>
    <s v="Sarah Haas"/>
    <x v="8"/>
    <x v="1"/>
    <x v="3"/>
    <x v="285"/>
    <x v="51"/>
    <x v="200"/>
    <x v="6"/>
    <x v="2"/>
    <n v="435649.29"/>
    <x v="2"/>
    <x v="3"/>
  </r>
  <r>
    <x v="286"/>
    <s v="Jessica Jenkins"/>
    <x v="8"/>
    <x v="0"/>
    <x v="5"/>
    <x v="286"/>
    <x v="191"/>
    <x v="201"/>
    <x v="0"/>
    <x v="3"/>
    <n v="463756.54"/>
    <x v="2"/>
    <x v="8"/>
  </r>
  <r>
    <x v="287"/>
    <s v="Nicholas Giles"/>
    <x v="39"/>
    <x v="1"/>
    <x v="0"/>
    <x v="287"/>
    <x v="201"/>
    <x v="120"/>
    <x v="9"/>
    <x v="0"/>
    <n v="289474.62"/>
    <x v="1"/>
    <x v="4"/>
  </r>
  <r>
    <x v="288"/>
    <s v="Amanda Smith"/>
    <x v="16"/>
    <x v="1"/>
    <x v="3"/>
    <x v="288"/>
    <x v="79"/>
    <x v="202"/>
    <x v="0"/>
    <x v="1"/>
    <n v="314364.21999999997"/>
    <x v="2"/>
    <x v="5"/>
  </r>
  <r>
    <x v="289"/>
    <s v="Breanna Petty"/>
    <x v="25"/>
    <x v="1"/>
    <x v="6"/>
    <x v="289"/>
    <x v="64"/>
    <x v="100"/>
    <x v="1"/>
    <x v="1"/>
    <n v="230829.44"/>
    <x v="0"/>
    <x v="1"/>
  </r>
  <r>
    <x v="290"/>
    <s v="Lori Gibbs"/>
    <x v="43"/>
    <x v="0"/>
    <x v="0"/>
    <x v="290"/>
    <x v="202"/>
    <x v="84"/>
    <x v="0"/>
    <x v="4"/>
    <n v="361593.95"/>
    <x v="1"/>
    <x v="14"/>
  </r>
  <r>
    <x v="291"/>
    <s v="Cory Macias"/>
    <x v="87"/>
    <x v="1"/>
    <x v="1"/>
    <x v="291"/>
    <x v="174"/>
    <x v="86"/>
    <x v="7"/>
    <x v="5"/>
    <n v="348520.61"/>
    <x v="1"/>
    <x v="10"/>
  </r>
  <r>
    <x v="292"/>
    <s v="Erica Rivera"/>
    <x v="76"/>
    <x v="0"/>
    <x v="5"/>
    <x v="292"/>
    <x v="203"/>
    <x v="55"/>
    <x v="8"/>
    <x v="5"/>
    <n v="492171.52000000002"/>
    <x v="1"/>
    <x v="0"/>
  </r>
  <r>
    <x v="293"/>
    <s v="Michael Ashley"/>
    <x v="69"/>
    <x v="0"/>
    <x v="5"/>
    <x v="293"/>
    <x v="204"/>
    <x v="203"/>
    <x v="5"/>
    <x v="1"/>
    <n v="339650.31"/>
    <x v="2"/>
    <x v="3"/>
  </r>
  <r>
    <x v="294"/>
    <s v="Samuel Carlson"/>
    <x v="67"/>
    <x v="0"/>
    <x v="5"/>
    <x v="294"/>
    <x v="205"/>
    <x v="34"/>
    <x v="7"/>
    <x v="3"/>
    <n v="157704.24"/>
    <x v="1"/>
    <x v="1"/>
  </r>
  <r>
    <x v="295"/>
    <s v="Christopher Clarke"/>
    <x v="41"/>
    <x v="0"/>
    <x v="4"/>
    <x v="295"/>
    <x v="51"/>
    <x v="139"/>
    <x v="0"/>
    <x v="3"/>
    <n v="437372.42"/>
    <x v="2"/>
    <x v="8"/>
  </r>
  <r>
    <x v="296"/>
    <s v="Debra Sanders"/>
    <x v="57"/>
    <x v="1"/>
    <x v="0"/>
    <x v="296"/>
    <x v="206"/>
    <x v="204"/>
    <x v="1"/>
    <x v="5"/>
    <n v="366073.59999999998"/>
    <x v="1"/>
    <x v="4"/>
  </r>
  <r>
    <x v="297"/>
    <s v="Dr. Shelly Ramirez"/>
    <x v="29"/>
    <x v="1"/>
    <x v="5"/>
    <x v="297"/>
    <x v="178"/>
    <x v="205"/>
    <x v="3"/>
    <x v="1"/>
    <n v="283817.73"/>
    <x v="1"/>
    <x v="1"/>
  </r>
  <r>
    <x v="298"/>
    <s v="James Brown"/>
    <x v="36"/>
    <x v="1"/>
    <x v="3"/>
    <x v="298"/>
    <x v="207"/>
    <x v="39"/>
    <x v="5"/>
    <x v="5"/>
    <n v="275769.46000000002"/>
    <x v="0"/>
    <x v="1"/>
  </r>
  <r>
    <x v="299"/>
    <s v="Brandi Carlson"/>
    <x v="53"/>
    <x v="0"/>
    <x v="5"/>
    <x v="299"/>
    <x v="208"/>
    <x v="90"/>
    <x v="0"/>
    <x v="1"/>
    <n v="17843.990000000002"/>
    <x v="0"/>
    <x v="6"/>
  </r>
  <r>
    <x v="300"/>
    <s v="Tammie Weeks"/>
    <x v="38"/>
    <x v="0"/>
    <x v="0"/>
    <x v="300"/>
    <x v="96"/>
    <x v="73"/>
    <x v="5"/>
    <x v="4"/>
    <n v="410002.56"/>
    <x v="1"/>
    <x v="6"/>
  </r>
  <r>
    <x v="301"/>
    <s v="Jonathan Berry"/>
    <x v="53"/>
    <x v="1"/>
    <x v="0"/>
    <x v="301"/>
    <x v="209"/>
    <x v="101"/>
    <x v="3"/>
    <x v="3"/>
    <n v="319051.08"/>
    <x v="2"/>
    <x v="1"/>
  </r>
  <r>
    <x v="302"/>
    <s v="Amanda Khan"/>
    <x v="14"/>
    <x v="0"/>
    <x v="3"/>
    <x v="302"/>
    <x v="143"/>
    <x v="110"/>
    <x v="0"/>
    <x v="4"/>
    <n v="55850.879999999997"/>
    <x v="1"/>
    <x v="9"/>
  </r>
  <r>
    <x v="303"/>
    <s v="Michelle Payne"/>
    <x v="83"/>
    <x v="1"/>
    <x v="6"/>
    <x v="303"/>
    <x v="164"/>
    <x v="97"/>
    <x v="0"/>
    <x v="2"/>
    <n v="483244.94"/>
    <x v="1"/>
    <x v="3"/>
  </r>
  <r>
    <x v="304"/>
    <s v="Joshua Mills"/>
    <x v="5"/>
    <x v="1"/>
    <x v="1"/>
    <x v="304"/>
    <x v="164"/>
    <x v="133"/>
    <x v="0"/>
    <x v="3"/>
    <n v="470925.57"/>
    <x v="0"/>
    <x v="13"/>
  </r>
  <r>
    <x v="305"/>
    <s v="Jennifer Bush"/>
    <x v="13"/>
    <x v="0"/>
    <x v="0"/>
    <x v="305"/>
    <x v="210"/>
    <x v="206"/>
    <x v="7"/>
    <x v="5"/>
    <n v="461172.92"/>
    <x v="0"/>
    <x v="14"/>
  </r>
  <r>
    <x v="306"/>
    <s v="Joshua Liu"/>
    <x v="20"/>
    <x v="0"/>
    <x v="3"/>
    <x v="306"/>
    <x v="202"/>
    <x v="94"/>
    <x v="1"/>
    <x v="1"/>
    <n v="496363.23"/>
    <x v="1"/>
    <x v="3"/>
  </r>
  <r>
    <x v="307"/>
    <s v="Andrew Crawford"/>
    <x v="38"/>
    <x v="0"/>
    <x v="5"/>
    <x v="307"/>
    <x v="211"/>
    <x v="207"/>
    <x v="7"/>
    <x v="4"/>
    <n v="459996.42"/>
    <x v="1"/>
    <x v="4"/>
  </r>
  <r>
    <x v="308"/>
    <s v="Alyssa Williams"/>
    <x v="40"/>
    <x v="1"/>
    <x v="5"/>
    <x v="308"/>
    <x v="186"/>
    <x v="202"/>
    <x v="3"/>
    <x v="4"/>
    <n v="404769.69"/>
    <x v="2"/>
    <x v="0"/>
  </r>
  <r>
    <x v="309"/>
    <s v="James Fields"/>
    <x v="86"/>
    <x v="1"/>
    <x v="1"/>
    <x v="309"/>
    <x v="212"/>
    <x v="138"/>
    <x v="1"/>
    <x v="1"/>
    <n v="137572.68"/>
    <x v="2"/>
    <x v="13"/>
  </r>
  <r>
    <x v="310"/>
    <s v="Tiffany Gibson"/>
    <x v="52"/>
    <x v="1"/>
    <x v="5"/>
    <x v="310"/>
    <x v="213"/>
    <x v="151"/>
    <x v="2"/>
    <x v="3"/>
    <n v="293847.78000000003"/>
    <x v="0"/>
    <x v="1"/>
  </r>
  <r>
    <x v="311"/>
    <s v="Brett Moore"/>
    <x v="45"/>
    <x v="1"/>
    <x v="6"/>
    <x v="311"/>
    <x v="214"/>
    <x v="124"/>
    <x v="9"/>
    <x v="0"/>
    <n v="154778.5"/>
    <x v="1"/>
    <x v="3"/>
  </r>
  <r>
    <x v="312"/>
    <s v="Anna Rush"/>
    <x v="31"/>
    <x v="0"/>
    <x v="1"/>
    <x v="312"/>
    <x v="213"/>
    <x v="27"/>
    <x v="7"/>
    <x v="3"/>
    <n v="382063.98"/>
    <x v="0"/>
    <x v="12"/>
  </r>
  <r>
    <x v="313"/>
    <s v="Laura Jones"/>
    <x v="46"/>
    <x v="1"/>
    <x v="5"/>
    <x v="313"/>
    <x v="9"/>
    <x v="208"/>
    <x v="7"/>
    <x v="1"/>
    <n v="386514.62"/>
    <x v="0"/>
    <x v="13"/>
  </r>
  <r>
    <x v="314"/>
    <s v="Shelby Green"/>
    <x v="76"/>
    <x v="1"/>
    <x v="4"/>
    <x v="314"/>
    <x v="215"/>
    <x v="203"/>
    <x v="5"/>
    <x v="3"/>
    <n v="431704.86"/>
    <x v="0"/>
    <x v="7"/>
  </r>
  <r>
    <x v="315"/>
    <s v="Patrick Armstrong"/>
    <x v="56"/>
    <x v="1"/>
    <x v="2"/>
    <x v="315"/>
    <x v="52"/>
    <x v="71"/>
    <x v="3"/>
    <x v="2"/>
    <n v="174028.75"/>
    <x v="1"/>
    <x v="1"/>
  </r>
  <r>
    <x v="316"/>
    <s v="Jamie Schaefer"/>
    <x v="43"/>
    <x v="0"/>
    <x v="2"/>
    <x v="316"/>
    <x v="216"/>
    <x v="177"/>
    <x v="3"/>
    <x v="2"/>
    <n v="189612.91"/>
    <x v="0"/>
    <x v="3"/>
  </r>
  <r>
    <x v="317"/>
    <s v="Kimberly Huerta MD"/>
    <x v="20"/>
    <x v="0"/>
    <x v="1"/>
    <x v="317"/>
    <x v="217"/>
    <x v="107"/>
    <x v="7"/>
    <x v="3"/>
    <n v="56791.51"/>
    <x v="1"/>
    <x v="3"/>
  </r>
  <r>
    <x v="318"/>
    <s v="Bradley Barnett"/>
    <x v="70"/>
    <x v="0"/>
    <x v="1"/>
    <x v="318"/>
    <x v="218"/>
    <x v="209"/>
    <x v="4"/>
    <x v="3"/>
    <n v="275443.38"/>
    <x v="0"/>
    <x v="14"/>
  </r>
  <r>
    <x v="319"/>
    <s v="Ellen Dominguez"/>
    <x v="64"/>
    <x v="0"/>
    <x v="5"/>
    <x v="319"/>
    <x v="146"/>
    <x v="210"/>
    <x v="2"/>
    <x v="2"/>
    <n v="282106.74"/>
    <x v="1"/>
    <x v="14"/>
  </r>
  <r>
    <x v="320"/>
    <s v="Alexandra Williams"/>
    <x v="82"/>
    <x v="0"/>
    <x v="2"/>
    <x v="320"/>
    <x v="219"/>
    <x v="157"/>
    <x v="7"/>
    <x v="5"/>
    <n v="43836"/>
    <x v="2"/>
    <x v="7"/>
  </r>
  <r>
    <x v="321"/>
    <s v="Maria Green"/>
    <x v="63"/>
    <x v="1"/>
    <x v="2"/>
    <x v="321"/>
    <x v="220"/>
    <x v="211"/>
    <x v="4"/>
    <x v="5"/>
    <n v="230331.73"/>
    <x v="2"/>
    <x v="1"/>
  </r>
  <r>
    <x v="322"/>
    <s v="Nancy Willis"/>
    <x v="33"/>
    <x v="0"/>
    <x v="2"/>
    <x v="322"/>
    <x v="0"/>
    <x v="138"/>
    <x v="3"/>
    <x v="4"/>
    <n v="378778.21"/>
    <x v="1"/>
    <x v="6"/>
  </r>
  <r>
    <x v="323"/>
    <s v="Heather Hill"/>
    <x v="64"/>
    <x v="0"/>
    <x v="6"/>
    <x v="323"/>
    <x v="221"/>
    <x v="212"/>
    <x v="3"/>
    <x v="2"/>
    <n v="327990.95"/>
    <x v="1"/>
    <x v="10"/>
  </r>
  <r>
    <x v="324"/>
    <s v="Kimberly Weber"/>
    <x v="80"/>
    <x v="0"/>
    <x v="0"/>
    <x v="324"/>
    <x v="222"/>
    <x v="206"/>
    <x v="6"/>
    <x v="4"/>
    <n v="131317.54999999999"/>
    <x v="1"/>
    <x v="12"/>
  </r>
  <r>
    <x v="325"/>
    <s v="Dana Franco"/>
    <x v="3"/>
    <x v="1"/>
    <x v="3"/>
    <x v="325"/>
    <x v="223"/>
    <x v="60"/>
    <x v="2"/>
    <x v="3"/>
    <n v="465651.27"/>
    <x v="2"/>
    <x v="5"/>
  </r>
  <r>
    <x v="326"/>
    <s v="William Mcdonald"/>
    <x v="80"/>
    <x v="1"/>
    <x v="4"/>
    <x v="326"/>
    <x v="214"/>
    <x v="213"/>
    <x v="9"/>
    <x v="0"/>
    <n v="236016.78"/>
    <x v="1"/>
    <x v="10"/>
  </r>
  <r>
    <x v="327"/>
    <s v="Geoffrey Vance"/>
    <x v="37"/>
    <x v="1"/>
    <x v="2"/>
    <x v="327"/>
    <x v="189"/>
    <x v="214"/>
    <x v="7"/>
    <x v="2"/>
    <n v="355542.21"/>
    <x v="1"/>
    <x v="13"/>
  </r>
  <r>
    <x v="328"/>
    <s v="Jennifer Mckay"/>
    <x v="1"/>
    <x v="1"/>
    <x v="0"/>
    <x v="328"/>
    <x v="110"/>
    <x v="215"/>
    <x v="5"/>
    <x v="0"/>
    <n v="42430.06"/>
    <x v="1"/>
    <x v="8"/>
  </r>
  <r>
    <x v="329"/>
    <s v="Jason Turner"/>
    <x v="78"/>
    <x v="1"/>
    <x v="5"/>
    <x v="329"/>
    <x v="224"/>
    <x v="116"/>
    <x v="7"/>
    <x v="3"/>
    <n v="499979.28"/>
    <x v="1"/>
    <x v="4"/>
  </r>
  <r>
    <x v="330"/>
    <s v="Megan Roy"/>
    <x v="18"/>
    <x v="1"/>
    <x v="2"/>
    <x v="330"/>
    <x v="77"/>
    <x v="216"/>
    <x v="1"/>
    <x v="3"/>
    <n v="297193.84000000003"/>
    <x v="1"/>
    <x v="7"/>
  </r>
  <r>
    <x v="331"/>
    <s v="Phillip Mcdonald"/>
    <x v="37"/>
    <x v="1"/>
    <x v="3"/>
    <x v="331"/>
    <x v="225"/>
    <x v="141"/>
    <x v="3"/>
    <x v="4"/>
    <n v="71696.14"/>
    <x v="2"/>
    <x v="14"/>
  </r>
  <r>
    <x v="332"/>
    <s v="Ashley Davis"/>
    <x v="16"/>
    <x v="1"/>
    <x v="2"/>
    <x v="332"/>
    <x v="226"/>
    <x v="9"/>
    <x v="9"/>
    <x v="5"/>
    <n v="180142.15"/>
    <x v="1"/>
    <x v="2"/>
  </r>
  <r>
    <x v="333"/>
    <s v="Michelle Buchanan MD"/>
    <x v="23"/>
    <x v="1"/>
    <x v="1"/>
    <x v="333"/>
    <x v="49"/>
    <x v="217"/>
    <x v="5"/>
    <x v="1"/>
    <n v="393176.87"/>
    <x v="1"/>
    <x v="13"/>
  </r>
  <r>
    <x v="334"/>
    <s v="Shelley Robertson"/>
    <x v="47"/>
    <x v="0"/>
    <x v="3"/>
    <x v="334"/>
    <x v="227"/>
    <x v="218"/>
    <x v="1"/>
    <x v="4"/>
    <n v="234795.14"/>
    <x v="2"/>
    <x v="3"/>
  </r>
  <r>
    <x v="335"/>
    <s v="Angela Davis"/>
    <x v="87"/>
    <x v="0"/>
    <x v="2"/>
    <x v="335"/>
    <x v="228"/>
    <x v="219"/>
    <x v="1"/>
    <x v="0"/>
    <n v="233183.76"/>
    <x v="0"/>
    <x v="14"/>
  </r>
  <r>
    <x v="336"/>
    <s v="Brian Owen"/>
    <x v="7"/>
    <x v="0"/>
    <x v="4"/>
    <x v="336"/>
    <x v="144"/>
    <x v="8"/>
    <x v="7"/>
    <x v="1"/>
    <n v="167170.47"/>
    <x v="2"/>
    <x v="7"/>
  </r>
  <r>
    <x v="337"/>
    <s v="Rachel Boyd"/>
    <x v="1"/>
    <x v="1"/>
    <x v="6"/>
    <x v="337"/>
    <x v="50"/>
    <x v="160"/>
    <x v="1"/>
    <x v="4"/>
    <n v="299917.15000000002"/>
    <x v="2"/>
    <x v="11"/>
  </r>
  <r>
    <x v="338"/>
    <s v="Diana Ford"/>
    <x v="15"/>
    <x v="1"/>
    <x v="4"/>
    <x v="338"/>
    <x v="70"/>
    <x v="220"/>
    <x v="1"/>
    <x v="4"/>
    <n v="480593.75"/>
    <x v="1"/>
    <x v="10"/>
  </r>
  <r>
    <x v="339"/>
    <s v="Matthew Reynolds"/>
    <x v="41"/>
    <x v="0"/>
    <x v="0"/>
    <x v="339"/>
    <x v="11"/>
    <x v="221"/>
    <x v="9"/>
    <x v="0"/>
    <n v="318977.13"/>
    <x v="2"/>
    <x v="0"/>
  </r>
  <r>
    <x v="340"/>
    <s v="Jennifer Long"/>
    <x v="1"/>
    <x v="0"/>
    <x v="2"/>
    <x v="340"/>
    <x v="180"/>
    <x v="76"/>
    <x v="5"/>
    <x v="2"/>
    <n v="429983.05"/>
    <x v="1"/>
    <x v="11"/>
  </r>
  <r>
    <x v="341"/>
    <s v="Nina Lamb MD"/>
    <x v="38"/>
    <x v="1"/>
    <x v="4"/>
    <x v="341"/>
    <x v="8"/>
    <x v="177"/>
    <x v="1"/>
    <x v="2"/>
    <n v="266014.59000000003"/>
    <x v="2"/>
    <x v="5"/>
  </r>
  <r>
    <x v="342"/>
    <s v="Christopher Shea"/>
    <x v="13"/>
    <x v="0"/>
    <x v="5"/>
    <x v="342"/>
    <x v="146"/>
    <x v="144"/>
    <x v="9"/>
    <x v="1"/>
    <n v="415006.31"/>
    <x v="1"/>
    <x v="12"/>
  </r>
  <r>
    <x v="343"/>
    <s v="Michelle Boyd"/>
    <x v="25"/>
    <x v="1"/>
    <x v="6"/>
    <x v="343"/>
    <x v="31"/>
    <x v="222"/>
    <x v="2"/>
    <x v="0"/>
    <n v="210278.7"/>
    <x v="1"/>
    <x v="0"/>
  </r>
  <r>
    <x v="344"/>
    <s v="Monica Dorsey"/>
    <x v="30"/>
    <x v="1"/>
    <x v="4"/>
    <x v="344"/>
    <x v="183"/>
    <x v="165"/>
    <x v="1"/>
    <x v="0"/>
    <n v="412657.39"/>
    <x v="2"/>
    <x v="14"/>
  </r>
  <r>
    <x v="345"/>
    <s v="Mark Mckinney"/>
    <x v="16"/>
    <x v="0"/>
    <x v="5"/>
    <x v="345"/>
    <x v="229"/>
    <x v="85"/>
    <x v="3"/>
    <x v="4"/>
    <n v="309490.18"/>
    <x v="1"/>
    <x v="11"/>
  </r>
  <r>
    <x v="346"/>
    <s v="Angel Case"/>
    <x v="79"/>
    <x v="0"/>
    <x v="0"/>
    <x v="346"/>
    <x v="230"/>
    <x v="75"/>
    <x v="3"/>
    <x v="2"/>
    <n v="70616.17"/>
    <x v="0"/>
    <x v="5"/>
  </r>
  <r>
    <x v="347"/>
    <s v="Jennifer Hampton"/>
    <x v="13"/>
    <x v="1"/>
    <x v="0"/>
    <x v="347"/>
    <x v="193"/>
    <x v="223"/>
    <x v="4"/>
    <x v="1"/>
    <n v="488170.15"/>
    <x v="0"/>
    <x v="8"/>
  </r>
  <r>
    <x v="348"/>
    <s v="Jason Gallegos"/>
    <x v="4"/>
    <x v="1"/>
    <x v="4"/>
    <x v="348"/>
    <x v="231"/>
    <x v="224"/>
    <x v="0"/>
    <x v="4"/>
    <n v="158609.49"/>
    <x v="2"/>
    <x v="9"/>
  </r>
  <r>
    <x v="349"/>
    <s v="Douglas Smith"/>
    <x v="72"/>
    <x v="0"/>
    <x v="4"/>
    <x v="349"/>
    <x v="145"/>
    <x v="225"/>
    <x v="1"/>
    <x v="2"/>
    <n v="195271.09"/>
    <x v="2"/>
    <x v="3"/>
  </r>
  <r>
    <x v="350"/>
    <s v="Susan Greer"/>
    <x v="54"/>
    <x v="1"/>
    <x v="3"/>
    <x v="350"/>
    <x v="211"/>
    <x v="148"/>
    <x v="5"/>
    <x v="2"/>
    <n v="486152.4"/>
    <x v="1"/>
    <x v="2"/>
  </r>
  <r>
    <x v="351"/>
    <s v="Larry Stephenson"/>
    <x v="53"/>
    <x v="1"/>
    <x v="0"/>
    <x v="351"/>
    <x v="135"/>
    <x v="49"/>
    <x v="5"/>
    <x v="3"/>
    <n v="63425.06"/>
    <x v="2"/>
    <x v="3"/>
  </r>
  <r>
    <x v="352"/>
    <s v="Jasmine Williams"/>
    <x v="48"/>
    <x v="1"/>
    <x v="0"/>
    <x v="352"/>
    <x v="232"/>
    <x v="47"/>
    <x v="8"/>
    <x v="3"/>
    <n v="184287.98"/>
    <x v="1"/>
    <x v="0"/>
  </r>
  <r>
    <x v="353"/>
    <s v="Rebecca Aguirre"/>
    <x v="19"/>
    <x v="0"/>
    <x v="6"/>
    <x v="353"/>
    <x v="134"/>
    <x v="226"/>
    <x v="2"/>
    <x v="4"/>
    <n v="350778.51"/>
    <x v="2"/>
    <x v="5"/>
  </r>
  <r>
    <x v="354"/>
    <s v="Vanessa Holland"/>
    <x v="47"/>
    <x v="1"/>
    <x v="5"/>
    <x v="354"/>
    <x v="153"/>
    <x v="161"/>
    <x v="4"/>
    <x v="2"/>
    <n v="145829.29999999999"/>
    <x v="0"/>
    <x v="4"/>
  </r>
  <r>
    <x v="355"/>
    <s v="William Buck"/>
    <x v="23"/>
    <x v="1"/>
    <x v="6"/>
    <x v="355"/>
    <x v="154"/>
    <x v="227"/>
    <x v="3"/>
    <x v="3"/>
    <n v="54764.12"/>
    <x v="1"/>
    <x v="12"/>
  </r>
  <r>
    <x v="356"/>
    <s v="Larry Avery"/>
    <x v="28"/>
    <x v="0"/>
    <x v="1"/>
    <x v="356"/>
    <x v="233"/>
    <x v="33"/>
    <x v="1"/>
    <x v="1"/>
    <n v="30259.19"/>
    <x v="2"/>
    <x v="11"/>
  </r>
  <r>
    <x v="357"/>
    <s v="Joanne Hamilton"/>
    <x v="38"/>
    <x v="1"/>
    <x v="0"/>
    <x v="357"/>
    <x v="234"/>
    <x v="63"/>
    <x v="7"/>
    <x v="0"/>
    <n v="293485.24"/>
    <x v="0"/>
    <x v="10"/>
  </r>
  <r>
    <x v="358"/>
    <s v="Veronica Vasquez MD"/>
    <x v="76"/>
    <x v="0"/>
    <x v="5"/>
    <x v="358"/>
    <x v="198"/>
    <x v="160"/>
    <x v="6"/>
    <x v="3"/>
    <n v="463356.39"/>
    <x v="0"/>
    <x v="14"/>
  </r>
  <r>
    <x v="359"/>
    <s v="Carolyn Miller"/>
    <x v="88"/>
    <x v="1"/>
    <x v="4"/>
    <x v="359"/>
    <x v="228"/>
    <x v="108"/>
    <x v="7"/>
    <x v="1"/>
    <n v="462882.72"/>
    <x v="1"/>
    <x v="12"/>
  </r>
  <r>
    <x v="360"/>
    <s v="Jennifer Heath"/>
    <x v="51"/>
    <x v="0"/>
    <x v="2"/>
    <x v="360"/>
    <x v="156"/>
    <x v="27"/>
    <x v="6"/>
    <x v="0"/>
    <n v="252942.26"/>
    <x v="2"/>
    <x v="0"/>
  </r>
  <r>
    <x v="361"/>
    <s v="Jason Gross"/>
    <x v="54"/>
    <x v="1"/>
    <x v="2"/>
    <x v="361"/>
    <x v="235"/>
    <x v="72"/>
    <x v="2"/>
    <x v="0"/>
    <n v="95194.76"/>
    <x v="1"/>
    <x v="6"/>
  </r>
  <r>
    <x v="362"/>
    <s v="Charles Foster"/>
    <x v="14"/>
    <x v="0"/>
    <x v="5"/>
    <x v="362"/>
    <x v="168"/>
    <x v="127"/>
    <x v="7"/>
    <x v="2"/>
    <n v="379439.86"/>
    <x v="2"/>
    <x v="5"/>
  </r>
  <r>
    <x v="363"/>
    <s v="James Salazar"/>
    <x v="49"/>
    <x v="1"/>
    <x v="0"/>
    <x v="363"/>
    <x v="236"/>
    <x v="33"/>
    <x v="6"/>
    <x v="5"/>
    <n v="107985.88"/>
    <x v="0"/>
    <x v="8"/>
  </r>
  <r>
    <x v="364"/>
    <s v="Alan Lawrence"/>
    <x v="32"/>
    <x v="0"/>
    <x v="2"/>
    <x v="364"/>
    <x v="122"/>
    <x v="191"/>
    <x v="4"/>
    <x v="2"/>
    <n v="11871.68"/>
    <x v="2"/>
    <x v="14"/>
  </r>
  <r>
    <x v="365"/>
    <s v="Michael Banks"/>
    <x v="48"/>
    <x v="1"/>
    <x v="2"/>
    <x v="365"/>
    <x v="188"/>
    <x v="228"/>
    <x v="5"/>
    <x v="0"/>
    <n v="125503.5"/>
    <x v="1"/>
    <x v="12"/>
  </r>
  <r>
    <x v="366"/>
    <s v="Cynthia Jones"/>
    <x v="61"/>
    <x v="1"/>
    <x v="2"/>
    <x v="366"/>
    <x v="178"/>
    <x v="229"/>
    <x v="5"/>
    <x v="0"/>
    <n v="386288.04"/>
    <x v="0"/>
    <x v="2"/>
  </r>
  <r>
    <x v="367"/>
    <s v="Rebecca Rose DVM"/>
    <x v="61"/>
    <x v="0"/>
    <x v="1"/>
    <x v="367"/>
    <x v="237"/>
    <x v="230"/>
    <x v="5"/>
    <x v="0"/>
    <n v="301131.65999999997"/>
    <x v="1"/>
    <x v="6"/>
  </r>
  <r>
    <x v="368"/>
    <s v="Brian Leonard"/>
    <x v="48"/>
    <x v="0"/>
    <x v="2"/>
    <x v="368"/>
    <x v="238"/>
    <x v="68"/>
    <x v="1"/>
    <x v="1"/>
    <n v="240861.71"/>
    <x v="0"/>
    <x v="14"/>
  </r>
  <r>
    <x v="369"/>
    <s v="Mark Christensen"/>
    <x v="9"/>
    <x v="1"/>
    <x v="1"/>
    <x v="369"/>
    <x v="239"/>
    <x v="228"/>
    <x v="5"/>
    <x v="3"/>
    <n v="437149.09"/>
    <x v="0"/>
    <x v="6"/>
  </r>
  <r>
    <x v="370"/>
    <s v="Joseph Briggs"/>
    <x v="53"/>
    <x v="0"/>
    <x v="4"/>
    <x v="370"/>
    <x v="240"/>
    <x v="203"/>
    <x v="5"/>
    <x v="2"/>
    <n v="464317.64"/>
    <x v="0"/>
    <x v="5"/>
  </r>
  <r>
    <x v="371"/>
    <s v="Tonya Nelson"/>
    <x v="66"/>
    <x v="0"/>
    <x v="6"/>
    <x v="319"/>
    <x v="60"/>
    <x v="231"/>
    <x v="2"/>
    <x v="1"/>
    <n v="151188.74"/>
    <x v="0"/>
    <x v="13"/>
  </r>
  <r>
    <x v="372"/>
    <s v="Craig Lara"/>
    <x v="65"/>
    <x v="0"/>
    <x v="3"/>
    <x v="371"/>
    <x v="241"/>
    <x v="76"/>
    <x v="5"/>
    <x v="3"/>
    <n v="142314.56"/>
    <x v="0"/>
    <x v="1"/>
  </r>
  <r>
    <x v="373"/>
    <s v="Sophia Luna"/>
    <x v="83"/>
    <x v="0"/>
    <x v="5"/>
    <x v="372"/>
    <x v="242"/>
    <x v="34"/>
    <x v="0"/>
    <x v="3"/>
    <n v="311541.59999999998"/>
    <x v="0"/>
    <x v="10"/>
  </r>
  <r>
    <x v="374"/>
    <s v="Kyle Williams"/>
    <x v="41"/>
    <x v="1"/>
    <x v="3"/>
    <x v="373"/>
    <x v="31"/>
    <x v="232"/>
    <x v="7"/>
    <x v="0"/>
    <n v="332307.52"/>
    <x v="2"/>
    <x v="7"/>
  </r>
  <r>
    <x v="375"/>
    <s v="Monica Adkins"/>
    <x v="56"/>
    <x v="0"/>
    <x v="4"/>
    <x v="374"/>
    <x v="243"/>
    <x v="143"/>
    <x v="0"/>
    <x v="1"/>
    <n v="27573.71"/>
    <x v="1"/>
    <x v="12"/>
  </r>
  <r>
    <x v="376"/>
    <s v="Justin Sanchez"/>
    <x v="27"/>
    <x v="1"/>
    <x v="6"/>
    <x v="375"/>
    <x v="182"/>
    <x v="110"/>
    <x v="4"/>
    <x v="5"/>
    <n v="194742.07"/>
    <x v="2"/>
    <x v="2"/>
  </r>
  <r>
    <x v="377"/>
    <s v="Terri Davis"/>
    <x v="55"/>
    <x v="0"/>
    <x v="3"/>
    <x v="376"/>
    <x v="219"/>
    <x v="233"/>
    <x v="6"/>
    <x v="5"/>
    <n v="109084.62"/>
    <x v="2"/>
    <x v="1"/>
  </r>
  <r>
    <x v="378"/>
    <s v="Stephanie Massey"/>
    <x v="13"/>
    <x v="1"/>
    <x v="2"/>
    <x v="377"/>
    <x v="184"/>
    <x v="234"/>
    <x v="8"/>
    <x v="3"/>
    <n v="41048.639999999999"/>
    <x v="1"/>
    <x v="5"/>
  </r>
  <r>
    <x v="379"/>
    <s v="Bridget Jones"/>
    <x v="65"/>
    <x v="0"/>
    <x v="6"/>
    <x v="378"/>
    <x v="93"/>
    <x v="103"/>
    <x v="0"/>
    <x v="2"/>
    <n v="82420.58"/>
    <x v="1"/>
    <x v="4"/>
  </r>
  <r>
    <x v="380"/>
    <s v="Ethan Baldwin"/>
    <x v="34"/>
    <x v="1"/>
    <x v="3"/>
    <x v="379"/>
    <x v="128"/>
    <x v="128"/>
    <x v="4"/>
    <x v="5"/>
    <n v="311088.40000000002"/>
    <x v="1"/>
    <x v="11"/>
  </r>
  <r>
    <x v="381"/>
    <s v="Kathryn Holland"/>
    <x v="83"/>
    <x v="1"/>
    <x v="1"/>
    <x v="380"/>
    <x v="12"/>
    <x v="235"/>
    <x v="7"/>
    <x v="0"/>
    <n v="390485.3"/>
    <x v="0"/>
    <x v="5"/>
  </r>
  <r>
    <x v="382"/>
    <s v="Teresa Banks"/>
    <x v="68"/>
    <x v="0"/>
    <x v="1"/>
    <x v="381"/>
    <x v="228"/>
    <x v="49"/>
    <x v="3"/>
    <x v="1"/>
    <n v="334356.74"/>
    <x v="1"/>
    <x v="13"/>
  </r>
  <r>
    <x v="383"/>
    <s v="Eric Joyce"/>
    <x v="54"/>
    <x v="1"/>
    <x v="0"/>
    <x v="382"/>
    <x v="244"/>
    <x v="229"/>
    <x v="1"/>
    <x v="1"/>
    <n v="314178.92"/>
    <x v="0"/>
    <x v="5"/>
  </r>
  <r>
    <x v="384"/>
    <s v="Sherri Levy"/>
    <x v="12"/>
    <x v="0"/>
    <x v="5"/>
    <x v="383"/>
    <x v="101"/>
    <x v="48"/>
    <x v="3"/>
    <x v="1"/>
    <n v="439052.73"/>
    <x v="1"/>
    <x v="1"/>
  </r>
  <r>
    <x v="385"/>
    <s v="Christopher Delacruz"/>
    <x v="51"/>
    <x v="0"/>
    <x v="0"/>
    <x v="384"/>
    <x v="124"/>
    <x v="236"/>
    <x v="2"/>
    <x v="2"/>
    <n v="103603.81"/>
    <x v="0"/>
    <x v="0"/>
  </r>
  <r>
    <x v="386"/>
    <s v="Dakota Romero"/>
    <x v="40"/>
    <x v="1"/>
    <x v="4"/>
    <x v="385"/>
    <x v="245"/>
    <x v="141"/>
    <x v="5"/>
    <x v="2"/>
    <n v="392148.53"/>
    <x v="2"/>
    <x v="11"/>
  </r>
  <r>
    <x v="387"/>
    <s v="Monica Hayes"/>
    <x v="52"/>
    <x v="0"/>
    <x v="5"/>
    <x v="386"/>
    <x v="18"/>
    <x v="19"/>
    <x v="4"/>
    <x v="5"/>
    <n v="82323.16"/>
    <x v="1"/>
    <x v="12"/>
  </r>
  <r>
    <x v="388"/>
    <s v="David Schultz"/>
    <x v="70"/>
    <x v="0"/>
    <x v="2"/>
    <x v="387"/>
    <x v="198"/>
    <x v="1"/>
    <x v="4"/>
    <x v="0"/>
    <n v="452617.1"/>
    <x v="0"/>
    <x v="8"/>
  </r>
  <r>
    <x v="389"/>
    <s v="Jocelyn Hensley"/>
    <x v="52"/>
    <x v="1"/>
    <x v="6"/>
    <x v="388"/>
    <x v="246"/>
    <x v="150"/>
    <x v="4"/>
    <x v="1"/>
    <n v="143222.47"/>
    <x v="0"/>
    <x v="2"/>
  </r>
  <r>
    <x v="390"/>
    <s v="Kristina Adams"/>
    <x v="24"/>
    <x v="0"/>
    <x v="6"/>
    <x v="389"/>
    <x v="205"/>
    <x v="237"/>
    <x v="1"/>
    <x v="4"/>
    <n v="17829.759999999998"/>
    <x v="1"/>
    <x v="7"/>
  </r>
  <r>
    <x v="391"/>
    <s v="Christopher Lawrence"/>
    <x v="49"/>
    <x v="1"/>
    <x v="4"/>
    <x v="390"/>
    <x v="219"/>
    <x v="78"/>
    <x v="8"/>
    <x v="5"/>
    <n v="495180.79"/>
    <x v="1"/>
    <x v="4"/>
  </r>
  <r>
    <x v="392"/>
    <s v="Elizabeth Bishop"/>
    <x v="13"/>
    <x v="0"/>
    <x v="1"/>
    <x v="391"/>
    <x v="247"/>
    <x v="119"/>
    <x v="3"/>
    <x v="4"/>
    <n v="404526.14"/>
    <x v="2"/>
    <x v="14"/>
  </r>
  <r>
    <x v="393"/>
    <s v="Tammy Haynes"/>
    <x v="70"/>
    <x v="1"/>
    <x v="6"/>
    <x v="392"/>
    <x v="248"/>
    <x v="66"/>
    <x v="1"/>
    <x v="4"/>
    <n v="254128.63"/>
    <x v="1"/>
    <x v="12"/>
  </r>
  <r>
    <x v="394"/>
    <s v="Kelsey Lloyd"/>
    <x v="7"/>
    <x v="1"/>
    <x v="0"/>
    <x v="393"/>
    <x v="68"/>
    <x v="214"/>
    <x v="4"/>
    <x v="5"/>
    <n v="35301.43"/>
    <x v="0"/>
    <x v="10"/>
  </r>
  <r>
    <x v="395"/>
    <s v="Paul Welch"/>
    <x v="33"/>
    <x v="1"/>
    <x v="2"/>
    <x v="394"/>
    <x v="52"/>
    <x v="238"/>
    <x v="5"/>
    <x v="4"/>
    <n v="171259.09"/>
    <x v="0"/>
    <x v="3"/>
  </r>
  <r>
    <x v="396"/>
    <s v="Mackenzie Cummings"/>
    <x v="27"/>
    <x v="0"/>
    <x v="2"/>
    <x v="395"/>
    <x v="249"/>
    <x v="29"/>
    <x v="3"/>
    <x v="5"/>
    <n v="255874"/>
    <x v="2"/>
    <x v="14"/>
  </r>
  <r>
    <x v="397"/>
    <s v="David Gutierrez"/>
    <x v="87"/>
    <x v="1"/>
    <x v="0"/>
    <x v="396"/>
    <x v="13"/>
    <x v="200"/>
    <x v="5"/>
    <x v="4"/>
    <n v="77081.31"/>
    <x v="2"/>
    <x v="10"/>
  </r>
  <r>
    <x v="398"/>
    <s v="Jessica Gonzales"/>
    <x v="36"/>
    <x v="1"/>
    <x v="1"/>
    <x v="397"/>
    <x v="250"/>
    <x v="239"/>
    <x v="9"/>
    <x v="2"/>
    <n v="380149.5"/>
    <x v="1"/>
    <x v="0"/>
  </r>
  <r>
    <x v="399"/>
    <s v="Jason Taylor"/>
    <x v="20"/>
    <x v="0"/>
    <x v="3"/>
    <x v="398"/>
    <x v="251"/>
    <x v="240"/>
    <x v="0"/>
    <x v="5"/>
    <n v="459868.29"/>
    <x v="1"/>
    <x v="11"/>
  </r>
  <r>
    <x v="400"/>
    <s v="Beth Hebert"/>
    <x v="79"/>
    <x v="0"/>
    <x v="3"/>
    <x v="399"/>
    <x v="248"/>
    <x v="241"/>
    <x v="0"/>
    <x v="3"/>
    <n v="309582.73"/>
    <x v="2"/>
    <x v="9"/>
  </r>
  <r>
    <x v="401"/>
    <s v="Nancy Vega"/>
    <x v="42"/>
    <x v="1"/>
    <x v="6"/>
    <x v="400"/>
    <x v="252"/>
    <x v="11"/>
    <x v="6"/>
    <x v="5"/>
    <n v="393474.96"/>
    <x v="2"/>
    <x v="2"/>
  </r>
  <r>
    <x v="402"/>
    <s v="Brandon Hall"/>
    <x v="3"/>
    <x v="0"/>
    <x v="2"/>
    <x v="401"/>
    <x v="253"/>
    <x v="242"/>
    <x v="0"/>
    <x v="4"/>
    <n v="455780.7"/>
    <x v="2"/>
    <x v="1"/>
  </r>
  <r>
    <x v="403"/>
    <s v="Marc Anderson"/>
    <x v="51"/>
    <x v="0"/>
    <x v="2"/>
    <x v="402"/>
    <x v="123"/>
    <x v="84"/>
    <x v="4"/>
    <x v="0"/>
    <n v="106693.94"/>
    <x v="0"/>
    <x v="13"/>
  </r>
  <r>
    <x v="404"/>
    <s v="Mary Sullivan"/>
    <x v="23"/>
    <x v="0"/>
    <x v="6"/>
    <x v="403"/>
    <x v="152"/>
    <x v="156"/>
    <x v="9"/>
    <x v="3"/>
    <n v="327567.07"/>
    <x v="1"/>
    <x v="10"/>
  </r>
  <r>
    <x v="405"/>
    <s v="Steven Cardenas"/>
    <x v="58"/>
    <x v="0"/>
    <x v="0"/>
    <x v="404"/>
    <x v="163"/>
    <x v="243"/>
    <x v="6"/>
    <x v="2"/>
    <n v="450267.01"/>
    <x v="2"/>
    <x v="6"/>
  </r>
  <r>
    <x v="406"/>
    <s v="Justin Smith"/>
    <x v="4"/>
    <x v="1"/>
    <x v="3"/>
    <x v="405"/>
    <x v="36"/>
    <x v="244"/>
    <x v="1"/>
    <x v="3"/>
    <n v="498970.08"/>
    <x v="1"/>
    <x v="1"/>
  </r>
  <r>
    <x v="407"/>
    <s v="Christopher Robertson"/>
    <x v="58"/>
    <x v="1"/>
    <x v="3"/>
    <x v="406"/>
    <x v="218"/>
    <x v="87"/>
    <x v="0"/>
    <x v="2"/>
    <n v="445663.89"/>
    <x v="0"/>
    <x v="10"/>
  </r>
  <r>
    <x v="408"/>
    <s v="Joanne Stevens"/>
    <x v="18"/>
    <x v="1"/>
    <x v="4"/>
    <x v="407"/>
    <x v="254"/>
    <x v="245"/>
    <x v="8"/>
    <x v="0"/>
    <n v="415016.58"/>
    <x v="0"/>
    <x v="1"/>
  </r>
  <r>
    <x v="409"/>
    <s v="Justin Hicks"/>
    <x v="25"/>
    <x v="0"/>
    <x v="2"/>
    <x v="408"/>
    <x v="255"/>
    <x v="164"/>
    <x v="4"/>
    <x v="3"/>
    <n v="254015.57"/>
    <x v="0"/>
    <x v="8"/>
  </r>
  <r>
    <x v="410"/>
    <s v="Patty Lee"/>
    <x v="43"/>
    <x v="0"/>
    <x v="3"/>
    <x v="409"/>
    <x v="256"/>
    <x v="246"/>
    <x v="8"/>
    <x v="5"/>
    <n v="229110.82"/>
    <x v="1"/>
    <x v="10"/>
  </r>
  <r>
    <x v="411"/>
    <s v="Ashley Vasquez"/>
    <x v="88"/>
    <x v="0"/>
    <x v="5"/>
    <x v="410"/>
    <x v="83"/>
    <x v="48"/>
    <x v="2"/>
    <x v="3"/>
    <n v="330595.78000000003"/>
    <x v="0"/>
    <x v="12"/>
  </r>
  <r>
    <x v="412"/>
    <s v="Evelyn Potts"/>
    <x v="23"/>
    <x v="0"/>
    <x v="2"/>
    <x v="411"/>
    <x v="80"/>
    <x v="134"/>
    <x v="7"/>
    <x v="3"/>
    <n v="450674"/>
    <x v="2"/>
    <x v="11"/>
  </r>
  <r>
    <x v="413"/>
    <s v="Christian Jenkins"/>
    <x v="58"/>
    <x v="1"/>
    <x v="4"/>
    <x v="412"/>
    <x v="257"/>
    <x v="217"/>
    <x v="0"/>
    <x v="3"/>
    <n v="227005.34"/>
    <x v="2"/>
    <x v="2"/>
  </r>
  <r>
    <x v="414"/>
    <s v="Dustin Russo"/>
    <x v="6"/>
    <x v="1"/>
    <x v="1"/>
    <x v="413"/>
    <x v="258"/>
    <x v="247"/>
    <x v="9"/>
    <x v="0"/>
    <n v="452747.38"/>
    <x v="1"/>
    <x v="2"/>
  </r>
  <r>
    <x v="415"/>
    <s v="Jason Alvarez"/>
    <x v="74"/>
    <x v="1"/>
    <x v="2"/>
    <x v="414"/>
    <x v="157"/>
    <x v="66"/>
    <x v="0"/>
    <x v="1"/>
    <n v="490711.7"/>
    <x v="1"/>
    <x v="2"/>
  </r>
  <r>
    <x v="416"/>
    <s v="Martin Rojas"/>
    <x v="63"/>
    <x v="0"/>
    <x v="2"/>
    <x v="415"/>
    <x v="184"/>
    <x v="23"/>
    <x v="4"/>
    <x v="0"/>
    <n v="395786.79"/>
    <x v="1"/>
    <x v="11"/>
  </r>
  <r>
    <x v="417"/>
    <s v="Jay Hernandez"/>
    <x v="56"/>
    <x v="0"/>
    <x v="5"/>
    <x v="416"/>
    <x v="158"/>
    <x v="248"/>
    <x v="7"/>
    <x v="1"/>
    <n v="479076.82"/>
    <x v="0"/>
    <x v="11"/>
  </r>
  <r>
    <x v="418"/>
    <s v="Travis Bishop"/>
    <x v="30"/>
    <x v="0"/>
    <x v="5"/>
    <x v="417"/>
    <x v="242"/>
    <x v="34"/>
    <x v="1"/>
    <x v="0"/>
    <n v="223750.86"/>
    <x v="2"/>
    <x v="10"/>
  </r>
  <r>
    <x v="419"/>
    <s v="Daniel Reynolds"/>
    <x v="79"/>
    <x v="0"/>
    <x v="4"/>
    <x v="418"/>
    <x v="58"/>
    <x v="249"/>
    <x v="9"/>
    <x v="1"/>
    <n v="307078.24"/>
    <x v="0"/>
    <x v="5"/>
  </r>
  <r>
    <x v="420"/>
    <s v="Mr. Adam Smith"/>
    <x v="4"/>
    <x v="0"/>
    <x v="5"/>
    <x v="419"/>
    <x v="229"/>
    <x v="189"/>
    <x v="7"/>
    <x v="1"/>
    <n v="324178.82"/>
    <x v="2"/>
    <x v="0"/>
  </r>
  <r>
    <x v="421"/>
    <s v="Regina Hayes"/>
    <x v="26"/>
    <x v="0"/>
    <x v="4"/>
    <x v="420"/>
    <x v="176"/>
    <x v="178"/>
    <x v="2"/>
    <x v="2"/>
    <n v="413720.86"/>
    <x v="1"/>
    <x v="5"/>
  </r>
  <r>
    <x v="422"/>
    <s v="Sandra Franklin"/>
    <x v="86"/>
    <x v="1"/>
    <x v="0"/>
    <x v="421"/>
    <x v="162"/>
    <x v="106"/>
    <x v="5"/>
    <x v="1"/>
    <n v="26158.240000000002"/>
    <x v="2"/>
    <x v="10"/>
  </r>
  <r>
    <x v="423"/>
    <s v="Timothy Tucker"/>
    <x v="81"/>
    <x v="0"/>
    <x v="4"/>
    <x v="422"/>
    <x v="247"/>
    <x v="47"/>
    <x v="0"/>
    <x v="1"/>
    <n v="110207.56"/>
    <x v="2"/>
    <x v="12"/>
  </r>
  <r>
    <x v="424"/>
    <s v="Teresa Rowland"/>
    <x v="45"/>
    <x v="0"/>
    <x v="3"/>
    <x v="423"/>
    <x v="156"/>
    <x v="250"/>
    <x v="6"/>
    <x v="1"/>
    <n v="374332.04"/>
    <x v="1"/>
    <x v="6"/>
  </r>
  <r>
    <x v="425"/>
    <s v="Karen Pham"/>
    <x v="71"/>
    <x v="1"/>
    <x v="0"/>
    <x v="424"/>
    <x v="63"/>
    <x v="141"/>
    <x v="6"/>
    <x v="1"/>
    <n v="451301.91"/>
    <x v="1"/>
    <x v="6"/>
  </r>
  <r>
    <x v="426"/>
    <s v="Steven Gonzales"/>
    <x v="65"/>
    <x v="1"/>
    <x v="3"/>
    <x v="425"/>
    <x v="111"/>
    <x v="55"/>
    <x v="3"/>
    <x v="4"/>
    <n v="498125.32"/>
    <x v="0"/>
    <x v="2"/>
  </r>
  <r>
    <x v="427"/>
    <s v="Katie Watkins"/>
    <x v="54"/>
    <x v="1"/>
    <x v="6"/>
    <x v="426"/>
    <x v="259"/>
    <x v="202"/>
    <x v="6"/>
    <x v="4"/>
    <n v="408026.7"/>
    <x v="2"/>
    <x v="14"/>
  </r>
  <r>
    <x v="428"/>
    <s v="Jeff Estrada MD"/>
    <x v="40"/>
    <x v="1"/>
    <x v="1"/>
    <x v="427"/>
    <x v="34"/>
    <x v="92"/>
    <x v="7"/>
    <x v="0"/>
    <n v="37959.919999999998"/>
    <x v="2"/>
    <x v="4"/>
  </r>
  <r>
    <x v="429"/>
    <s v="Amy Santos"/>
    <x v="51"/>
    <x v="1"/>
    <x v="4"/>
    <x v="428"/>
    <x v="232"/>
    <x v="22"/>
    <x v="3"/>
    <x v="0"/>
    <n v="497985.95"/>
    <x v="2"/>
    <x v="14"/>
  </r>
  <r>
    <x v="430"/>
    <s v="Mary Ramos"/>
    <x v="6"/>
    <x v="1"/>
    <x v="0"/>
    <x v="429"/>
    <x v="44"/>
    <x v="251"/>
    <x v="3"/>
    <x v="5"/>
    <n v="93959.84"/>
    <x v="0"/>
    <x v="4"/>
  </r>
  <r>
    <x v="431"/>
    <s v="Jerome Meyer"/>
    <x v="31"/>
    <x v="0"/>
    <x v="0"/>
    <x v="430"/>
    <x v="260"/>
    <x v="89"/>
    <x v="9"/>
    <x v="5"/>
    <n v="488868.22"/>
    <x v="2"/>
    <x v="7"/>
  </r>
  <r>
    <x v="432"/>
    <s v="Dalton Craig"/>
    <x v="39"/>
    <x v="0"/>
    <x v="5"/>
    <x v="431"/>
    <x v="48"/>
    <x v="20"/>
    <x v="6"/>
    <x v="2"/>
    <n v="300151.93"/>
    <x v="2"/>
    <x v="10"/>
  </r>
  <r>
    <x v="433"/>
    <s v="Michelle Delacruz"/>
    <x v="23"/>
    <x v="1"/>
    <x v="2"/>
    <x v="432"/>
    <x v="141"/>
    <x v="64"/>
    <x v="0"/>
    <x v="3"/>
    <n v="446926.67"/>
    <x v="1"/>
    <x v="10"/>
  </r>
  <r>
    <x v="434"/>
    <s v="Jerry Huff"/>
    <x v="49"/>
    <x v="1"/>
    <x v="6"/>
    <x v="433"/>
    <x v="261"/>
    <x v="137"/>
    <x v="9"/>
    <x v="2"/>
    <n v="318394.84999999998"/>
    <x v="0"/>
    <x v="1"/>
  </r>
  <r>
    <x v="435"/>
    <s v="Alicia Rivera"/>
    <x v="54"/>
    <x v="0"/>
    <x v="0"/>
    <x v="434"/>
    <x v="144"/>
    <x v="208"/>
    <x v="0"/>
    <x v="5"/>
    <n v="242933.33"/>
    <x v="2"/>
    <x v="5"/>
  </r>
  <r>
    <x v="436"/>
    <s v="Melissa Garcia"/>
    <x v="69"/>
    <x v="0"/>
    <x v="1"/>
    <x v="435"/>
    <x v="193"/>
    <x v="252"/>
    <x v="6"/>
    <x v="4"/>
    <n v="92300.18"/>
    <x v="0"/>
    <x v="0"/>
  </r>
  <r>
    <x v="437"/>
    <s v="Erica Cruz"/>
    <x v="48"/>
    <x v="1"/>
    <x v="4"/>
    <x v="436"/>
    <x v="262"/>
    <x v="253"/>
    <x v="4"/>
    <x v="0"/>
    <n v="245886.76"/>
    <x v="2"/>
    <x v="3"/>
  </r>
  <r>
    <x v="438"/>
    <s v="Cindy Stanley"/>
    <x v="2"/>
    <x v="1"/>
    <x v="0"/>
    <x v="437"/>
    <x v="1"/>
    <x v="99"/>
    <x v="5"/>
    <x v="2"/>
    <n v="385997.3"/>
    <x v="2"/>
    <x v="12"/>
  </r>
  <r>
    <x v="439"/>
    <s v="Linda Barron"/>
    <x v="30"/>
    <x v="0"/>
    <x v="6"/>
    <x v="438"/>
    <x v="263"/>
    <x v="85"/>
    <x v="9"/>
    <x v="1"/>
    <n v="33177.620000000003"/>
    <x v="1"/>
    <x v="3"/>
  </r>
  <r>
    <x v="440"/>
    <s v="Matthew Hull"/>
    <x v="46"/>
    <x v="1"/>
    <x v="5"/>
    <x v="439"/>
    <x v="36"/>
    <x v="254"/>
    <x v="5"/>
    <x v="4"/>
    <n v="134552.60999999999"/>
    <x v="2"/>
    <x v="5"/>
  </r>
  <r>
    <x v="441"/>
    <s v="Randy Estes"/>
    <x v="7"/>
    <x v="1"/>
    <x v="0"/>
    <x v="440"/>
    <x v="264"/>
    <x v="50"/>
    <x v="7"/>
    <x v="4"/>
    <n v="398504.17"/>
    <x v="0"/>
    <x v="4"/>
  </r>
  <r>
    <x v="442"/>
    <s v="Lisa Nelson"/>
    <x v="46"/>
    <x v="0"/>
    <x v="4"/>
    <x v="441"/>
    <x v="24"/>
    <x v="255"/>
    <x v="1"/>
    <x v="3"/>
    <n v="347001.1"/>
    <x v="2"/>
    <x v="9"/>
  </r>
  <r>
    <x v="443"/>
    <s v="Megan Barker"/>
    <x v="32"/>
    <x v="0"/>
    <x v="6"/>
    <x v="442"/>
    <x v="130"/>
    <x v="75"/>
    <x v="1"/>
    <x v="2"/>
    <n v="283752.65000000002"/>
    <x v="2"/>
    <x v="3"/>
  </r>
  <r>
    <x v="444"/>
    <s v="Carol Reyes"/>
    <x v="62"/>
    <x v="0"/>
    <x v="3"/>
    <x v="443"/>
    <x v="265"/>
    <x v="256"/>
    <x v="1"/>
    <x v="2"/>
    <n v="328245.74"/>
    <x v="0"/>
    <x v="6"/>
  </r>
  <r>
    <x v="445"/>
    <s v="Melissa Kane"/>
    <x v="52"/>
    <x v="0"/>
    <x v="5"/>
    <x v="444"/>
    <x v="266"/>
    <x v="138"/>
    <x v="9"/>
    <x v="4"/>
    <n v="192368.08"/>
    <x v="0"/>
    <x v="2"/>
  </r>
  <r>
    <x v="446"/>
    <s v="Heather Bryan"/>
    <x v="23"/>
    <x v="1"/>
    <x v="1"/>
    <x v="445"/>
    <x v="267"/>
    <x v="233"/>
    <x v="3"/>
    <x v="1"/>
    <n v="456845.62"/>
    <x v="0"/>
    <x v="11"/>
  </r>
  <r>
    <x v="447"/>
    <s v="Dawn Hubbard"/>
    <x v="25"/>
    <x v="1"/>
    <x v="0"/>
    <x v="446"/>
    <x v="240"/>
    <x v="216"/>
    <x v="3"/>
    <x v="1"/>
    <n v="150479.5"/>
    <x v="2"/>
    <x v="0"/>
  </r>
  <r>
    <x v="448"/>
    <s v="Dawn Rodriguez"/>
    <x v="8"/>
    <x v="1"/>
    <x v="3"/>
    <x v="447"/>
    <x v="222"/>
    <x v="67"/>
    <x v="8"/>
    <x v="1"/>
    <n v="367726.53"/>
    <x v="0"/>
    <x v="2"/>
  </r>
  <r>
    <x v="449"/>
    <s v="Maria Porter"/>
    <x v="42"/>
    <x v="1"/>
    <x v="3"/>
    <x v="448"/>
    <x v="181"/>
    <x v="61"/>
    <x v="0"/>
    <x v="4"/>
    <n v="458228.65"/>
    <x v="1"/>
    <x v="3"/>
  </r>
  <r>
    <x v="450"/>
    <s v="Sandra Brown"/>
    <x v="89"/>
    <x v="0"/>
    <x v="5"/>
    <x v="449"/>
    <x v="268"/>
    <x v="125"/>
    <x v="9"/>
    <x v="2"/>
    <n v="395877.17"/>
    <x v="0"/>
    <x v="12"/>
  </r>
  <r>
    <x v="451"/>
    <s v="Daniel Johnston"/>
    <x v="10"/>
    <x v="0"/>
    <x v="4"/>
    <x v="450"/>
    <x v="5"/>
    <x v="257"/>
    <x v="4"/>
    <x v="1"/>
    <n v="238342.36"/>
    <x v="2"/>
    <x v="3"/>
  </r>
  <r>
    <x v="452"/>
    <s v="Jessica Cox"/>
    <x v="69"/>
    <x v="1"/>
    <x v="4"/>
    <x v="451"/>
    <x v="269"/>
    <x v="201"/>
    <x v="7"/>
    <x v="4"/>
    <n v="149194.34"/>
    <x v="2"/>
    <x v="6"/>
  </r>
  <r>
    <x v="453"/>
    <s v="Michael Huynh"/>
    <x v="34"/>
    <x v="1"/>
    <x v="0"/>
    <x v="452"/>
    <x v="245"/>
    <x v="258"/>
    <x v="8"/>
    <x v="2"/>
    <n v="132460.12"/>
    <x v="0"/>
    <x v="12"/>
  </r>
  <r>
    <x v="454"/>
    <s v="Donald Gilbert"/>
    <x v="29"/>
    <x v="1"/>
    <x v="2"/>
    <x v="453"/>
    <x v="270"/>
    <x v="259"/>
    <x v="6"/>
    <x v="5"/>
    <n v="374534.02"/>
    <x v="0"/>
    <x v="6"/>
  </r>
  <r>
    <x v="455"/>
    <s v="Jared Tanner"/>
    <x v="56"/>
    <x v="1"/>
    <x v="5"/>
    <x v="454"/>
    <x v="76"/>
    <x v="228"/>
    <x v="9"/>
    <x v="5"/>
    <n v="485813.72"/>
    <x v="0"/>
    <x v="0"/>
  </r>
  <r>
    <x v="456"/>
    <s v="Gabrielle Reynolds"/>
    <x v="13"/>
    <x v="1"/>
    <x v="3"/>
    <x v="455"/>
    <x v="219"/>
    <x v="76"/>
    <x v="2"/>
    <x v="5"/>
    <n v="238054.22"/>
    <x v="2"/>
    <x v="0"/>
  </r>
  <r>
    <x v="457"/>
    <s v="James Garcia"/>
    <x v="57"/>
    <x v="1"/>
    <x v="5"/>
    <x v="456"/>
    <x v="123"/>
    <x v="40"/>
    <x v="8"/>
    <x v="3"/>
    <n v="426661.27"/>
    <x v="2"/>
    <x v="9"/>
  </r>
  <r>
    <x v="458"/>
    <s v="Curtis Davis"/>
    <x v="39"/>
    <x v="1"/>
    <x v="2"/>
    <x v="457"/>
    <x v="271"/>
    <x v="20"/>
    <x v="4"/>
    <x v="5"/>
    <n v="446673.94"/>
    <x v="2"/>
    <x v="14"/>
  </r>
  <r>
    <x v="459"/>
    <s v="Christopher Mitchell"/>
    <x v="65"/>
    <x v="1"/>
    <x v="2"/>
    <x v="458"/>
    <x v="49"/>
    <x v="260"/>
    <x v="0"/>
    <x v="1"/>
    <n v="188555.45"/>
    <x v="1"/>
    <x v="11"/>
  </r>
  <r>
    <x v="460"/>
    <s v="Jeffrey Anderson"/>
    <x v="74"/>
    <x v="0"/>
    <x v="2"/>
    <x v="459"/>
    <x v="242"/>
    <x v="152"/>
    <x v="9"/>
    <x v="4"/>
    <n v="382494.14"/>
    <x v="1"/>
    <x v="6"/>
  </r>
  <r>
    <x v="461"/>
    <s v="Jean Vargas"/>
    <x v="52"/>
    <x v="1"/>
    <x v="5"/>
    <x v="460"/>
    <x v="225"/>
    <x v="202"/>
    <x v="0"/>
    <x v="0"/>
    <n v="393502.77"/>
    <x v="2"/>
    <x v="13"/>
  </r>
  <r>
    <x v="462"/>
    <s v="Robin Bell"/>
    <x v="84"/>
    <x v="0"/>
    <x v="4"/>
    <x v="461"/>
    <x v="272"/>
    <x v="123"/>
    <x v="5"/>
    <x v="5"/>
    <n v="483914.93"/>
    <x v="1"/>
    <x v="6"/>
  </r>
  <r>
    <x v="463"/>
    <s v="Robin Levine"/>
    <x v="77"/>
    <x v="1"/>
    <x v="4"/>
    <x v="462"/>
    <x v="198"/>
    <x v="4"/>
    <x v="1"/>
    <x v="3"/>
    <n v="237117.16"/>
    <x v="1"/>
    <x v="3"/>
  </r>
  <r>
    <x v="464"/>
    <s v="Maria Miller"/>
    <x v="56"/>
    <x v="1"/>
    <x v="3"/>
    <x v="463"/>
    <x v="50"/>
    <x v="261"/>
    <x v="9"/>
    <x v="0"/>
    <n v="37775.699999999997"/>
    <x v="1"/>
    <x v="7"/>
  </r>
  <r>
    <x v="465"/>
    <s v="Brandon Parks"/>
    <x v="75"/>
    <x v="1"/>
    <x v="2"/>
    <x v="464"/>
    <x v="273"/>
    <x v="262"/>
    <x v="0"/>
    <x v="0"/>
    <n v="280610.28000000003"/>
    <x v="1"/>
    <x v="8"/>
  </r>
  <r>
    <x v="466"/>
    <s v="Alyssa Stewart"/>
    <x v="43"/>
    <x v="0"/>
    <x v="0"/>
    <x v="465"/>
    <x v="205"/>
    <x v="226"/>
    <x v="9"/>
    <x v="3"/>
    <n v="279840.57"/>
    <x v="0"/>
    <x v="2"/>
  </r>
  <r>
    <x v="467"/>
    <s v="Jesse Rivera"/>
    <x v="34"/>
    <x v="0"/>
    <x v="3"/>
    <x v="466"/>
    <x v="252"/>
    <x v="133"/>
    <x v="7"/>
    <x v="3"/>
    <n v="167367.92000000001"/>
    <x v="0"/>
    <x v="3"/>
  </r>
  <r>
    <x v="468"/>
    <s v="Courtney Bell"/>
    <x v="1"/>
    <x v="0"/>
    <x v="5"/>
    <x v="467"/>
    <x v="269"/>
    <x v="50"/>
    <x v="0"/>
    <x v="5"/>
    <n v="344051.25"/>
    <x v="1"/>
    <x v="5"/>
  </r>
  <r>
    <x v="469"/>
    <s v="Victoria Harding"/>
    <x v="1"/>
    <x v="1"/>
    <x v="4"/>
    <x v="468"/>
    <x v="127"/>
    <x v="263"/>
    <x v="2"/>
    <x v="0"/>
    <n v="144128.5"/>
    <x v="2"/>
    <x v="12"/>
  </r>
  <r>
    <x v="470"/>
    <s v="George Powell"/>
    <x v="72"/>
    <x v="1"/>
    <x v="1"/>
    <x v="469"/>
    <x v="61"/>
    <x v="226"/>
    <x v="2"/>
    <x v="5"/>
    <n v="94581.92"/>
    <x v="1"/>
    <x v="0"/>
  </r>
  <r>
    <x v="471"/>
    <s v="Olivia Anderson MD"/>
    <x v="54"/>
    <x v="0"/>
    <x v="2"/>
    <x v="470"/>
    <x v="148"/>
    <x v="261"/>
    <x v="7"/>
    <x v="5"/>
    <n v="406433.74"/>
    <x v="1"/>
    <x v="14"/>
  </r>
  <r>
    <x v="472"/>
    <s v="Barbara Griffith"/>
    <x v="56"/>
    <x v="1"/>
    <x v="1"/>
    <x v="471"/>
    <x v="159"/>
    <x v="28"/>
    <x v="6"/>
    <x v="2"/>
    <n v="10969.9"/>
    <x v="0"/>
    <x v="13"/>
  </r>
  <r>
    <x v="473"/>
    <s v="Belinda Barrera"/>
    <x v="21"/>
    <x v="1"/>
    <x v="1"/>
    <x v="472"/>
    <x v="274"/>
    <x v="118"/>
    <x v="3"/>
    <x v="0"/>
    <n v="474341.25"/>
    <x v="1"/>
    <x v="9"/>
  </r>
  <r>
    <x v="474"/>
    <s v="Benjamin Evans"/>
    <x v="55"/>
    <x v="0"/>
    <x v="2"/>
    <x v="473"/>
    <x v="275"/>
    <x v="172"/>
    <x v="8"/>
    <x v="4"/>
    <n v="280876.81"/>
    <x v="0"/>
    <x v="1"/>
  </r>
  <r>
    <x v="475"/>
    <s v="Ryan Price"/>
    <x v="76"/>
    <x v="0"/>
    <x v="1"/>
    <x v="474"/>
    <x v="276"/>
    <x v="118"/>
    <x v="2"/>
    <x v="5"/>
    <n v="24688.99"/>
    <x v="2"/>
    <x v="8"/>
  </r>
  <r>
    <x v="476"/>
    <s v="Robert Franklin"/>
    <x v="41"/>
    <x v="0"/>
    <x v="2"/>
    <x v="475"/>
    <x v="241"/>
    <x v="151"/>
    <x v="0"/>
    <x v="2"/>
    <n v="373128.5"/>
    <x v="2"/>
    <x v="8"/>
  </r>
  <r>
    <x v="477"/>
    <s v="Natalie Garza"/>
    <x v="66"/>
    <x v="1"/>
    <x v="1"/>
    <x v="476"/>
    <x v="180"/>
    <x v="76"/>
    <x v="6"/>
    <x v="5"/>
    <n v="339853.68"/>
    <x v="0"/>
    <x v="11"/>
  </r>
  <r>
    <x v="478"/>
    <s v="Robin Smith"/>
    <x v="57"/>
    <x v="0"/>
    <x v="6"/>
    <x v="477"/>
    <x v="14"/>
    <x v="264"/>
    <x v="4"/>
    <x v="3"/>
    <n v="231524.64"/>
    <x v="0"/>
    <x v="8"/>
  </r>
  <r>
    <x v="479"/>
    <s v="Michelle Padilla"/>
    <x v="88"/>
    <x v="1"/>
    <x v="0"/>
    <x v="478"/>
    <x v="277"/>
    <x v="89"/>
    <x v="3"/>
    <x v="0"/>
    <n v="250484.04"/>
    <x v="1"/>
    <x v="11"/>
  </r>
  <r>
    <x v="480"/>
    <s v="Linda Berger"/>
    <x v="34"/>
    <x v="1"/>
    <x v="4"/>
    <x v="479"/>
    <x v="217"/>
    <x v="107"/>
    <x v="9"/>
    <x v="2"/>
    <n v="414494.06"/>
    <x v="2"/>
    <x v="3"/>
  </r>
  <r>
    <x v="481"/>
    <s v="Debra Mays"/>
    <x v="69"/>
    <x v="0"/>
    <x v="5"/>
    <x v="480"/>
    <x v="278"/>
    <x v="265"/>
    <x v="5"/>
    <x v="0"/>
    <n v="485129.99"/>
    <x v="2"/>
    <x v="8"/>
  </r>
  <r>
    <x v="482"/>
    <s v="Caitlin Mathis"/>
    <x v="29"/>
    <x v="0"/>
    <x v="3"/>
    <x v="481"/>
    <x v="227"/>
    <x v="266"/>
    <x v="7"/>
    <x v="5"/>
    <n v="410303.76"/>
    <x v="0"/>
    <x v="13"/>
  </r>
  <r>
    <x v="483"/>
    <s v="James Berry"/>
    <x v="16"/>
    <x v="1"/>
    <x v="3"/>
    <x v="482"/>
    <x v="27"/>
    <x v="95"/>
    <x v="2"/>
    <x v="5"/>
    <n v="444238.9"/>
    <x v="0"/>
    <x v="12"/>
  </r>
  <r>
    <x v="484"/>
    <s v="Elizabeth Rodriguez"/>
    <x v="49"/>
    <x v="0"/>
    <x v="2"/>
    <x v="483"/>
    <x v="129"/>
    <x v="267"/>
    <x v="9"/>
    <x v="4"/>
    <n v="16310.47"/>
    <x v="2"/>
    <x v="3"/>
  </r>
  <r>
    <x v="485"/>
    <s v="Cynthia Duran"/>
    <x v="41"/>
    <x v="1"/>
    <x v="5"/>
    <x v="484"/>
    <x v="56"/>
    <x v="242"/>
    <x v="9"/>
    <x v="3"/>
    <n v="86792.42"/>
    <x v="0"/>
    <x v="2"/>
  </r>
  <r>
    <x v="486"/>
    <s v="Mary Potts"/>
    <x v="9"/>
    <x v="1"/>
    <x v="0"/>
    <x v="485"/>
    <x v="111"/>
    <x v="169"/>
    <x v="8"/>
    <x v="5"/>
    <n v="75271.039999999994"/>
    <x v="2"/>
    <x v="12"/>
  </r>
  <r>
    <x v="487"/>
    <s v="William Bradford MD"/>
    <x v="76"/>
    <x v="0"/>
    <x v="5"/>
    <x v="486"/>
    <x v="100"/>
    <x v="101"/>
    <x v="1"/>
    <x v="1"/>
    <n v="168193.94"/>
    <x v="1"/>
    <x v="4"/>
  </r>
  <r>
    <x v="488"/>
    <s v="Kenneth Baker"/>
    <x v="22"/>
    <x v="1"/>
    <x v="5"/>
    <x v="487"/>
    <x v="150"/>
    <x v="268"/>
    <x v="5"/>
    <x v="1"/>
    <n v="215795.57"/>
    <x v="0"/>
    <x v="5"/>
  </r>
  <r>
    <x v="489"/>
    <s v="Ryan Myers"/>
    <x v="41"/>
    <x v="1"/>
    <x v="5"/>
    <x v="488"/>
    <x v="9"/>
    <x v="269"/>
    <x v="5"/>
    <x v="5"/>
    <n v="437411.14"/>
    <x v="1"/>
    <x v="2"/>
  </r>
  <r>
    <x v="490"/>
    <s v="Carl Mccoy"/>
    <x v="69"/>
    <x v="1"/>
    <x v="4"/>
    <x v="489"/>
    <x v="279"/>
    <x v="22"/>
    <x v="4"/>
    <x v="0"/>
    <n v="183494.24"/>
    <x v="0"/>
    <x v="2"/>
  </r>
  <r>
    <x v="491"/>
    <s v="Lorraine Moreno"/>
    <x v="53"/>
    <x v="0"/>
    <x v="4"/>
    <x v="490"/>
    <x v="194"/>
    <x v="270"/>
    <x v="7"/>
    <x v="5"/>
    <n v="28326.06"/>
    <x v="0"/>
    <x v="5"/>
  </r>
  <r>
    <x v="492"/>
    <s v="Anthony Garza"/>
    <x v="14"/>
    <x v="0"/>
    <x v="0"/>
    <x v="491"/>
    <x v="215"/>
    <x v="99"/>
    <x v="6"/>
    <x v="1"/>
    <n v="150273.54"/>
    <x v="0"/>
    <x v="3"/>
  </r>
  <r>
    <x v="493"/>
    <s v="Dennis Taylor"/>
    <x v="4"/>
    <x v="1"/>
    <x v="5"/>
    <x v="492"/>
    <x v="18"/>
    <x v="271"/>
    <x v="2"/>
    <x v="0"/>
    <n v="392770.2"/>
    <x v="1"/>
    <x v="4"/>
  </r>
  <r>
    <x v="494"/>
    <s v="Alexander Hines"/>
    <x v="8"/>
    <x v="1"/>
    <x v="4"/>
    <x v="493"/>
    <x v="174"/>
    <x v="68"/>
    <x v="0"/>
    <x v="4"/>
    <n v="92961.279999999999"/>
    <x v="2"/>
    <x v="8"/>
  </r>
  <r>
    <x v="495"/>
    <s v="Laura Clark"/>
    <x v="13"/>
    <x v="1"/>
    <x v="2"/>
    <x v="494"/>
    <x v="89"/>
    <x v="92"/>
    <x v="7"/>
    <x v="0"/>
    <n v="368387.23"/>
    <x v="1"/>
    <x v="7"/>
  </r>
  <r>
    <x v="496"/>
    <s v="Shawn Williams"/>
    <x v="81"/>
    <x v="0"/>
    <x v="0"/>
    <x v="495"/>
    <x v="280"/>
    <x v="272"/>
    <x v="0"/>
    <x v="5"/>
    <n v="85291.67"/>
    <x v="2"/>
    <x v="10"/>
  </r>
  <r>
    <x v="497"/>
    <s v="Tamara House"/>
    <x v="2"/>
    <x v="1"/>
    <x v="0"/>
    <x v="496"/>
    <x v="130"/>
    <x v="80"/>
    <x v="3"/>
    <x v="0"/>
    <n v="422346.54"/>
    <x v="1"/>
    <x v="0"/>
  </r>
  <r>
    <x v="498"/>
    <s v="Beth Lucas"/>
    <x v="28"/>
    <x v="1"/>
    <x v="0"/>
    <x v="497"/>
    <x v="281"/>
    <x v="273"/>
    <x v="9"/>
    <x v="1"/>
    <n v="372458.83"/>
    <x v="1"/>
    <x v="5"/>
  </r>
  <r>
    <x v="499"/>
    <s v="Tiffany Sullivan"/>
    <x v="17"/>
    <x v="0"/>
    <x v="3"/>
    <x v="498"/>
    <x v="149"/>
    <x v="60"/>
    <x v="8"/>
    <x v="5"/>
    <n v="155930.31"/>
    <x v="1"/>
    <x v="3"/>
  </r>
  <r>
    <x v="500"/>
    <s v="Emily Webb"/>
    <x v="27"/>
    <x v="1"/>
    <x v="5"/>
    <x v="499"/>
    <x v="179"/>
    <x v="171"/>
    <x v="1"/>
    <x v="2"/>
    <n v="10442.85"/>
    <x v="1"/>
    <x v="2"/>
  </r>
  <r>
    <x v="501"/>
    <s v="Tiffany Flores"/>
    <x v="25"/>
    <x v="0"/>
    <x v="5"/>
    <x v="500"/>
    <x v="81"/>
    <x v="251"/>
    <x v="0"/>
    <x v="0"/>
    <n v="413989.92"/>
    <x v="1"/>
    <x v="3"/>
  </r>
  <r>
    <x v="502"/>
    <s v="David Pitts"/>
    <x v="45"/>
    <x v="1"/>
    <x v="0"/>
    <x v="501"/>
    <x v="82"/>
    <x v="274"/>
    <x v="0"/>
    <x v="3"/>
    <n v="102395.53"/>
    <x v="2"/>
    <x v="5"/>
  </r>
  <r>
    <x v="503"/>
    <s v="Nicole Fitzgerald"/>
    <x v="11"/>
    <x v="1"/>
    <x v="4"/>
    <x v="502"/>
    <x v="125"/>
    <x v="229"/>
    <x v="4"/>
    <x v="0"/>
    <n v="135744.70000000001"/>
    <x v="1"/>
    <x v="6"/>
  </r>
  <r>
    <x v="504"/>
    <s v="Michael Stephens"/>
    <x v="66"/>
    <x v="0"/>
    <x v="1"/>
    <x v="503"/>
    <x v="96"/>
    <x v="50"/>
    <x v="6"/>
    <x v="3"/>
    <n v="374578.06"/>
    <x v="0"/>
    <x v="8"/>
  </r>
  <r>
    <x v="505"/>
    <s v="Michael Diaz"/>
    <x v="83"/>
    <x v="0"/>
    <x v="3"/>
    <x v="504"/>
    <x v="4"/>
    <x v="4"/>
    <x v="8"/>
    <x v="0"/>
    <n v="332173.96999999997"/>
    <x v="2"/>
    <x v="4"/>
  </r>
  <r>
    <x v="506"/>
    <s v="Thomas Villa"/>
    <x v="16"/>
    <x v="0"/>
    <x v="1"/>
    <x v="505"/>
    <x v="57"/>
    <x v="270"/>
    <x v="5"/>
    <x v="1"/>
    <n v="208037.74"/>
    <x v="2"/>
    <x v="2"/>
  </r>
  <r>
    <x v="507"/>
    <s v="Kylie Garcia"/>
    <x v="33"/>
    <x v="0"/>
    <x v="0"/>
    <x v="506"/>
    <x v="190"/>
    <x v="68"/>
    <x v="7"/>
    <x v="1"/>
    <n v="91333.66"/>
    <x v="2"/>
    <x v="7"/>
  </r>
  <r>
    <x v="508"/>
    <s v="Amanda Monroe"/>
    <x v="64"/>
    <x v="0"/>
    <x v="0"/>
    <x v="507"/>
    <x v="70"/>
    <x v="167"/>
    <x v="1"/>
    <x v="2"/>
    <n v="101851.36"/>
    <x v="1"/>
    <x v="2"/>
  </r>
  <r>
    <x v="509"/>
    <s v="John Mccoy"/>
    <x v="30"/>
    <x v="0"/>
    <x v="3"/>
    <x v="508"/>
    <x v="198"/>
    <x v="160"/>
    <x v="1"/>
    <x v="2"/>
    <n v="394848.09"/>
    <x v="1"/>
    <x v="14"/>
  </r>
  <r>
    <x v="510"/>
    <s v="Michelle Sanchez"/>
    <x v="88"/>
    <x v="0"/>
    <x v="6"/>
    <x v="509"/>
    <x v="282"/>
    <x v="275"/>
    <x v="6"/>
    <x v="5"/>
    <n v="328058.40999999997"/>
    <x v="0"/>
    <x v="9"/>
  </r>
  <r>
    <x v="511"/>
    <s v="Steven Berg"/>
    <x v="32"/>
    <x v="1"/>
    <x v="1"/>
    <x v="510"/>
    <x v="215"/>
    <x v="203"/>
    <x v="1"/>
    <x v="1"/>
    <n v="191781.92"/>
    <x v="2"/>
    <x v="7"/>
  </r>
  <r>
    <x v="512"/>
    <s v="Elizabeth Diaz"/>
    <x v="85"/>
    <x v="1"/>
    <x v="6"/>
    <x v="511"/>
    <x v="158"/>
    <x v="248"/>
    <x v="0"/>
    <x v="0"/>
    <n v="24228.86"/>
    <x v="0"/>
    <x v="11"/>
  </r>
  <r>
    <x v="513"/>
    <s v="Kevin Adkins"/>
    <x v="9"/>
    <x v="1"/>
    <x v="0"/>
    <x v="512"/>
    <x v="43"/>
    <x v="215"/>
    <x v="2"/>
    <x v="1"/>
    <n v="140112.54999999999"/>
    <x v="2"/>
    <x v="11"/>
  </r>
  <r>
    <x v="514"/>
    <s v="Sergio Doyle"/>
    <x v="45"/>
    <x v="0"/>
    <x v="5"/>
    <x v="513"/>
    <x v="239"/>
    <x v="142"/>
    <x v="4"/>
    <x v="5"/>
    <n v="491740"/>
    <x v="0"/>
    <x v="9"/>
  </r>
  <r>
    <x v="515"/>
    <s v="Mackenzie Martinez DVM"/>
    <x v="29"/>
    <x v="0"/>
    <x v="4"/>
    <x v="514"/>
    <x v="59"/>
    <x v="276"/>
    <x v="2"/>
    <x v="5"/>
    <n v="49045.71"/>
    <x v="1"/>
    <x v="13"/>
  </r>
  <r>
    <x v="516"/>
    <s v="Elizabeth Stewart"/>
    <x v="61"/>
    <x v="0"/>
    <x v="2"/>
    <x v="515"/>
    <x v="98"/>
    <x v="256"/>
    <x v="9"/>
    <x v="4"/>
    <n v="139868.94"/>
    <x v="1"/>
    <x v="13"/>
  </r>
  <r>
    <x v="517"/>
    <s v="John Lee"/>
    <x v="35"/>
    <x v="1"/>
    <x v="3"/>
    <x v="516"/>
    <x v="283"/>
    <x v="277"/>
    <x v="7"/>
    <x v="3"/>
    <n v="466247.63"/>
    <x v="1"/>
    <x v="14"/>
  </r>
  <r>
    <x v="518"/>
    <s v="April Nelson"/>
    <x v="88"/>
    <x v="0"/>
    <x v="1"/>
    <x v="517"/>
    <x v="37"/>
    <x v="278"/>
    <x v="2"/>
    <x v="5"/>
    <n v="424614.3"/>
    <x v="2"/>
    <x v="4"/>
  </r>
  <r>
    <x v="519"/>
    <s v="Caroline Hill"/>
    <x v="65"/>
    <x v="0"/>
    <x v="6"/>
    <x v="518"/>
    <x v="97"/>
    <x v="103"/>
    <x v="8"/>
    <x v="0"/>
    <n v="156770.75"/>
    <x v="0"/>
    <x v="8"/>
  </r>
  <r>
    <x v="520"/>
    <s v="Brian Powell"/>
    <x v="27"/>
    <x v="0"/>
    <x v="1"/>
    <x v="519"/>
    <x v="13"/>
    <x v="53"/>
    <x v="1"/>
    <x v="0"/>
    <n v="229206.18"/>
    <x v="0"/>
    <x v="5"/>
  </r>
  <r>
    <x v="521"/>
    <s v="Karen Soto"/>
    <x v="50"/>
    <x v="0"/>
    <x v="2"/>
    <x v="520"/>
    <x v="146"/>
    <x v="249"/>
    <x v="0"/>
    <x v="3"/>
    <n v="475524.3"/>
    <x v="1"/>
    <x v="3"/>
  </r>
  <r>
    <x v="522"/>
    <s v="Paige Powell"/>
    <x v="80"/>
    <x v="0"/>
    <x v="0"/>
    <x v="521"/>
    <x v="66"/>
    <x v="36"/>
    <x v="8"/>
    <x v="2"/>
    <n v="79754.55"/>
    <x v="0"/>
    <x v="9"/>
  </r>
  <r>
    <x v="523"/>
    <s v="Jacqueline Roman"/>
    <x v="12"/>
    <x v="1"/>
    <x v="1"/>
    <x v="522"/>
    <x v="144"/>
    <x v="104"/>
    <x v="9"/>
    <x v="4"/>
    <n v="210015.41"/>
    <x v="2"/>
    <x v="10"/>
  </r>
  <r>
    <x v="524"/>
    <s v="Tanya Brewer"/>
    <x v="36"/>
    <x v="0"/>
    <x v="1"/>
    <x v="523"/>
    <x v="276"/>
    <x v="279"/>
    <x v="4"/>
    <x v="5"/>
    <n v="90637.09"/>
    <x v="2"/>
    <x v="11"/>
  </r>
  <r>
    <x v="525"/>
    <s v="Matthew Garcia"/>
    <x v="69"/>
    <x v="1"/>
    <x v="4"/>
    <x v="524"/>
    <x v="169"/>
    <x v="280"/>
    <x v="0"/>
    <x v="0"/>
    <n v="128294.24"/>
    <x v="2"/>
    <x v="12"/>
  </r>
  <r>
    <x v="526"/>
    <s v="Joshua Mcgee"/>
    <x v="4"/>
    <x v="0"/>
    <x v="2"/>
    <x v="525"/>
    <x v="261"/>
    <x v="29"/>
    <x v="9"/>
    <x v="2"/>
    <n v="409173.89"/>
    <x v="1"/>
    <x v="10"/>
  </r>
  <r>
    <x v="527"/>
    <s v="Daniel Hahn"/>
    <x v="36"/>
    <x v="1"/>
    <x v="4"/>
    <x v="526"/>
    <x v="284"/>
    <x v="281"/>
    <x v="3"/>
    <x v="5"/>
    <n v="473973.13"/>
    <x v="0"/>
    <x v="3"/>
  </r>
  <r>
    <x v="528"/>
    <s v="Barry Duffy"/>
    <x v="41"/>
    <x v="0"/>
    <x v="0"/>
    <x v="527"/>
    <x v="273"/>
    <x v="210"/>
    <x v="8"/>
    <x v="3"/>
    <n v="34343.800000000003"/>
    <x v="1"/>
    <x v="9"/>
  </r>
  <r>
    <x v="529"/>
    <s v="Michael Chan"/>
    <x v="35"/>
    <x v="0"/>
    <x v="2"/>
    <x v="528"/>
    <x v="285"/>
    <x v="282"/>
    <x v="4"/>
    <x v="2"/>
    <n v="324683.73"/>
    <x v="2"/>
    <x v="3"/>
  </r>
  <r>
    <x v="530"/>
    <s v="Jeffrey Carter"/>
    <x v="34"/>
    <x v="0"/>
    <x v="4"/>
    <x v="529"/>
    <x v="286"/>
    <x v="283"/>
    <x v="8"/>
    <x v="4"/>
    <n v="435897.49"/>
    <x v="0"/>
    <x v="0"/>
  </r>
  <r>
    <x v="531"/>
    <s v="Cody Rocha"/>
    <x v="54"/>
    <x v="0"/>
    <x v="4"/>
    <x v="530"/>
    <x v="144"/>
    <x v="284"/>
    <x v="5"/>
    <x v="2"/>
    <n v="338548.28"/>
    <x v="0"/>
    <x v="14"/>
  </r>
  <r>
    <x v="532"/>
    <s v="Nicholas Wagner"/>
    <x v="1"/>
    <x v="1"/>
    <x v="0"/>
    <x v="531"/>
    <x v="179"/>
    <x v="156"/>
    <x v="1"/>
    <x v="5"/>
    <n v="119008.97"/>
    <x v="0"/>
    <x v="11"/>
  </r>
  <r>
    <x v="533"/>
    <s v="Tonya Carson"/>
    <x v="1"/>
    <x v="1"/>
    <x v="0"/>
    <x v="532"/>
    <x v="52"/>
    <x v="257"/>
    <x v="7"/>
    <x v="2"/>
    <n v="29941.91"/>
    <x v="0"/>
    <x v="7"/>
  </r>
  <r>
    <x v="534"/>
    <s v="Corey Johnson"/>
    <x v="17"/>
    <x v="0"/>
    <x v="3"/>
    <x v="533"/>
    <x v="168"/>
    <x v="14"/>
    <x v="5"/>
    <x v="3"/>
    <n v="175828.45"/>
    <x v="0"/>
    <x v="12"/>
  </r>
  <r>
    <x v="535"/>
    <s v="Ronald Bailey"/>
    <x v="52"/>
    <x v="1"/>
    <x v="0"/>
    <x v="534"/>
    <x v="188"/>
    <x v="240"/>
    <x v="7"/>
    <x v="5"/>
    <n v="243138.43"/>
    <x v="1"/>
    <x v="2"/>
  </r>
  <r>
    <x v="536"/>
    <s v="Nicole Chen"/>
    <x v="15"/>
    <x v="1"/>
    <x v="5"/>
    <x v="535"/>
    <x v="215"/>
    <x v="156"/>
    <x v="6"/>
    <x v="3"/>
    <n v="70648.22"/>
    <x v="1"/>
    <x v="13"/>
  </r>
  <r>
    <x v="537"/>
    <s v="Christian Howard"/>
    <x v="15"/>
    <x v="1"/>
    <x v="3"/>
    <x v="536"/>
    <x v="9"/>
    <x v="139"/>
    <x v="7"/>
    <x v="3"/>
    <n v="68668.38"/>
    <x v="2"/>
    <x v="1"/>
  </r>
  <r>
    <x v="538"/>
    <s v="Linda Harris"/>
    <x v="68"/>
    <x v="0"/>
    <x v="2"/>
    <x v="537"/>
    <x v="276"/>
    <x v="285"/>
    <x v="0"/>
    <x v="3"/>
    <n v="493966.56"/>
    <x v="0"/>
    <x v="12"/>
  </r>
  <r>
    <x v="539"/>
    <s v="Caroline Mcmillan"/>
    <x v="21"/>
    <x v="1"/>
    <x v="1"/>
    <x v="538"/>
    <x v="90"/>
    <x v="204"/>
    <x v="4"/>
    <x v="1"/>
    <n v="144946.29999999999"/>
    <x v="2"/>
    <x v="1"/>
  </r>
  <r>
    <x v="540"/>
    <s v="George Sampson"/>
    <x v="40"/>
    <x v="0"/>
    <x v="0"/>
    <x v="539"/>
    <x v="221"/>
    <x v="212"/>
    <x v="0"/>
    <x v="0"/>
    <n v="213351.38"/>
    <x v="1"/>
    <x v="10"/>
  </r>
  <r>
    <x v="541"/>
    <s v="Robin White"/>
    <x v="3"/>
    <x v="1"/>
    <x v="2"/>
    <x v="540"/>
    <x v="268"/>
    <x v="158"/>
    <x v="3"/>
    <x v="2"/>
    <n v="93313.81"/>
    <x v="1"/>
    <x v="0"/>
  </r>
  <r>
    <x v="542"/>
    <s v="Derrick Brown"/>
    <x v="52"/>
    <x v="0"/>
    <x v="0"/>
    <x v="541"/>
    <x v="287"/>
    <x v="73"/>
    <x v="5"/>
    <x v="3"/>
    <n v="376157.13"/>
    <x v="1"/>
    <x v="10"/>
  </r>
  <r>
    <x v="543"/>
    <s v="Albert Pacheco"/>
    <x v="49"/>
    <x v="1"/>
    <x v="2"/>
    <x v="542"/>
    <x v="125"/>
    <x v="286"/>
    <x v="5"/>
    <x v="4"/>
    <n v="60955.08"/>
    <x v="2"/>
    <x v="4"/>
  </r>
  <r>
    <x v="544"/>
    <s v="Richard Andersen"/>
    <x v="86"/>
    <x v="0"/>
    <x v="5"/>
    <x v="543"/>
    <x v="219"/>
    <x v="78"/>
    <x v="9"/>
    <x v="1"/>
    <n v="155273.14000000001"/>
    <x v="1"/>
    <x v="4"/>
  </r>
  <r>
    <x v="545"/>
    <s v="Taylor Morris"/>
    <x v="6"/>
    <x v="0"/>
    <x v="4"/>
    <x v="544"/>
    <x v="288"/>
    <x v="217"/>
    <x v="4"/>
    <x v="3"/>
    <n v="51045.22"/>
    <x v="1"/>
    <x v="0"/>
  </r>
  <r>
    <x v="546"/>
    <s v="Amanda Rasmussen"/>
    <x v="62"/>
    <x v="1"/>
    <x v="0"/>
    <x v="545"/>
    <x v="43"/>
    <x v="2"/>
    <x v="3"/>
    <x v="5"/>
    <n v="245951.98"/>
    <x v="0"/>
    <x v="1"/>
  </r>
  <r>
    <x v="547"/>
    <s v="Julia Gilbert"/>
    <x v="33"/>
    <x v="0"/>
    <x v="4"/>
    <x v="546"/>
    <x v="238"/>
    <x v="13"/>
    <x v="6"/>
    <x v="2"/>
    <n v="27363.19"/>
    <x v="0"/>
    <x v="1"/>
  </r>
  <r>
    <x v="548"/>
    <s v="Charles Arnold MD"/>
    <x v="28"/>
    <x v="0"/>
    <x v="2"/>
    <x v="547"/>
    <x v="252"/>
    <x v="178"/>
    <x v="8"/>
    <x v="1"/>
    <n v="140128.75"/>
    <x v="2"/>
    <x v="6"/>
  </r>
  <r>
    <x v="549"/>
    <s v="Beth Hernandez"/>
    <x v="29"/>
    <x v="0"/>
    <x v="6"/>
    <x v="548"/>
    <x v="221"/>
    <x v="45"/>
    <x v="9"/>
    <x v="5"/>
    <n v="291408.25"/>
    <x v="0"/>
    <x v="12"/>
  </r>
  <r>
    <x v="550"/>
    <s v="Caroline Powell"/>
    <x v="69"/>
    <x v="1"/>
    <x v="3"/>
    <x v="549"/>
    <x v="188"/>
    <x v="279"/>
    <x v="3"/>
    <x v="0"/>
    <n v="54378.52"/>
    <x v="1"/>
    <x v="0"/>
  </r>
  <r>
    <x v="551"/>
    <s v="Carolyn Delacruz"/>
    <x v="54"/>
    <x v="0"/>
    <x v="6"/>
    <x v="550"/>
    <x v="226"/>
    <x v="208"/>
    <x v="6"/>
    <x v="1"/>
    <n v="111140.32"/>
    <x v="0"/>
    <x v="8"/>
  </r>
  <r>
    <x v="552"/>
    <s v="Lauren Villanueva"/>
    <x v="80"/>
    <x v="1"/>
    <x v="0"/>
    <x v="551"/>
    <x v="45"/>
    <x v="36"/>
    <x v="3"/>
    <x v="2"/>
    <n v="369352.14"/>
    <x v="2"/>
    <x v="11"/>
  </r>
  <r>
    <x v="553"/>
    <s v="Timothy Ritter"/>
    <x v="50"/>
    <x v="1"/>
    <x v="3"/>
    <x v="552"/>
    <x v="289"/>
    <x v="200"/>
    <x v="5"/>
    <x v="2"/>
    <n v="236880.8"/>
    <x v="1"/>
    <x v="0"/>
  </r>
  <r>
    <x v="554"/>
    <s v="Megan Reyes"/>
    <x v="68"/>
    <x v="0"/>
    <x v="4"/>
    <x v="553"/>
    <x v="172"/>
    <x v="174"/>
    <x v="6"/>
    <x v="4"/>
    <n v="23528.14"/>
    <x v="1"/>
    <x v="8"/>
  </r>
  <r>
    <x v="555"/>
    <s v="Christopher Cunningham"/>
    <x v="14"/>
    <x v="1"/>
    <x v="1"/>
    <x v="554"/>
    <x v="53"/>
    <x v="113"/>
    <x v="2"/>
    <x v="4"/>
    <n v="117571.52"/>
    <x v="1"/>
    <x v="5"/>
  </r>
  <r>
    <x v="556"/>
    <s v="Frances Bennett"/>
    <x v="79"/>
    <x v="0"/>
    <x v="3"/>
    <x v="555"/>
    <x v="83"/>
    <x v="140"/>
    <x v="0"/>
    <x v="2"/>
    <n v="64279.67"/>
    <x v="1"/>
    <x v="2"/>
  </r>
  <r>
    <x v="557"/>
    <s v="Phillip Reeves"/>
    <x v="11"/>
    <x v="0"/>
    <x v="3"/>
    <x v="556"/>
    <x v="200"/>
    <x v="108"/>
    <x v="6"/>
    <x v="3"/>
    <n v="106816.41"/>
    <x v="0"/>
    <x v="0"/>
  </r>
  <r>
    <x v="558"/>
    <s v="Andrea Williams"/>
    <x v="51"/>
    <x v="1"/>
    <x v="4"/>
    <x v="557"/>
    <x v="290"/>
    <x v="231"/>
    <x v="3"/>
    <x v="4"/>
    <n v="166349.43"/>
    <x v="1"/>
    <x v="11"/>
  </r>
  <r>
    <x v="559"/>
    <s v="David Oneal"/>
    <x v="77"/>
    <x v="1"/>
    <x v="3"/>
    <x v="558"/>
    <x v="116"/>
    <x v="123"/>
    <x v="3"/>
    <x v="2"/>
    <n v="433319.13"/>
    <x v="2"/>
    <x v="7"/>
  </r>
  <r>
    <x v="560"/>
    <s v="Leslie Douglas"/>
    <x v="21"/>
    <x v="0"/>
    <x v="2"/>
    <x v="559"/>
    <x v="146"/>
    <x v="112"/>
    <x v="2"/>
    <x v="2"/>
    <n v="193463.72"/>
    <x v="1"/>
    <x v="2"/>
  </r>
  <r>
    <x v="561"/>
    <s v="Derek Reed"/>
    <x v="53"/>
    <x v="0"/>
    <x v="5"/>
    <x v="560"/>
    <x v="291"/>
    <x v="114"/>
    <x v="3"/>
    <x v="5"/>
    <n v="360731.26"/>
    <x v="2"/>
    <x v="11"/>
  </r>
  <r>
    <x v="562"/>
    <s v="Bonnie Morgan"/>
    <x v="41"/>
    <x v="1"/>
    <x v="5"/>
    <x v="561"/>
    <x v="18"/>
    <x v="164"/>
    <x v="9"/>
    <x v="4"/>
    <n v="16922.96"/>
    <x v="0"/>
    <x v="9"/>
  </r>
  <r>
    <x v="563"/>
    <s v="James Bell"/>
    <x v="62"/>
    <x v="0"/>
    <x v="5"/>
    <x v="562"/>
    <x v="15"/>
    <x v="218"/>
    <x v="6"/>
    <x v="5"/>
    <n v="160942.26999999999"/>
    <x v="2"/>
    <x v="10"/>
  </r>
  <r>
    <x v="564"/>
    <s v="Rebecca Foster"/>
    <x v="34"/>
    <x v="1"/>
    <x v="2"/>
    <x v="563"/>
    <x v="230"/>
    <x v="287"/>
    <x v="6"/>
    <x v="1"/>
    <n v="499506.96"/>
    <x v="2"/>
    <x v="10"/>
  </r>
  <r>
    <x v="565"/>
    <s v="Keith Bell"/>
    <x v="44"/>
    <x v="1"/>
    <x v="5"/>
    <x v="564"/>
    <x v="125"/>
    <x v="286"/>
    <x v="4"/>
    <x v="4"/>
    <n v="150278.23000000001"/>
    <x v="1"/>
    <x v="4"/>
  </r>
  <r>
    <x v="566"/>
    <s v="Carl Hudson"/>
    <x v="55"/>
    <x v="0"/>
    <x v="6"/>
    <x v="565"/>
    <x v="230"/>
    <x v="12"/>
    <x v="7"/>
    <x v="1"/>
    <n v="174998.38"/>
    <x v="1"/>
    <x v="12"/>
  </r>
  <r>
    <x v="567"/>
    <s v="Christopher Brown"/>
    <x v="85"/>
    <x v="1"/>
    <x v="3"/>
    <x v="566"/>
    <x v="275"/>
    <x v="251"/>
    <x v="3"/>
    <x v="1"/>
    <n v="176247.9"/>
    <x v="1"/>
    <x v="5"/>
  </r>
  <r>
    <x v="568"/>
    <s v="Lauren Gibson"/>
    <x v="37"/>
    <x v="0"/>
    <x v="2"/>
    <x v="567"/>
    <x v="100"/>
    <x v="101"/>
    <x v="9"/>
    <x v="4"/>
    <n v="116000.8"/>
    <x v="1"/>
    <x v="4"/>
  </r>
  <r>
    <x v="569"/>
    <s v="Brooke Walker"/>
    <x v="83"/>
    <x v="0"/>
    <x v="2"/>
    <x v="568"/>
    <x v="21"/>
    <x v="288"/>
    <x v="2"/>
    <x v="4"/>
    <n v="86925.75"/>
    <x v="1"/>
    <x v="6"/>
  </r>
  <r>
    <x v="570"/>
    <s v="Michelle Hayes PhD"/>
    <x v="26"/>
    <x v="1"/>
    <x v="6"/>
    <x v="569"/>
    <x v="36"/>
    <x v="289"/>
    <x v="3"/>
    <x v="4"/>
    <n v="459635.1"/>
    <x v="0"/>
    <x v="3"/>
  </r>
  <r>
    <x v="571"/>
    <s v="Kelli Martinez"/>
    <x v="53"/>
    <x v="1"/>
    <x v="4"/>
    <x v="570"/>
    <x v="3"/>
    <x v="155"/>
    <x v="7"/>
    <x v="2"/>
    <n v="420955.27"/>
    <x v="0"/>
    <x v="11"/>
  </r>
  <r>
    <x v="572"/>
    <s v="Julie Dillon"/>
    <x v="40"/>
    <x v="0"/>
    <x v="0"/>
    <x v="571"/>
    <x v="269"/>
    <x v="102"/>
    <x v="5"/>
    <x v="4"/>
    <n v="438503.42"/>
    <x v="2"/>
    <x v="14"/>
  </r>
  <r>
    <x v="573"/>
    <s v="Laura Jacobs"/>
    <x v="69"/>
    <x v="1"/>
    <x v="6"/>
    <x v="572"/>
    <x v="248"/>
    <x v="236"/>
    <x v="0"/>
    <x v="4"/>
    <n v="142856.64000000001"/>
    <x v="2"/>
    <x v="5"/>
  </r>
  <r>
    <x v="574"/>
    <s v="Mark Davidson"/>
    <x v="35"/>
    <x v="0"/>
    <x v="2"/>
    <x v="573"/>
    <x v="290"/>
    <x v="63"/>
    <x v="4"/>
    <x v="4"/>
    <n v="278723.55"/>
    <x v="1"/>
    <x v="4"/>
  </r>
  <r>
    <x v="575"/>
    <s v="Valerie Lewis"/>
    <x v="48"/>
    <x v="0"/>
    <x v="0"/>
    <x v="574"/>
    <x v="292"/>
    <x v="255"/>
    <x v="2"/>
    <x v="2"/>
    <n v="99918.9"/>
    <x v="2"/>
    <x v="10"/>
  </r>
  <r>
    <x v="576"/>
    <s v="Russell Cervantes"/>
    <x v="67"/>
    <x v="1"/>
    <x v="5"/>
    <x v="575"/>
    <x v="250"/>
    <x v="290"/>
    <x v="7"/>
    <x v="1"/>
    <n v="234786.35"/>
    <x v="0"/>
    <x v="13"/>
  </r>
  <r>
    <x v="577"/>
    <s v="Joseph Petty"/>
    <x v="81"/>
    <x v="0"/>
    <x v="1"/>
    <x v="576"/>
    <x v="188"/>
    <x v="291"/>
    <x v="8"/>
    <x v="3"/>
    <n v="319971.58"/>
    <x v="2"/>
    <x v="5"/>
  </r>
  <r>
    <x v="578"/>
    <s v="William Rivera"/>
    <x v="51"/>
    <x v="0"/>
    <x v="2"/>
    <x v="577"/>
    <x v="196"/>
    <x v="155"/>
    <x v="4"/>
    <x v="5"/>
    <n v="312682.51"/>
    <x v="2"/>
    <x v="7"/>
  </r>
  <r>
    <x v="579"/>
    <s v="Jeffrey Garza"/>
    <x v="13"/>
    <x v="1"/>
    <x v="6"/>
    <x v="578"/>
    <x v="117"/>
    <x v="79"/>
    <x v="8"/>
    <x v="1"/>
    <n v="115539.51"/>
    <x v="2"/>
    <x v="14"/>
  </r>
  <r>
    <x v="580"/>
    <s v="David Bates"/>
    <x v="44"/>
    <x v="0"/>
    <x v="6"/>
    <x v="579"/>
    <x v="228"/>
    <x v="154"/>
    <x v="8"/>
    <x v="0"/>
    <n v="56164.03"/>
    <x v="1"/>
    <x v="11"/>
  </r>
  <r>
    <x v="581"/>
    <s v="Chase Flores"/>
    <x v="51"/>
    <x v="1"/>
    <x v="2"/>
    <x v="580"/>
    <x v="174"/>
    <x v="176"/>
    <x v="8"/>
    <x v="3"/>
    <n v="81763.839999999997"/>
    <x v="2"/>
    <x v="9"/>
  </r>
  <r>
    <x v="582"/>
    <s v="Jean Robinson"/>
    <x v="55"/>
    <x v="0"/>
    <x v="1"/>
    <x v="581"/>
    <x v="220"/>
    <x v="211"/>
    <x v="9"/>
    <x v="3"/>
    <n v="204127.88"/>
    <x v="1"/>
    <x v="1"/>
  </r>
  <r>
    <x v="583"/>
    <s v="Joseph Hernandez"/>
    <x v="53"/>
    <x v="0"/>
    <x v="6"/>
    <x v="582"/>
    <x v="276"/>
    <x v="292"/>
    <x v="8"/>
    <x v="0"/>
    <n v="347808.74"/>
    <x v="1"/>
    <x v="10"/>
  </r>
  <r>
    <x v="584"/>
    <s v="Sonia Jimenez"/>
    <x v="83"/>
    <x v="0"/>
    <x v="3"/>
    <x v="583"/>
    <x v="112"/>
    <x v="33"/>
    <x v="6"/>
    <x v="1"/>
    <n v="25066.27"/>
    <x v="1"/>
    <x v="4"/>
  </r>
  <r>
    <x v="585"/>
    <s v="Diane Jensen"/>
    <x v="27"/>
    <x v="1"/>
    <x v="3"/>
    <x v="584"/>
    <x v="63"/>
    <x v="168"/>
    <x v="4"/>
    <x v="1"/>
    <n v="92400.55"/>
    <x v="0"/>
    <x v="0"/>
  </r>
  <r>
    <x v="586"/>
    <s v="Paul Harris"/>
    <x v="61"/>
    <x v="0"/>
    <x v="6"/>
    <x v="585"/>
    <x v="224"/>
    <x v="293"/>
    <x v="0"/>
    <x v="0"/>
    <n v="476403.49"/>
    <x v="2"/>
    <x v="3"/>
  </r>
  <r>
    <x v="587"/>
    <s v="Mark Good"/>
    <x v="3"/>
    <x v="0"/>
    <x v="2"/>
    <x v="586"/>
    <x v="21"/>
    <x v="69"/>
    <x v="5"/>
    <x v="1"/>
    <n v="84516.63"/>
    <x v="0"/>
    <x v="2"/>
  </r>
  <r>
    <x v="588"/>
    <s v="Dr. James Taylor"/>
    <x v="9"/>
    <x v="0"/>
    <x v="2"/>
    <x v="587"/>
    <x v="135"/>
    <x v="122"/>
    <x v="5"/>
    <x v="4"/>
    <n v="304135.48"/>
    <x v="0"/>
    <x v="12"/>
  </r>
  <r>
    <x v="589"/>
    <s v="Ian Marks"/>
    <x v="29"/>
    <x v="1"/>
    <x v="2"/>
    <x v="588"/>
    <x v="131"/>
    <x v="86"/>
    <x v="3"/>
    <x v="1"/>
    <n v="434816.67"/>
    <x v="1"/>
    <x v="7"/>
  </r>
  <r>
    <x v="590"/>
    <s v="Michelle Smith"/>
    <x v="38"/>
    <x v="1"/>
    <x v="0"/>
    <x v="589"/>
    <x v="293"/>
    <x v="165"/>
    <x v="4"/>
    <x v="5"/>
    <n v="152621.16"/>
    <x v="0"/>
    <x v="6"/>
  </r>
  <r>
    <x v="591"/>
    <s v="Isaiah Lewis"/>
    <x v="47"/>
    <x v="1"/>
    <x v="0"/>
    <x v="590"/>
    <x v="78"/>
    <x v="294"/>
    <x v="2"/>
    <x v="5"/>
    <n v="23298.16"/>
    <x v="0"/>
    <x v="2"/>
  </r>
  <r>
    <x v="592"/>
    <s v="Debbie Ramirez"/>
    <x v="75"/>
    <x v="0"/>
    <x v="1"/>
    <x v="591"/>
    <x v="114"/>
    <x v="6"/>
    <x v="6"/>
    <x v="2"/>
    <n v="115049.15"/>
    <x v="1"/>
    <x v="8"/>
  </r>
  <r>
    <x v="593"/>
    <s v="Emily Osborn"/>
    <x v="88"/>
    <x v="1"/>
    <x v="1"/>
    <x v="592"/>
    <x v="251"/>
    <x v="228"/>
    <x v="3"/>
    <x v="3"/>
    <n v="61809.47"/>
    <x v="1"/>
    <x v="1"/>
  </r>
  <r>
    <x v="594"/>
    <s v="Christopher Nelson"/>
    <x v="73"/>
    <x v="0"/>
    <x v="2"/>
    <x v="593"/>
    <x v="261"/>
    <x v="224"/>
    <x v="0"/>
    <x v="1"/>
    <n v="491302.88"/>
    <x v="2"/>
    <x v="12"/>
  </r>
  <r>
    <x v="595"/>
    <s v="Amber Hale"/>
    <x v="41"/>
    <x v="0"/>
    <x v="0"/>
    <x v="594"/>
    <x v="87"/>
    <x v="210"/>
    <x v="6"/>
    <x v="4"/>
    <n v="348145.25"/>
    <x v="2"/>
    <x v="13"/>
  </r>
  <r>
    <x v="596"/>
    <s v="Sharon Jimenez"/>
    <x v="75"/>
    <x v="0"/>
    <x v="5"/>
    <x v="595"/>
    <x v="292"/>
    <x v="254"/>
    <x v="0"/>
    <x v="2"/>
    <n v="415472.26"/>
    <x v="2"/>
    <x v="8"/>
  </r>
  <r>
    <x v="597"/>
    <s v="Mr. Anthony Gonzales"/>
    <x v="14"/>
    <x v="0"/>
    <x v="6"/>
    <x v="596"/>
    <x v="294"/>
    <x v="295"/>
    <x v="6"/>
    <x v="3"/>
    <n v="212284.37"/>
    <x v="0"/>
    <x v="14"/>
  </r>
  <r>
    <x v="598"/>
    <s v="Adrienne Villa"/>
    <x v="49"/>
    <x v="1"/>
    <x v="6"/>
    <x v="597"/>
    <x v="15"/>
    <x v="218"/>
    <x v="8"/>
    <x v="3"/>
    <n v="120861.23"/>
    <x v="1"/>
    <x v="10"/>
  </r>
  <r>
    <x v="599"/>
    <s v="Austin Ramirez"/>
    <x v="57"/>
    <x v="0"/>
    <x v="3"/>
    <x v="598"/>
    <x v="181"/>
    <x v="217"/>
    <x v="7"/>
    <x v="4"/>
    <n v="354402.61"/>
    <x v="1"/>
    <x v="7"/>
  </r>
  <r>
    <x v="600"/>
    <s v="Joe Jones"/>
    <x v="79"/>
    <x v="1"/>
    <x v="0"/>
    <x v="599"/>
    <x v="130"/>
    <x v="80"/>
    <x v="3"/>
    <x v="5"/>
    <n v="134801.65"/>
    <x v="2"/>
    <x v="0"/>
  </r>
  <r>
    <x v="601"/>
    <s v="Dana Williams"/>
    <x v="1"/>
    <x v="0"/>
    <x v="6"/>
    <x v="600"/>
    <x v="118"/>
    <x v="203"/>
    <x v="8"/>
    <x v="4"/>
    <n v="265923.69"/>
    <x v="2"/>
    <x v="9"/>
  </r>
  <r>
    <x v="602"/>
    <s v="Anna Allen"/>
    <x v="84"/>
    <x v="1"/>
    <x v="4"/>
    <x v="601"/>
    <x v="228"/>
    <x v="238"/>
    <x v="6"/>
    <x v="2"/>
    <n v="346935.13"/>
    <x v="1"/>
    <x v="8"/>
  </r>
  <r>
    <x v="603"/>
    <s v="Jacob Barber"/>
    <x v="27"/>
    <x v="0"/>
    <x v="0"/>
    <x v="602"/>
    <x v="264"/>
    <x v="97"/>
    <x v="5"/>
    <x v="1"/>
    <n v="287324.14"/>
    <x v="0"/>
    <x v="9"/>
  </r>
  <r>
    <x v="604"/>
    <s v="Nathan Austin"/>
    <x v="10"/>
    <x v="1"/>
    <x v="4"/>
    <x v="603"/>
    <x v="96"/>
    <x v="107"/>
    <x v="2"/>
    <x v="3"/>
    <n v="165331.31"/>
    <x v="2"/>
    <x v="10"/>
  </r>
  <r>
    <x v="605"/>
    <s v="David Butler"/>
    <x v="77"/>
    <x v="1"/>
    <x v="0"/>
    <x v="604"/>
    <x v="276"/>
    <x v="29"/>
    <x v="4"/>
    <x v="3"/>
    <n v="305946.36"/>
    <x v="0"/>
    <x v="13"/>
  </r>
  <r>
    <x v="606"/>
    <s v="Julie Flores"/>
    <x v="61"/>
    <x v="1"/>
    <x v="0"/>
    <x v="605"/>
    <x v="47"/>
    <x v="184"/>
    <x v="7"/>
    <x v="4"/>
    <n v="188178.97"/>
    <x v="1"/>
    <x v="11"/>
  </r>
  <r>
    <x v="607"/>
    <s v="David Gibson"/>
    <x v="50"/>
    <x v="0"/>
    <x v="5"/>
    <x v="606"/>
    <x v="248"/>
    <x v="296"/>
    <x v="2"/>
    <x v="1"/>
    <n v="412407.32"/>
    <x v="1"/>
    <x v="6"/>
  </r>
  <r>
    <x v="608"/>
    <s v="Patrick Robertson"/>
    <x v="73"/>
    <x v="0"/>
    <x v="2"/>
    <x v="607"/>
    <x v="287"/>
    <x v="73"/>
    <x v="2"/>
    <x v="3"/>
    <n v="391103.12"/>
    <x v="1"/>
    <x v="10"/>
  </r>
  <r>
    <x v="609"/>
    <s v="Matthew Munoz"/>
    <x v="3"/>
    <x v="1"/>
    <x v="2"/>
    <x v="608"/>
    <x v="138"/>
    <x v="170"/>
    <x v="4"/>
    <x v="4"/>
    <n v="119783.36"/>
    <x v="2"/>
    <x v="4"/>
  </r>
  <r>
    <x v="610"/>
    <s v="Taylor Walker"/>
    <x v="64"/>
    <x v="0"/>
    <x v="4"/>
    <x v="609"/>
    <x v="124"/>
    <x v="297"/>
    <x v="3"/>
    <x v="2"/>
    <n v="30011.42"/>
    <x v="0"/>
    <x v="3"/>
  </r>
  <r>
    <x v="611"/>
    <s v="Jesus Wright Jr."/>
    <x v="85"/>
    <x v="0"/>
    <x v="4"/>
    <x v="610"/>
    <x v="290"/>
    <x v="298"/>
    <x v="0"/>
    <x v="1"/>
    <n v="90654.82"/>
    <x v="1"/>
    <x v="6"/>
  </r>
  <r>
    <x v="612"/>
    <s v="Alisha Hill"/>
    <x v="53"/>
    <x v="0"/>
    <x v="6"/>
    <x v="611"/>
    <x v="63"/>
    <x v="299"/>
    <x v="8"/>
    <x v="3"/>
    <n v="162542.39000000001"/>
    <x v="1"/>
    <x v="10"/>
  </r>
  <r>
    <x v="613"/>
    <s v="Thomas Dennis"/>
    <x v="68"/>
    <x v="1"/>
    <x v="5"/>
    <x v="612"/>
    <x v="258"/>
    <x v="300"/>
    <x v="8"/>
    <x v="1"/>
    <n v="31596.27"/>
    <x v="2"/>
    <x v="14"/>
  </r>
  <r>
    <x v="614"/>
    <s v="Felicia Bullock"/>
    <x v="22"/>
    <x v="1"/>
    <x v="1"/>
    <x v="613"/>
    <x v="129"/>
    <x v="297"/>
    <x v="4"/>
    <x v="4"/>
    <n v="120963.2"/>
    <x v="1"/>
    <x v="12"/>
  </r>
  <r>
    <x v="615"/>
    <s v="Jenna Jackson"/>
    <x v="85"/>
    <x v="0"/>
    <x v="3"/>
    <x v="614"/>
    <x v="295"/>
    <x v="257"/>
    <x v="2"/>
    <x v="1"/>
    <n v="224216.84"/>
    <x v="1"/>
    <x v="5"/>
  </r>
  <r>
    <x v="616"/>
    <s v="Samantha Nicholson"/>
    <x v="68"/>
    <x v="1"/>
    <x v="6"/>
    <x v="615"/>
    <x v="61"/>
    <x v="56"/>
    <x v="5"/>
    <x v="2"/>
    <n v="314654.34000000003"/>
    <x v="0"/>
    <x v="12"/>
  </r>
  <r>
    <x v="617"/>
    <s v="Ryan Moore"/>
    <x v="77"/>
    <x v="0"/>
    <x v="3"/>
    <x v="616"/>
    <x v="145"/>
    <x v="225"/>
    <x v="3"/>
    <x v="5"/>
    <n v="65529.9"/>
    <x v="0"/>
    <x v="3"/>
  </r>
  <r>
    <x v="618"/>
    <s v="Dana Mata"/>
    <x v="24"/>
    <x v="1"/>
    <x v="3"/>
    <x v="617"/>
    <x v="161"/>
    <x v="175"/>
    <x v="2"/>
    <x v="5"/>
    <n v="31589.37"/>
    <x v="2"/>
    <x v="1"/>
  </r>
  <r>
    <x v="619"/>
    <s v="Jennifer Singleton"/>
    <x v="65"/>
    <x v="0"/>
    <x v="3"/>
    <x v="618"/>
    <x v="26"/>
    <x v="301"/>
    <x v="8"/>
    <x v="5"/>
    <n v="425650.3"/>
    <x v="0"/>
    <x v="0"/>
  </r>
  <r>
    <x v="620"/>
    <s v="Nicholas Gutierrez"/>
    <x v="74"/>
    <x v="0"/>
    <x v="5"/>
    <x v="619"/>
    <x v="296"/>
    <x v="9"/>
    <x v="8"/>
    <x v="5"/>
    <n v="233223.05"/>
    <x v="2"/>
    <x v="14"/>
  </r>
  <r>
    <x v="621"/>
    <s v="Nicholas Reynolds"/>
    <x v="64"/>
    <x v="1"/>
    <x v="2"/>
    <x v="620"/>
    <x v="158"/>
    <x v="302"/>
    <x v="2"/>
    <x v="0"/>
    <n v="372031.27"/>
    <x v="2"/>
    <x v="13"/>
  </r>
  <r>
    <x v="622"/>
    <s v="Alex Ramirez"/>
    <x v="64"/>
    <x v="0"/>
    <x v="4"/>
    <x v="621"/>
    <x v="35"/>
    <x v="112"/>
    <x v="6"/>
    <x v="0"/>
    <n v="45037.85"/>
    <x v="1"/>
    <x v="14"/>
  </r>
  <r>
    <x v="623"/>
    <s v="Martin Parker"/>
    <x v="70"/>
    <x v="0"/>
    <x v="0"/>
    <x v="622"/>
    <x v="285"/>
    <x v="83"/>
    <x v="2"/>
    <x v="3"/>
    <n v="303145.26"/>
    <x v="0"/>
    <x v="2"/>
  </r>
  <r>
    <x v="624"/>
    <s v="Kayla Hill"/>
    <x v="5"/>
    <x v="1"/>
    <x v="3"/>
    <x v="623"/>
    <x v="297"/>
    <x v="215"/>
    <x v="5"/>
    <x v="1"/>
    <n v="168068"/>
    <x v="2"/>
    <x v="2"/>
  </r>
  <r>
    <x v="625"/>
    <s v="Troy Roy"/>
    <x v="13"/>
    <x v="1"/>
    <x v="3"/>
    <x v="624"/>
    <x v="133"/>
    <x v="296"/>
    <x v="6"/>
    <x v="5"/>
    <n v="211230.71"/>
    <x v="2"/>
    <x v="2"/>
  </r>
  <r>
    <x v="626"/>
    <s v="Pamela Torres"/>
    <x v="30"/>
    <x v="0"/>
    <x v="2"/>
    <x v="625"/>
    <x v="264"/>
    <x v="275"/>
    <x v="7"/>
    <x v="1"/>
    <n v="99959.21"/>
    <x v="2"/>
    <x v="10"/>
  </r>
  <r>
    <x v="627"/>
    <s v="George Cook"/>
    <x v="59"/>
    <x v="1"/>
    <x v="6"/>
    <x v="626"/>
    <x v="298"/>
    <x v="220"/>
    <x v="2"/>
    <x v="5"/>
    <n v="364679.85"/>
    <x v="1"/>
    <x v="2"/>
  </r>
  <r>
    <x v="628"/>
    <s v="Tyler Vargas"/>
    <x v="35"/>
    <x v="1"/>
    <x v="0"/>
    <x v="627"/>
    <x v="100"/>
    <x v="187"/>
    <x v="4"/>
    <x v="1"/>
    <n v="277935.84999999998"/>
    <x v="0"/>
    <x v="6"/>
  </r>
  <r>
    <x v="629"/>
    <s v="Frank Baker"/>
    <x v="42"/>
    <x v="1"/>
    <x v="2"/>
    <x v="628"/>
    <x v="46"/>
    <x v="202"/>
    <x v="0"/>
    <x v="2"/>
    <n v="244264.25"/>
    <x v="2"/>
    <x v="2"/>
  </r>
  <r>
    <x v="630"/>
    <s v="Heather Cantu"/>
    <x v="17"/>
    <x v="0"/>
    <x v="0"/>
    <x v="629"/>
    <x v="117"/>
    <x v="303"/>
    <x v="1"/>
    <x v="5"/>
    <n v="433161.2"/>
    <x v="0"/>
    <x v="10"/>
  </r>
  <r>
    <x v="631"/>
    <s v="Joseph Davidson"/>
    <x v="60"/>
    <x v="0"/>
    <x v="1"/>
    <x v="630"/>
    <x v="78"/>
    <x v="185"/>
    <x v="5"/>
    <x v="0"/>
    <n v="251774.35"/>
    <x v="1"/>
    <x v="6"/>
  </r>
  <r>
    <x v="632"/>
    <s v="Kelsey Graham"/>
    <x v="70"/>
    <x v="1"/>
    <x v="6"/>
    <x v="631"/>
    <x v="280"/>
    <x v="222"/>
    <x v="4"/>
    <x v="0"/>
    <n v="336573.39"/>
    <x v="1"/>
    <x v="1"/>
  </r>
  <r>
    <x v="633"/>
    <s v="Sandra Thomas"/>
    <x v="31"/>
    <x v="1"/>
    <x v="1"/>
    <x v="632"/>
    <x v="299"/>
    <x v="169"/>
    <x v="3"/>
    <x v="2"/>
    <n v="199418.14"/>
    <x v="0"/>
    <x v="11"/>
  </r>
  <r>
    <x v="634"/>
    <s v="Travis Hernandez"/>
    <x v="80"/>
    <x v="1"/>
    <x v="0"/>
    <x v="633"/>
    <x v="11"/>
    <x v="178"/>
    <x v="1"/>
    <x v="3"/>
    <n v="218632.14"/>
    <x v="1"/>
    <x v="13"/>
  </r>
  <r>
    <x v="635"/>
    <s v="Tracy Perez"/>
    <x v="22"/>
    <x v="1"/>
    <x v="0"/>
    <x v="634"/>
    <x v="152"/>
    <x v="17"/>
    <x v="8"/>
    <x v="4"/>
    <n v="104140.18"/>
    <x v="2"/>
    <x v="3"/>
  </r>
  <r>
    <x v="636"/>
    <s v="Jonathan Hicks"/>
    <x v="87"/>
    <x v="1"/>
    <x v="6"/>
    <x v="635"/>
    <x v="300"/>
    <x v="248"/>
    <x v="7"/>
    <x v="2"/>
    <n v="45093.74"/>
    <x v="2"/>
    <x v="2"/>
  </r>
  <r>
    <x v="637"/>
    <s v="Lee Stevenson"/>
    <x v="61"/>
    <x v="0"/>
    <x v="3"/>
    <x v="636"/>
    <x v="113"/>
    <x v="304"/>
    <x v="7"/>
    <x v="3"/>
    <n v="244789.04"/>
    <x v="0"/>
    <x v="13"/>
  </r>
  <r>
    <x v="638"/>
    <s v="Leslie Brown"/>
    <x v="81"/>
    <x v="1"/>
    <x v="4"/>
    <x v="637"/>
    <x v="66"/>
    <x v="119"/>
    <x v="3"/>
    <x v="2"/>
    <n v="7189.81"/>
    <x v="2"/>
    <x v="8"/>
  </r>
  <r>
    <x v="639"/>
    <s v="Seth Boyer"/>
    <x v="79"/>
    <x v="1"/>
    <x v="2"/>
    <x v="638"/>
    <x v="119"/>
    <x v="107"/>
    <x v="9"/>
    <x v="3"/>
    <n v="132516.93"/>
    <x v="1"/>
    <x v="2"/>
  </r>
  <r>
    <x v="640"/>
    <s v="Tyler Adams"/>
    <x v="34"/>
    <x v="0"/>
    <x v="0"/>
    <x v="639"/>
    <x v="67"/>
    <x v="305"/>
    <x v="3"/>
    <x v="3"/>
    <n v="336849.64"/>
    <x v="2"/>
    <x v="2"/>
  </r>
  <r>
    <x v="641"/>
    <s v="Amanda Diaz"/>
    <x v="70"/>
    <x v="1"/>
    <x v="2"/>
    <x v="640"/>
    <x v="63"/>
    <x v="297"/>
    <x v="7"/>
    <x v="1"/>
    <n v="459024.67"/>
    <x v="1"/>
    <x v="1"/>
  </r>
  <r>
    <x v="642"/>
    <s v="Stephanie Obrien"/>
    <x v="10"/>
    <x v="1"/>
    <x v="6"/>
    <x v="641"/>
    <x v="162"/>
    <x v="139"/>
    <x v="7"/>
    <x v="4"/>
    <n v="265946.15999999997"/>
    <x v="0"/>
    <x v="3"/>
  </r>
  <r>
    <x v="643"/>
    <s v="Nicole Gutierrez"/>
    <x v="29"/>
    <x v="0"/>
    <x v="5"/>
    <x v="642"/>
    <x v="165"/>
    <x v="57"/>
    <x v="1"/>
    <x v="1"/>
    <n v="51378.51"/>
    <x v="1"/>
    <x v="3"/>
  </r>
  <r>
    <x v="644"/>
    <s v="Carmen Williams"/>
    <x v="55"/>
    <x v="1"/>
    <x v="4"/>
    <x v="643"/>
    <x v="210"/>
    <x v="105"/>
    <x v="1"/>
    <x v="0"/>
    <n v="186117.32"/>
    <x v="0"/>
    <x v="11"/>
  </r>
  <r>
    <x v="645"/>
    <s v="Bradley Evans"/>
    <x v="51"/>
    <x v="1"/>
    <x v="1"/>
    <x v="644"/>
    <x v="118"/>
    <x v="81"/>
    <x v="8"/>
    <x v="4"/>
    <n v="174641.35"/>
    <x v="0"/>
    <x v="0"/>
  </r>
  <r>
    <x v="646"/>
    <s v="Kelly Jacobs"/>
    <x v="56"/>
    <x v="1"/>
    <x v="0"/>
    <x v="645"/>
    <x v="301"/>
    <x v="22"/>
    <x v="8"/>
    <x v="0"/>
    <n v="274948.98"/>
    <x v="0"/>
    <x v="1"/>
  </r>
  <r>
    <x v="647"/>
    <s v="Jeremiah Sampson"/>
    <x v="61"/>
    <x v="1"/>
    <x v="6"/>
    <x v="646"/>
    <x v="74"/>
    <x v="306"/>
    <x v="2"/>
    <x v="1"/>
    <n v="411298.82"/>
    <x v="2"/>
    <x v="7"/>
  </r>
  <r>
    <x v="648"/>
    <s v="Kyle Atkins"/>
    <x v="68"/>
    <x v="1"/>
    <x v="4"/>
    <x v="647"/>
    <x v="302"/>
    <x v="225"/>
    <x v="5"/>
    <x v="5"/>
    <n v="53273.760000000002"/>
    <x v="1"/>
    <x v="2"/>
  </r>
  <r>
    <x v="649"/>
    <s v="Kevin Taylor"/>
    <x v="30"/>
    <x v="1"/>
    <x v="1"/>
    <x v="648"/>
    <x v="303"/>
    <x v="285"/>
    <x v="8"/>
    <x v="2"/>
    <n v="473766.38"/>
    <x v="0"/>
    <x v="4"/>
  </r>
  <r>
    <x v="650"/>
    <s v="Jennifer Smith"/>
    <x v="63"/>
    <x v="1"/>
    <x v="1"/>
    <x v="649"/>
    <x v="5"/>
    <x v="191"/>
    <x v="4"/>
    <x v="3"/>
    <n v="175505.2"/>
    <x v="1"/>
    <x v="1"/>
  </r>
  <r>
    <x v="651"/>
    <s v="Jason Burnett"/>
    <x v="61"/>
    <x v="1"/>
    <x v="5"/>
    <x v="650"/>
    <x v="101"/>
    <x v="176"/>
    <x v="6"/>
    <x v="1"/>
    <n v="361765.25"/>
    <x v="1"/>
    <x v="7"/>
  </r>
  <r>
    <x v="652"/>
    <s v="Andre Lynch"/>
    <x v="22"/>
    <x v="1"/>
    <x v="3"/>
    <x v="651"/>
    <x v="20"/>
    <x v="188"/>
    <x v="9"/>
    <x v="5"/>
    <n v="87282.81"/>
    <x v="0"/>
    <x v="10"/>
  </r>
  <r>
    <x v="653"/>
    <s v="Julia Miller"/>
    <x v="37"/>
    <x v="1"/>
    <x v="2"/>
    <x v="652"/>
    <x v="150"/>
    <x v="307"/>
    <x v="1"/>
    <x v="4"/>
    <n v="260177.55"/>
    <x v="2"/>
    <x v="1"/>
  </r>
  <r>
    <x v="654"/>
    <s v="Joseph Miller"/>
    <x v="20"/>
    <x v="0"/>
    <x v="4"/>
    <x v="653"/>
    <x v="254"/>
    <x v="227"/>
    <x v="8"/>
    <x v="3"/>
    <n v="498028.69"/>
    <x v="2"/>
    <x v="2"/>
  </r>
  <r>
    <x v="655"/>
    <s v="Shannon Arellano"/>
    <x v="3"/>
    <x v="0"/>
    <x v="4"/>
    <x v="654"/>
    <x v="80"/>
    <x v="83"/>
    <x v="5"/>
    <x v="4"/>
    <n v="350347.73"/>
    <x v="1"/>
    <x v="14"/>
  </r>
  <r>
    <x v="656"/>
    <s v="Elizabeth Oneal"/>
    <x v="18"/>
    <x v="1"/>
    <x v="4"/>
    <x v="655"/>
    <x v="270"/>
    <x v="239"/>
    <x v="7"/>
    <x v="5"/>
    <n v="38383.019999999997"/>
    <x v="2"/>
    <x v="4"/>
  </r>
  <r>
    <x v="657"/>
    <s v="Sabrina Jackson"/>
    <x v="21"/>
    <x v="0"/>
    <x v="0"/>
    <x v="656"/>
    <x v="304"/>
    <x v="107"/>
    <x v="5"/>
    <x v="5"/>
    <n v="323319.76"/>
    <x v="0"/>
    <x v="12"/>
  </r>
  <r>
    <x v="658"/>
    <s v="Mark Rivera"/>
    <x v="39"/>
    <x v="0"/>
    <x v="1"/>
    <x v="657"/>
    <x v="276"/>
    <x v="279"/>
    <x v="1"/>
    <x v="0"/>
    <n v="266701.38"/>
    <x v="2"/>
    <x v="11"/>
  </r>
  <r>
    <x v="659"/>
    <s v="Melissa Mckenzie"/>
    <x v="43"/>
    <x v="0"/>
    <x v="2"/>
    <x v="658"/>
    <x v="7"/>
    <x v="26"/>
    <x v="2"/>
    <x v="3"/>
    <n v="38985.949999999997"/>
    <x v="0"/>
    <x v="8"/>
  </r>
  <r>
    <x v="660"/>
    <s v="Jaime Alexander"/>
    <x v="83"/>
    <x v="1"/>
    <x v="0"/>
    <x v="659"/>
    <x v="265"/>
    <x v="34"/>
    <x v="2"/>
    <x v="1"/>
    <n v="297718.48"/>
    <x v="1"/>
    <x v="7"/>
  </r>
  <r>
    <x v="661"/>
    <s v="Micheal Owens"/>
    <x v="67"/>
    <x v="1"/>
    <x v="0"/>
    <x v="660"/>
    <x v="305"/>
    <x v="27"/>
    <x v="5"/>
    <x v="1"/>
    <n v="210030"/>
    <x v="0"/>
    <x v="11"/>
  </r>
  <r>
    <x v="662"/>
    <s v="Stephanie Robinson"/>
    <x v="37"/>
    <x v="0"/>
    <x v="4"/>
    <x v="661"/>
    <x v="242"/>
    <x v="269"/>
    <x v="2"/>
    <x v="4"/>
    <n v="50169"/>
    <x v="2"/>
    <x v="9"/>
  </r>
  <r>
    <x v="663"/>
    <s v="Megan Watson"/>
    <x v="53"/>
    <x v="0"/>
    <x v="2"/>
    <x v="662"/>
    <x v="140"/>
    <x v="87"/>
    <x v="4"/>
    <x v="1"/>
    <n v="276652.2"/>
    <x v="0"/>
    <x v="8"/>
  </r>
  <r>
    <x v="664"/>
    <s v="Joann Wilson"/>
    <x v="20"/>
    <x v="1"/>
    <x v="1"/>
    <x v="663"/>
    <x v="134"/>
    <x v="226"/>
    <x v="7"/>
    <x v="0"/>
    <n v="131780.87"/>
    <x v="2"/>
    <x v="5"/>
  </r>
  <r>
    <x v="665"/>
    <s v="Tracy Lamb"/>
    <x v="50"/>
    <x v="0"/>
    <x v="1"/>
    <x v="664"/>
    <x v="88"/>
    <x v="171"/>
    <x v="3"/>
    <x v="1"/>
    <n v="107411.31"/>
    <x v="1"/>
    <x v="9"/>
  </r>
  <r>
    <x v="666"/>
    <s v="Shane Hill"/>
    <x v="55"/>
    <x v="1"/>
    <x v="5"/>
    <x v="665"/>
    <x v="306"/>
    <x v="144"/>
    <x v="6"/>
    <x v="3"/>
    <n v="378089.32"/>
    <x v="1"/>
    <x v="3"/>
  </r>
  <r>
    <x v="667"/>
    <s v="Robert Williams"/>
    <x v="35"/>
    <x v="0"/>
    <x v="4"/>
    <x v="666"/>
    <x v="154"/>
    <x v="169"/>
    <x v="1"/>
    <x v="2"/>
    <n v="125814.7"/>
    <x v="2"/>
    <x v="7"/>
  </r>
  <r>
    <x v="668"/>
    <s v="Savannah Kemp"/>
    <x v="64"/>
    <x v="0"/>
    <x v="0"/>
    <x v="667"/>
    <x v="208"/>
    <x v="308"/>
    <x v="1"/>
    <x v="3"/>
    <n v="86266.15"/>
    <x v="1"/>
    <x v="10"/>
  </r>
  <r>
    <x v="669"/>
    <s v="Jordan Jones"/>
    <x v="83"/>
    <x v="0"/>
    <x v="2"/>
    <x v="668"/>
    <x v="70"/>
    <x v="220"/>
    <x v="9"/>
    <x v="4"/>
    <n v="93611.13"/>
    <x v="2"/>
    <x v="10"/>
  </r>
  <r>
    <x v="670"/>
    <s v="Sharon Coleman"/>
    <x v="73"/>
    <x v="1"/>
    <x v="1"/>
    <x v="669"/>
    <x v="281"/>
    <x v="235"/>
    <x v="5"/>
    <x v="1"/>
    <n v="29403.59"/>
    <x v="2"/>
    <x v="4"/>
  </r>
  <r>
    <x v="671"/>
    <s v="Teresa Grant"/>
    <x v="20"/>
    <x v="0"/>
    <x v="6"/>
    <x v="670"/>
    <x v="235"/>
    <x v="297"/>
    <x v="4"/>
    <x v="1"/>
    <n v="490026.19"/>
    <x v="1"/>
    <x v="8"/>
  </r>
  <r>
    <x v="672"/>
    <s v="Danny Torres"/>
    <x v="41"/>
    <x v="1"/>
    <x v="0"/>
    <x v="671"/>
    <x v="200"/>
    <x v="187"/>
    <x v="7"/>
    <x v="2"/>
    <n v="22856.57"/>
    <x v="2"/>
    <x v="13"/>
  </r>
  <r>
    <x v="673"/>
    <s v="Samantha Lam"/>
    <x v="5"/>
    <x v="0"/>
    <x v="4"/>
    <x v="672"/>
    <x v="104"/>
    <x v="22"/>
    <x v="5"/>
    <x v="3"/>
    <n v="229418.98"/>
    <x v="1"/>
    <x v="4"/>
  </r>
  <r>
    <x v="674"/>
    <s v="Anna Richards"/>
    <x v="13"/>
    <x v="1"/>
    <x v="6"/>
    <x v="673"/>
    <x v="29"/>
    <x v="275"/>
    <x v="4"/>
    <x v="1"/>
    <n v="454601.94"/>
    <x v="0"/>
    <x v="1"/>
  </r>
  <r>
    <x v="675"/>
    <s v="Virginia Lee"/>
    <x v="19"/>
    <x v="0"/>
    <x v="1"/>
    <x v="674"/>
    <x v="228"/>
    <x v="71"/>
    <x v="0"/>
    <x v="4"/>
    <n v="440552.24"/>
    <x v="0"/>
    <x v="9"/>
  </r>
  <r>
    <x v="676"/>
    <s v="Billy Harris"/>
    <x v="28"/>
    <x v="1"/>
    <x v="3"/>
    <x v="675"/>
    <x v="307"/>
    <x v="299"/>
    <x v="7"/>
    <x v="4"/>
    <n v="250562.74"/>
    <x v="1"/>
    <x v="12"/>
  </r>
  <r>
    <x v="677"/>
    <s v="Robert Bradley"/>
    <x v="17"/>
    <x v="0"/>
    <x v="6"/>
    <x v="676"/>
    <x v="218"/>
    <x v="91"/>
    <x v="9"/>
    <x v="1"/>
    <n v="63499.44"/>
    <x v="2"/>
    <x v="3"/>
  </r>
  <r>
    <x v="678"/>
    <s v="Adam Smith"/>
    <x v="3"/>
    <x v="1"/>
    <x v="2"/>
    <x v="677"/>
    <x v="104"/>
    <x v="309"/>
    <x v="6"/>
    <x v="0"/>
    <n v="100592.89"/>
    <x v="1"/>
    <x v="11"/>
  </r>
  <r>
    <x v="679"/>
    <s v="Mark Costa"/>
    <x v="34"/>
    <x v="0"/>
    <x v="6"/>
    <x v="678"/>
    <x v="100"/>
    <x v="94"/>
    <x v="7"/>
    <x v="4"/>
    <n v="169167.54"/>
    <x v="1"/>
    <x v="12"/>
  </r>
  <r>
    <x v="680"/>
    <s v="Jasmine Gross"/>
    <x v="57"/>
    <x v="1"/>
    <x v="2"/>
    <x v="679"/>
    <x v="99"/>
    <x v="310"/>
    <x v="3"/>
    <x v="4"/>
    <n v="11488.38"/>
    <x v="0"/>
    <x v="11"/>
  </r>
  <r>
    <x v="681"/>
    <s v="Karen Kim"/>
    <x v="6"/>
    <x v="0"/>
    <x v="5"/>
    <x v="680"/>
    <x v="308"/>
    <x v="311"/>
    <x v="9"/>
    <x v="4"/>
    <n v="136830.28"/>
    <x v="0"/>
    <x v="9"/>
  </r>
  <r>
    <x v="682"/>
    <s v="Teresa Day"/>
    <x v="62"/>
    <x v="0"/>
    <x v="6"/>
    <x v="681"/>
    <x v="186"/>
    <x v="296"/>
    <x v="6"/>
    <x v="3"/>
    <n v="183996.28"/>
    <x v="1"/>
    <x v="4"/>
  </r>
  <r>
    <x v="683"/>
    <s v="Sean Carter"/>
    <x v="72"/>
    <x v="1"/>
    <x v="3"/>
    <x v="682"/>
    <x v="52"/>
    <x v="211"/>
    <x v="8"/>
    <x v="1"/>
    <n v="92908.12"/>
    <x v="1"/>
    <x v="9"/>
  </r>
  <r>
    <x v="684"/>
    <s v="Mariah Lloyd"/>
    <x v="37"/>
    <x v="1"/>
    <x v="2"/>
    <x v="683"/>
    <x v="37"/>
    <x v="251"/>
    <x v="8"/>
    <x v="5"/>
    <n v="488658.29"/>
    <x v="1"/>
    <x v="8"/>
  </r>
  <r>
    <x v="685"/>
    <s v="Amy Mays"/>
    <x v="42"/>
    <x v="0"/>
    <x v="0"/>
    <x v="684"/>
    <x v="30"/>
    <x v="164"/>
    <x v="9"/>
    <x v="2"/>
    <n v="147132.10999999999"/>
    <x v="2"/>
    <x v="2"/>
  </r>
  <r>
    <x v="686"/>
    <s v="Ryan Oneill"/>
    <x v="77"/>
    <x v="1"/>
    <x v="2"/>
    <x v="685"/>
    <x v="309"/>
    <x v="303"/>
    <x v="2"/>
    <x v="1"/>
    <n v="345099.35"/>
    <x v="0"/>
    <x v="6"/>
  </r>
  <r>
    <x v="687"/>
    <s v="James Jacobs"/>
    <x v="24"/>
    <x v="0"/>
    <x v="3"/>
    <x v="686"/>
    <x v="4"/>
    <x v="199"/>
    <x v="6"/>
    <x v="5"/>
    <n v="98062.75"/>
    <x v="0"/>
    <x v="5"/>
  </r>
  <r>
    <x v="688"/>
    <s v="Steven Mendoza"/>
    <x v="64"/>
    <x v="1"/>
    <x v="4"/>
    <x v="687"/>
    <x v="39"/>
    <x v="254"/>
    <x v="4"/>
    <x v="5"/>
    <n v="167667.23000000001"/>
    <x v="0"/>
    <x v="9"/>
  </r>
  <r>
    <x v="689"/>
    <s v="Christina Gilbert"/>
    <x v="28"/>
    <x v="0"/>
    <x v="6"/>
    <x v="688"/>
    <x v="258"/>
    <x v="225"/>
    <x v="7"/>
    <x v="0"/>
    <n v="9990.94"/>
    <x v="0"/>
    <x v="4"/>
  </r>
  <r>
    <x v="690"/>
    <s v="Rebecca Meza"/>
    <x v="2"/>
    <x v="0"/>
    <x v="0"/>
    <x v="689"/>
    <x v="108"/>
    <x v="310"/>
    <x v="5"/>
    <x v="4"/>
    <n v="118764.2"/>
    <x v="1"/>
    <x v="10"/>
  </r>
  <r>
    <x v="691"/>
    <s v="David Thornton"/>
    <x v="43"/>
    <x v="1"/>
    <x v="0"/>
    <x v="35"/>
    <x v="290"/>
    <x v="63"/>
    <x v="7"/>
    <x v="2"/>
    <n v="432481.95"/>
    <x v="2"/>
    <x v="4"/>
  </r>
  <r>
    <x v="692"/>
    <s v="Kelly Jones"/>
    <x v="86"/>
    <x v="1"/>
    <x v="2"/>
    <x v="690"/>
    <x v="49"/>
    <x v="88"/>
    <x v="3"/>
    <x v="3"/>
    <n v="284724.15999999997"/>
    <x v="0"/>
    <x v="8"/>
  </r>
  <r>
    <x v="693"/>
    <s v="Mark Barber"/>
    <x v="79"/>
    <x v="0"/>
    <x v="0"/>
    <x v="401"/>
    <x v="204"/>
    <x v="155"/>
    <x v="1"/>
    <x v="2"/>
    <n v="499617.89"/>
    <x v="1"/>
    <x v="14"/>
  </r>
  <r>
    <x v="694"/>
    <s v="Robert Shelton"/>
    <x v="42"/>
    <x v="1"/>
    <x v="0"/>
    <x v="691"/>
    <x v="285"/>
    <x v="305"/>
    <x v="8"/>
    <x v="3"/>
    <n v="326255.82"/>
    <x v="1"/>
    <x v="8"/>
  </r>
  <r>
    <x v="695"/>
    <s v="Carol Carroll MD"/>
    <x v="37"/>
    <x v="0"/>
    <x v="6"/>
    <x v="692"/>
    <x v="262"/>
    <x v="193"/>
    <x v="8"/>
    <x v="4"/>
    <n v="381363.14"/>
    <x v="2"/>
    <x v="7"/>
  </r>
  <r>
    <x v="696"/>
    <s v="Mr. Shawn Vazquez"/>
    <x v="77"/>
    <x v="0"/>
    <x v="2"/>
    <x v="693"/>
    <x v="79"/>
    <x v="82"/>
    <x v="1"/>
    <x v="5"/>
    <n v="308836.31"/>
    <x v="0"/>
    <x v="8"/>
  </r>
  <r>
    <x v="697"/>
    <s v="Jeanette Sweeney"/>
    <x v="62"/>
    <x v="0"/>
    <x v="4"/>
    <x v="694"/>
    <x v="228"/>
    <x v="312"/>
    <x v="0"/>
    <x v="2"/>
    <n v="375009.59"/>
    <x v="0"/>
    <x v="6"/>
  </r>
  <r>
    <x v="698"/>
    <s v="Michelle Garcia"/>
    <x v="58"/>
    <x v="1"/>
    <x v="4"/>
    <x v="695"/>
    <x v="297"/>
    <x v="48"/>
    <x v="6"/>
    <x v="1"/>
    <n v="419033.92"/>
    <x v="2"/>
    <x v="14"/>
  </r>
  <r>
    <x v="699"/>
    <s v="Charles Gardner"/>
    <x v="2"/>
    <x v="1"/>
    <x v="4"/>
    <x v="696"/>
    <x v="310"/>
    <x v="86"/>
    <x v="0"/>
    <x v="5"/>
    <n v="376561"/>
    <x v="0"/>
    <x v="12"/>
  </r>
  <r>
    <x v="700"/>
    <s v="Philip Jones"/>
    <x v="7"/>
    <x v="0"/>
    <x v="5"/>
    <x v="697"/>
    <x v="271"/>
    <x v="242"/>
    <x v="8"/>
    <x v="5"/>
    <n v="335360.38"/>
    <x v="1"/>
    <x v="8"/>
  </r>
  <r>
    <x v="701"/>
    <s v="Jeremy Bishop"/>
    <x v="19"/>
    <x v="1"/>
    <x v="4"/>
    <x v="698"/>
    <x v="197"/>
    <x v="162"/>
    <x v="5"/>
    <x v="0"/>
    <n v="438866.74"/>
    <x v="2"/>
    <x v="13"/>
  </r>
  <r>
    <x v="702"/>
    <s v="David Hatfield"/>
    <x v="41"/>
    <x v="0"/>
    <x v="0"/>
    <x v="558"/>
    <x v="180"/>
    <x v="313"/>
    <x v="0"/>
    <x v="1"/>
    <n v="278890.89"/>
    <x v="1"/>
    <x v="8"/>
  </r>
  <r>
    <x v="703"/>
    <s v="Shannon Martin"/>
    <x v="54"/>
    <x v="0"/>
    <x v="3"/>
    <x v="699"/>
    <x v="99"/>
    <x v="107"/>
    <x v="0"/>
    <x v="3"/>
    <n v="378075.45"/>
    <x v="1"/>
    <x v="7"/>
  </r>
  <r>
    <x v="704"/>
    <s v="Jacob Hamilton"/>
    <x v="13"/>
    <x v="0"/>
    <x v="2"/>
    <x v="64"/>
    <x v="251"/>
    <x v="72"/>
    <x v="1"/>
    <x v="5"/>
    <n v="419887.22"/>
    <x v="1"/>
    <x v="0"/>
  </r>
  <r>
    <x v="705"/>
    <s v="Terry White"/>
    <x v="81"/>
    <x v="0"/>
    <x v="5"/>
    <x v="700"/>
    <x v="194"/>
    <x v="280"/>
    <x v="7"/>
    <x v="3"/>
    <n v="229962.36"/>
    <x v="2"/>
    <x v="2"/>
  </r>
  <r>
    <x v="706"/>
    <s v="Andrew Ingram"/>
    <x v="53"/>
    <x v="1"/>
    <x v="5"/>
    <x v="701"/>
    <x v="190"/>
    <x v="149"/>
    <x v="9"/>
    <x v="1"/>
    <n v="380309.43"/>
    <x v="1"/>
    <x v="8"/>
  </r>
  <r>
    <x v="707"/>
    <s v="Jennifer Hill"/>
    <x v="77"/>
    <x v="0"/>
    <x v="4"/>
    <x v="702"/>
    <x v="311"/>
    <x v="35"/>
    <x v="6"/>
    <x v="1"/>
    <n v="270411.71000000002"/>
    <x v="0"/>
    <x v="14"/>
  </r>
  <r>
    <x v="708"/>
    <s v="David Hansen"/>
    <x v="43"/>
    <x v="1"/>
    <x v="3"/>
    <x v="703"/>
    <x v="81"/>
    <x v="182"/>
    <x v="2"/>
    <x v="5"/>
    <n v="381312.34"/>
    <x v="1"/>
    <x v="1"/>
  </r>
  <r>
    <x v="709"/>
    <s v="Jillian Chavez MD"/>
    <x v="31"/>
    <x v="0"/>
    <x v="0"/>
    <x v="704"/>
    <x v="91"/>
    <x v="208"/>
    <x v="5"/>
    <x v="4"/>
    <n v="468270.16"/>
    <x v="0"/>
    <x v="9"/>
  </r>
  <r>
    <x v="710"/>
    <s v="Anthony Mason"/>
    <x v="15"/>
    <x v="0"/>
    <x v="5"/>
    <x v="705"/>
    <x v="14"/>
    <x v="264"/>
    <x v="3"/>
    <x v="4"/>
    <n v="417593.41"/>
    <x v="1"/>
    <x v="8"/>
  </r>
  <r>
    <x v="711"/>
    <s v="Mrs. Whitney Velazquez"/>
    <x v="29"/>
    <x v="1"/>
    <x v="1"/>
    <x v="706"/>
    <x v="265"/>
    <x v="149"/>
    <x v="2"/>
    <x v="1"/>
    <n v="174289.87"/>
    <x v="2"/>
    <x v="12"/>
  </r>
  <r>
    <x v="712"/>
    <s v="Tammy Oconnor"/>
    <x v="85"/>
    <x v="0"/>
    <x v="4"/>
    <x v="707"/>
    <x v="104"/>
    <x v="169"/>
    <x v="1"/>
    <x v="0"/>
    <n v="385997.93"/>
    <x v="1"/>
    <x v="13"/>
  </r>
  <r>
    <x v="713"/>
    <s v="Thomas Richardson"/>
    <x v="66"/>
    <x v="1"/>
    <x v="4"/>
    <x v="708"/>
    <x v="48"/>
    <x v="275"/>
    <x v="9"/>
    <x v="3"/>
    <n v="66819.47"/>
    <x v="0"/>
    <x v="11"/>
  </r>
  <r>
    <x v="714"/>
    <s v="Lisa Bennett"/>
    <x v="69"/>
    <x v="0"/>
    <x v="5"/>
    <x v="709"/>
    <x v="27"/>
    <x v="137"/>
    <x v="5"/>
    <x v="5"/>
    <n v="9844.7800000000007"/>
    <x v="0"/>
    <x v="4"/>
  </r>
  <r>
    <x v="715"/>
    <s v="Joseph Walker"/>
    <x v="30"/>
    <x v="0"/>
    <x v="6"/>
    <x v="710"/>
    <x v="96"/>
    <x v="73"/>
    <x v="0"/>
    <x v="4"/>
    <n v="350903.22"/>
    <x v="1"/>
    <x v="6"/>
  </r>
  <r>
    <x v="716"/>
    <s v="Rachel Dorsey"/>
    <x v="24"/>
    <x v="0"/>
    <x v="2"/>
    <x v="711"/>
    <x v="296"/>
    <x v="148"/>
    <x v="1"/>
    <x v="4"/>
    <n v="80182.3"/>
    <x v="0"/>
    <x v="1"/>
  </r>
  <r>
    <x v="717"/>
    <s v="Stephanie Moore"/>
    <x v="67"/>
    <x v="0"/>
    <x v="2"/>
    <x v="712"/>
    <x v="42"/>
    <x v="234"/>
    <x v="9"/>
    <x v="2"/>
    <n v="82742.86"/>
    <x v="2"/>
    <x v="13"/>
  </r>
  <r>
    <x v="718"/>
    <s v="Nancy Escobar"/>
    <x v="52"/>
    <x v="0"/>
    <x v="1"/>
    <x v="713"/>
    <x v="121"/>
    <x v="120"/>
    <x v="2"/>
    <x v="2"/>
    <n v="339099.28"/>
    <x v="0"/>
    <x v="8"/>
  </r>
  <r>
    <x v="719"/>
    <s v="Theresa Kirby"/>
    <x v="2"/>
    <x v="0"/>
    <x v="1"/>
    <x v="714"/>
    <x v="0"/>
    <x v="37"/>
    <x v="8"/>
    <x v="5"/>
    <n v="340849.38"/>
    <x v="2"/>
    <x v="4"/>
  </r>
  <r>
    <x v="720"/>
    <s v="Joseph Potter"/>
    <x v="29"/>
    <x v="1"/>
    <x v="5"/>
    <x v="715"/>
    <x v="141"/>
    <x v="104"/>
    <x v="6"/>
    <x v="0"/>
    <n v="180815.55"/>
    <x v="0"/>
    <x v="7"/>
  </r>
  <r>
    <x v="721"/>
    <s v="Willie Henson"/>
    <x v="13"/>
    <x v="1"/>
    <x v="0"/>
    <x v="716"/>
    <x v="302"/>
    <x v="257"/>
    <x v="2"/>
    <x v="1"/>
    <n v="164482.53"/>
    <x v="2"/>
    <x v="8"/>
  </r>
  <r>
    <x v="722"/>
    <s v="Crystal Taylor"/>
    <x v="5"/>
    <x v="1"/>
    <x v="5"/>
    <x v="717"/>
    <x v="227"/>
    <x v="308"/>
    <x v="8"/>
    <x v="1"/>
    <n v="154762.57999999999"/>
    <x v="0"/>
    <x v="14"/>
  </r>
  <r>
    <x v="723"/>
    <s v="Kathryn Pittman"/>
    <x v="24"/>
    <x v="0"/>
    <x v="2"/>
    <x v="718"/>
    <x v="54"/>
    <x v="189"/>
    <x v="1"/>
    <x v="4"/>
    <n v="273134.75"/>
    <x v="0"/>
    <x v="4"/>
  </r>
  <r>
    <x v="724"/>
    <s v="Christine Heath"/>
    <x v="46"/>
    <x v="1"/>
    <x v="0"/>
    <x v="719"/>
    <x v="247"/>
    <x v="302"/>
    <x v="3"/>
    <x v="2"/>
    <n v="121007.62"/>
    <x v="1"/>
    <x v="8"/>
  </r>
  <r>
    <x v="725"/>
    <s v="Michael Arias"/>
    <x v="45"/>
    <x v="1"/>
    <x v="2"/>
    <x v="720"/>
    <x v="46"/>
    <x v="140"/>
    <x v="5"/>
    <x v="4"/>
    <n v="82015.929999999993"/>
    <x v="1"/>
    <x v="8"/>
  </r>
  <r>
    <x v="726"/>
    <s v="Eric Hess"/>
    <x v="17"/>
    <x v="1"/>
    <x v="3"/>
    <x v="721"/>
    <x v="312"/>
    <x v="100"/>
    <x v="7"/>
    <x v="2"/>
    <n v="355794.68"/>
    <x v="0"/>
    <x v="11"/>
  </r>
  <r>
    <x v="727"/>
    <s v="David Morrison"/>
    <x v="81"/>
    <x v="1"/>
    <x v="0"/>
    <x v="722"/>
    <x v="76"/>
    <x v="145"/>
    <x v="5"/>
    <x v="0"/>
    <n v="85791.81"/>
    <x v="2"/>
    <x v="9"/>
  </r>
  <r>
    <x v="728"/>
    <s v="Janet Pierce"/>
    <x v="8"/>
    <x v="1"/>
    <x v="3"/>
    <x v="723"/>
    <x v="111"/>
    <x v="77"/>
    <x v="1"/>
    <x v="4"/>
    <n v="306060.44"/>
    <x v="0"/>
    <x v="14"/>
  </r>
  <r>
    <x v="729"/>
    <s v="Nicole Cooley"/>
    <x v="64"/>
    <x v="1"/>
    <x v="2"/>
    <x v="724"/>
    <x v="46"/>
    <x v="215"/>
    <x v="9"/>
    <x v="1"/>
    <n v="292075.17"/>
    <x v="1"/>
    <x v="7"/>
  </r>
  <r>
    <x v="730"/>
    <s v="James Ramsey II"/>
    <x v="37"/>
    <x v="0"/>
    <x v="6"/>
    <x v="725"/>
    <x v="64"/>
    <x v="11"/>
    <x v="0"/>
    <x v="1"/>
    <n v="443334.48"/>
    <x v="1"/>
    <x v="11"/>
  </r>
  <r>
    <x v="731"/>
    <s v="Austin Cook"/>
    <x v="61"/>
    <x v="1"/>
    <x v="6"/>
    <x v="421"/>
    <x v="186"/>
    <x v="2"/>
    <x v="3"/>
    <x v="3"/>
    <n v="182555.44"/>
    <x v="1"/>
    <x v="9"/>
  </r>
  <r>
    <x v="732"/>
    <s v="Sarah Moore"/>
    <x v="88"/>
    <x v="0"/>
    <x v="1"/>
    <x v="726"/>
    <x v="282"/>
    <x v="166"/>
    <x v="6"/>
    <x v="4"/>
    <n v="119745.17"/>
    <x v="0"/>
    <x v="10"/>
  </r>
  <r>
    <x v="733"/>
    <s v="Andrew Branch"/>
    <x v="67"/>
    <x v="1"/>
    <x v="5"/>
    <x v="727"/>
    <x v="191"/>
    <x v="242"/>
    <x v="6"/>
    <x v="1"/>
    <n v="232217.42"/>
    <x v="1"/>
    <x v="0"/>
  </r>
  <r>
    <x v="734"/>
    <s v="Latasha Greene"/>
    <x v="32"/>
    <x v="0"/>
    <x v="2"/>
    <x v="728"/>
    <x v="291"/>
    <x v="233"/>
    <x v="0"/>
    <x v="5"/>
    <n v="459212.67"/>
    <x v="0"/>
    <x v="12"/>
  </r>
  <r>
    <x v="735"/>
    <s v="Katrina Paul"/>
    <x v="35"/>
    <x v="1"/>
    <x v="6"/>
    <x v="729"/>
    <x v="313"/>
    <x v="4"/>
    <x v="9"/>
    <x v="0"/>
    <n v="222509.54"/>
    <x v="1"/>
    <x v="12"/>
  </r>
  <r>
    <x v="736"/>
    <s v="Stephanie Foley"/>
    <x v="51"/>
    <x v="1"/>
    <x v="1"/>
    <x v="730"/>
    <x v="314"/>
    <x v="86"/>
    <x v="3"/>
    <x v="4"/>
    <n v="375359.88"/>
    <x v="2"/>
    <x v="0"/>
  </r>
  <r>
    <x v="737"/>
    <s v="Mikayla Phillips MD"/>
    <x v="72"/>
    <x v="0"/>
    <x v="1"/>
    <x v="731"/>
    <x v="103"/>
    <x v="287"/>
    <x v="1"/>
    <x v="2"/>
    <n v="351452.29"/>
    <x v="1"/>
    <x v="3"/>
  </r>
  <r>
    <x v="738"/>
    <s v="Dr. Andrew Mcclure"/>
    <x v="45"/>
    <x v="1"/>
    <x v="2"/>
    <x v="732"/>
    <x v="66"/>
    <x v="119"/>
    <x v="5"/>
    <x v="2"/>
    <n v="390425.38"/>
    <x v="2"/>
    <x v="8"/>
  </r>
  <r>
    <x v="739"/>
    <s v="Gregory Ellis"/>
    <x v="0"/>
    <x v="1"/>
    <x v="5"/>
    <x v="733"/>
    <x v="304"/>
    <x v="107"/>
    <x v="1"/>
    <x v="1"/>
    <n v="268209.7"/>
    <x v="0"/>
    <x v="12"/>
  </r>
  <r>
    <x v="740"/>
    <s v="James Jefferson"/>
    <x v="74"/>
    <x v="1"/>
    <x v="6"/>
    <x v="734"/>
    <x v="127"/>
    <x v="259"/>
    <x v="3"/>
    <x v="1"/>
    <n v="188545.18"/>
    <x v="2"/>
    <x v="1"/>
  </r>
  <r>
    <x v="741"/>
    <s v="Denise Bell"/>
    <x v="69"/>
    <x v="0"/>
    <x v="2"/>
    <x v="735"/>
    <x v="307"/>
    <x v="236"/>
    <x v="5"/>
    <x v="4"/>
    <n v="499085.25"/>
    <x v="1"/>
    <x v="3"/>
  </r>
  <r>
    <x v="742"/>
    <s v="Derek Ramirez"/>
    <x v="53"/>
    <x v="0"/>
    <x v="1"/>
    <x v="736"/>
    <x v="144"/>
    <x v="104"/>
    <x v="2"/>
    <x v="1"/>
    <n v="316503.98"/>
    <x v="0"/>
    <x v="10"/>
  </r>
  <r>
    <x v="743"/>
    <s v="Larry Bradley"/>
    <x v="14"/>
    <x v="1"/>
    <x v="0"/>
    <x v="737"/>
    <x v="153"/>
    <x v="179"/>
    <x v="3"/>
    <x v="5"/>
    <n v="491620.79"/>
    <x v="1"/>
    <x v="2"/>
  </r>
  <r>
    <x v="744"/>
    <s v="Daniel Thornton"/>
    <x v="66"/>
    <x v="1"/>
    <x v="2"/>
    <x v="738"/>
    <x v="121"/>
    <x v="128"/>
    <x v="6"/>
    <x v="0"/>
    <n v="455112.52"/>
    <x v="0"/>
    <x v="10"/>
  </r>
  <r>
    <x v="745"/>
    <s v="Albert Kim"/>
    <x v="76"/>
    <x v="1"/>
    <x v="0"/>
    <x v="739"/>
    <x v="161"/>
    <x v="175"/>
    <x v="5"/>
    <x v="0"/>
    <n v="92847.56"/>
    <x v="1"/>
    <x v="1"/>
  </r>
  <r>
    <x v="746"/>
    <s v="Molly Burns"/>
    <x v="62"/>
    <x v="1"/>
    <x v="6"/>
    <x v="740"/>
    <x v="198"/>
    <x v="16"/>
    <x v="6"/>
    <x v="1"/>
    <n v="158644.04999999999"/>
    <x v="2"/>
    <x v="12"/>
  </r>
  <r>
    <x v="747"/>
    <s v="Michelle Riddle"/>
    <x v="43"/>
    <x v="1"/>
    <x v="2"/>
    <x v="741"/>
    <x v="291"/>
    <x v="114"/>
    <x v="8"/>
    <x v="0"/>
    <n v="392676.75"/>
    <x v="2"/>
    <x v="11"/>
  </r>
  <r>
    <x v="748"/>
    <s v="Vicki Edwards"/>
    <x v="44"/>
    <x v="0"/>
    <x v="6"/>
    <x v="742"/>
    <x v="293"/>
    <x v="186"/>
    <x v="3"/>
    <x v="5"/>
    <n v="322811.92"/>
    <x v="0"/>
    <x v="3"/>
  </r>
  <r>
    <x v="749"/>
    <s v="Jason Byrd"/>
    <x v="23"/>
    <x v="1"/>
    <x v="5"/>
    <x v="743"/>
    <x v="8"/>
    <x v="294"/>
    <x v="6"/>
    <x v="4"/>
    <n v="332405.86"/>
    <x v="1"/>
    <x v="9"/>
  </r>
  <r>
    <x v="750"/>
    <s v="Tony Wilson"/>
    <x v="8"/>
    <x v="1"/>
    <x v="2"/>
    <x v="744"/>
    <x v="315"/>
    <x v="314"/>
    <x v="0"/>
    <x v="5"/>
    <n v="57724.62"/>
    <x v="0"/>
    <x v="12"/>
  </r>
  <r>
    <x v="751"/>
    <s v="Deanna Conner"/>
    <x v="53"/>
    <x v="1"/>
    <x v="0"/>
    <x v="745"/>
    <x v="244"/>
    <x v="117"/>
    <x v="1"/>
    <x v="3"/>
    <n v="364680.03"/>
    <x v="0"/>
    <x v="9"/>
  </r>
  <r>
    <x v="752"/>
    <s v="Rachel Wheeler PhD"/>
    <x v="18"/>
    <x v="0"/>
    <x v="2"/>
    <x v="746"/>
    <x v="78"/>
    <x v="237"/>
    <x v="3"/>
    <x v="1"/>
    <n v="374616.3"/>
    <x v="1"/>
    <x v="14"/>
  </r>
  <r>
    <x v="753"/>
    <s v="Joshua Jones"/>
    <x v="15"/>
    <x v="0"/>
    <x v="3"/>
    <x v="747"/>
    <x v="52"/>
    <x v="71"/>
    <x v="4"/>
    <x v="0"/>
    <n v="443200.14"/>
    <x v="1"/>
    <x v="1"/>
  </r>
  <r>
    <x v="754"/>
    <s v="James Clark"/>
    <x v="16"/>
    <x v="0"/>
    <x v="4"/>
    <x v="748"/>
    <x v="132"/>
    <x v="277"/>
    <x v="0"/>
    <x v="3"/>
    <n v="37171.85"/>
    <x v="2"/>
    <x v="10"/>
  </r>
  <r>
    <x v="755"/>
    <s v="Wendy Vincent"/>
    <x v="53"/>
    <x v="1"/>
    <x v="0"/>
    <x v="749"/>
    <x v="158"/>
    <x v="55"/>
    <x v="0"/>
    <x v="0"/>
    <n v="419695.47"/>
    <x v="1"/>
    <x v="4"/>
  </r>
  <r>
    <x v="756"/>
    <s v="William Richardson"/>
    <x v="43"/>
    <x v="0"/>
    <x v="1"/>
    <x v="750"/>
    <x v="247"/>
    <x v="169"/>
    <x v="3"/>
    <x v="2"/>
    <n v="486177.03"/>
    <x v="0"/>
    <x v="1"/>
  </r>
  <r>
    <x v="757"/>
    <s v="Michael Franklin"/>
    <x v="0"/>
    <x v="1"/>
    <x v="6"/>
    <x v="751"/>
    <x v="280"/>
    <x v="237"/>
    <x v="8"/>
    <x v="2"/>
    <n v="260501.99"/>
    <x v="2"/>
    <x v="4"/>
  </r>
  <r>
    <x v="758"/>
    <s v="Brett Thompson"/>
    <x v="42"/>
    <x v="1"/>
    <x v="0"/>
    <x v="752"/>
    <x v="252"/>
    <x v="242"/>
    <x v="8"/>
    <x v="5"/>
    <n v="243482.93"/>
    <x v="1"/>
    <x v="14"/>
  </r>
  <r>
    <x v="759"/>
    <s v="Joshua Sparks"/>
    <x v="27"/>
    <x v="1"/>
    <x v="5"/>
    <x v="753"/>
    <x v="36"/>
    <x v="315"/>
    <x v="2"/>
    <x v="1"/>
    <n v="102733.05"/>
    <x v="0"/>
    <x v="4"/>
  </r>
  <r>
    <x v="760"/>
    <s v="Steven Neal"/>
    <x v="69"/>
    <x v="0"/>
    <x v="1"/>
    <x v="754"/>
    <x v="199"/>
    <x v="311"/>
    <x v="8"/>
    <x v="4"/>
    <n v="6965.91"/>
    <x v="0"/>
    <x v="14"/>
  </r>
  <r>
    <x v="761"/>
    <s v="Mary Salinas"/>
    <x v="63"/>
    <x v="0"/>
    <x v="3"/>
    <x v="755"/>
    <x v="130"/>
    <x v="249"/>
    <x v="0"/>
    <x v="2"/>
    <n v="303391.11"/>
    <x v="0"/>
    <x v="13"/>
  </r>
  <r>
    <x v="762"/>
    <s v="Linda Williams"/>
    <x v="70"/>
    <x v="1"/>
    <x v="3"/>
    <x v="756"/>
    <x v="308"/>
    <x v="29"/>
    <x v="6"/>
    <x v="4"/>
    <n v="19248.919999999998"/>
    <x v="1"/>
    <x v="3"/>
  </r>
  <r>
    <x v="763"/>
    <s v="Todd Myers"/>
    <x v="18"/>
    <x v="0"/>
    <x v="3"/>
    <x v="757"/>
    <x v="298"/>
    <x v="220"/>
    <x v="5"/>
    <x v="3"/>
    <n v="277198.77"/>
    <x v="1"/>
    <x v="2"/>
  </r>
  <r>
    <x v="764"/>
    <s v="Kelly Castillo"/>
    <x v="36"/>
    <x v="0"/>
    <x v="4"/>
    <x v="758"/>
    <x v="21"/>
    <x v="230"/>
    <x v="1"/>
    <x v="5"/>
    <n v="116151.95"/>
    <x v="0"/>
    <x v="9"/>
  </r>
  <r>
    <x v="765"/>
    <s v="Mark Kidd"/>
    <x v="23"/>
    <x v="1"/>
    <x v="1"/>
    <x v="759"/>
    <x v="316"/>
    <x v="196"/>
    <x v="0"/>
    <x v="0"/>
    <n v="407200.73"/>
    <x v="2"/>
    <x v="11"/>
  </r>
  <r>
    <x v="766"/>
    <s v="Patrick King"/>
    <x v="19"/>
    <x v="1"/>
    <x v="5"/>
    <x v="760"/>
    <x v="169"/>
    <x v="280"/>
    <x v="6"/>
    <x v="4"/>
    <n v="127066.96"/>
    <x v="2"/>
    <x v="12"/>
  </r>
  <r>
    <x v="767"/>
    <s v="Rodney Anderson"/>
    <x v="33"/>
    <x v="1"/>
    <x v="1"/>
    <x v="761"/>
    <x v="12"/>
    <x v="316"/>
    <x v="7"/>
    <x v="5"/>
    <n v="66468.75"/>
    <x v="2"/>
    <x v="11"/>
  </r>
  <r>
    <x v="768"/>
    <s v="Susan Guerrero"/>
    <x v="75"/>
    <x v="0"/>
    <x v="1"/>
    <x v="762"/>
    <x v="135"/>
    <x v="10"/>
    <x v="0"/>
    <x v="0"/>
    <n v="130306.58"/>
    <x v="1"/>
    <x v="8"/>
  </r>
  <r>
    <x v="769"/>
    <s v="Amy French"/>
    <x v="42"/>
    <x v="1"/>
    <x v="2"/>
    <x v="763"/>
    <x v="133"/>
    <x v="317"/>
    <x v="2"/>
    <x v="4"/>
    <n v="390581.32"/>
    <x v="2"/>
    <x v="12"/>
  </r>
  <r>
    <x v="770"/>
    <s v="Sherry Gibson"/>
    <x v="63"/>
    <x v="1"/>
    <x v="6"/>
    <x v="764"/>
    <x v="173"/>
    <x v="146"/>
    <x v="3"/>
    <x v="1"/>
    <n v="179282.38"/>
    <x v="1"/>
    <x v="3"/>
  </r>
  <r>
    <x v="771"/>
    <s v="Nathaniel Trujillo"/>
    <x v="15"/>
    <x v="0"/>
    <x v="1"/>
    <x v="765"/>
    <x v="298"/>
    <x v="318"/>
    <x v="9"/>
    <x v="1"/>
    <n v="345702.86"/>
    <x v="0"/>
    <x v="7"/>
  </r>
  <r>
    <x v="772"/>
    <s v="Mikayla Taylor"/>
    <x v="39"/>
    <x v="0"/>
    <x v="0"/>
    <x v="766"/>
    <x v="235"/>
    <x v="279"/>
    <x v="2"/>
    <x v="3"/>
    <n v="406607.76"/>
    <x v="1"/>
    <x v="4"/>
  </r>
  <r>
    <x v="773"/>
    <s v="Henry Smith"/>
    <x v="59"/>
    <x v="1"/>
    <x v="1"/>
    <x v="767"/>
    <x v="126"/>
    <x v="264"/>
    <x v="9"/>
    <x v="2"/>
    <n v="154436.56"/>
    <x v="2"/>
    <x v="14"/>
  </r>
  <r>
    <x v="774"/>
    <s v="Judith Estrada"/>
    <x v="42"/>
    <x v="1"/>
    <x v="6"/>
    <x v="768"/>
    <x v="317"/>
    <x v="319"/>
    <x v="0"/>
    <x v="1"/>
    <n v="354168.68"/>
    <x v="0"/>
    <x v="13"/>
  </r>
  <r>
    <x v="775"/>
    <s v="Erica Aguirre"/>
    <x v="67"/>
    <x v="1"/>
    <x v="5"/>
    <x v="769"/>
    <x v="221"/>
    <x v="234"/>
    <x v="9"/>
    <x v="0"/>
    <n v="407267.91"/>
    <x v="1"/>
    <x v="6"/>
  </r>
  <r>
    <x v="776"/>
    <s v="Brad Torres"/>
    <x v="8"/>
    <x v="1"/>
    <x v="5"/>
    <x v="770"/>
    <x v="228"/>
    <x v="122"/>
    <x v="0"/>
    <x v="3"/>
    <n v="115898.04"/>
    <x v="0"/>
    <x v="2"/>
  </r>
  <r>
    <x v="777"/>
    <s v="Anthony Vazquez"/>
    <x v="19"/>
    <x v="1"/>
    <x v="0"/>
    <x v="771"/>
    <x v="33"/>
    <x v="22"/>
    <x v="1"/>
    <x v="1"/>
    <n v="178918.41"/>
    <x v="1"/>
    <x v="11"/>
  </r>
  <r>
    <x v="778"/>
    <s v="Connor Jones"/>
    <x v="24"/>
    <x v="0"/>
    <x v="3"/>
    <x v="772"/>
    <x v="156"/>
    <x v="320"/>
    <x v="4"/>
    <x v="2"/>
    <n v="377346.57"/>
    <x v="2"/>
    <x v="4"/>
  </r>
  <r>
    <x v="779"/>
    <s v="Linda Stevens"/>
    <x v="49"/>
    <x v="0"/>
    <x v="3"/>
    <x v="773"/>
    <x v="111"/>
    <x v="163"/>
    <x v="3"/>
    <x v="0"/>
    <n v="237960.62"/>
    <x v="1"/>
    <x v="10"/>
  </r>
  <r>
    <x v="780"/>
    <s v="Kyle Anderson"/>
    <x v="83"/>
    <x v="0"/>
    <x v="4"/>
    <x v="774"/>
    <x v="140"/>
    <x v="188"/>
    <x v="5"/>
    <x v="5"/>
    <n v="41111.43"/>
    <x v="1"/>
    <x v="11"/>
  </r>
  <r>
    <x v="781"/>
    <s v="Ryan Yu"/>
    <x v="32"/>
    <x v="1"/>
    <x v="6"/>
    <x v="775"/>
    <x v="224"/>
    <x v="83"/>
    <x v="2"/>
    <x v="4"/>
    <n v="19369.740000000002"/>
    <x v="0"/>
    <x v="10"/>
  </r>
  <r>
    <x v="782"/>
    <s v="Meghan Olson"/>
    <x v="52"/>
    <x v="1"/>
    <x v="5"/>
    <x v="776"/>
    <x v="32"/>
    <x v="321"/>
    <x v="7"/>
    <x v="0"/>
    <n v="186308.51"/>
    <x v="1"/>
    <x v="0"/>
  </r>
  <r>
    <x v="783"/>
    <s v="Victor Mcdonald"/>
    <x v="14"/>
    <x v="0"/>
    <x v="2"/>
    <x v="777"/>
    <x v="38"/>
    <x v="25"/>
    <x v="0"/>
    <x v="5"/>
    <n v="415128.2"/>
    <x v="1"/>
    <x v="9"/>
  </r>
  <r>
    <x v="784"/>
    <s v="Kelly Odom"/>
    <x v="81"/>
    <x v="0"/>
    <x v="3"/>
    <x v="778"/>
    <x v="262"/>
    <x v="95"/>
    <x v="9"/>
    <x v="4"/>
    <n v="90556.32"/>
    <x v="0"/>
    <x v="2"/>
  </r>
  <r>
    <x v="785"/>
    <s v="Kimberly Walton"/>
    <x v="56"/>
    <x v="0"/>
    <x v="2"/>
    <x v="779"/>
    <x v="318"/>
    <x v="322"/>
    <x v="2"/>
    <x v="2"/>
    <n v="462909.6"/>
    <x v="2"/>
    <x v="12"/>
  </r>
  <r>
    <x v="786"/>
    <s v="Paul Scott"/>
    <x v="53"/>
    <x v="0"/>
    <x v="1"/>
    <x v="780"/>
    <x v="196"/>
    <x v="96"/>
    <x v="0"/>
    <x v="4"/>
    <n v="41040.26"/>
    <x v="0"/>
    <x v="6"/>
  </r>
  <r>
    <x v="787"/>
    <s v="Christine Walters"/>
    <x v="59"/>
    <x v="0"/>
    <x v="5"/>
    <x v="781"/>
    <x v="139"/>
    <x v="44"/>
    <x v="2"/>
    <x v="0"/>
    <n v="134472.17000000001"/>
    <x v="1"/>
    <x v="10"/>
  </r>
  <r>
    <x v="788"/>
    <s v="Kimberly Coleman"/>
    <x v="70"/>
    <x v="0"/>
    <x v="3"/>
    <x v="782"/>
    <x v="199"/>
    <x v="236"/>
    <x v="3"/>
    <x v="1"/>
    <n v="486582.27"/>
    <x v="1"/>
    <x v="11"/>
  </r>
  <r>
    <x v="789"/>
    <s v="Brandi Hill"/>
    <x v="62"/>
    <x v="0"/>
    <x v="4"/>
    <x v="783"/>
    <x v="217"/>
    <x v="73"/>
    <x v="8"/>
    <x v="5"/>
    <n v="67051.88"/>
    <x v="2"/>
    <x v="2"/>
  </r>
  <r>
    <x v="790"/>
    <s v="Philip Oneal"/>
    <x v="64"/>
    <x v="0"/>
    <x v="1"/>
    <x v="784"/>
    <x v="85"/>
    <x v="172"/>
    <x v="8"/>
    <x v="3"/>
    <n v="62475.1"/>
    <x v="1"/>
    <x v="7"/>
  </r>
  <r>
    <x v="791"/>
    <s v="Heidi Mccarthy"/>
    <x v="37"/>
    <x v="1"/>
    <x v="6"/>
    <x v="785"/>
    <x v="204"/>
    <x v="125"/>
    <x v="1"/>
    <x v="3"/>
    <n v="217397.93"/>
    <x v="1"/>
    <x v="6"/>
  </r>
  <r>
    <x v="792"/>
    <s v="Teresa Walker"/>
    <x v="30"/>
    <x v="0"/>
    <x v="0"/>
    <x v="786"/>
    <x v="246"/>
    <x v="150"/>
    <x v="7"/>
    <x v="4"/>
    <n v="178920.88"/>
    <x v="1"/>
    <x v="2"/>
  </r>
  <r>
    <x v="793"/>
    <s v="Taylor Flores"/>
    <x v="72"/>
    <x v="1"/>
    <x v="6"/>
    <x v="787"/>
    <x v="82"/>
    <x v="85"/>
    <x v="0"/>
    <x v="2"/>
    <n v="217929.29"/>
    <x v="1"/>
    <x v="8"/>
  </r>
  <r>
    <x v="794"/>
    <s v="Ann Smith"/>
    <x v="11"/>
    <x v="0"/>
    <x v="4"/>
    <x v="788"/>
    <x v="319"/>
    <x v="260"/>
    <x v="6"/>
    <x v="5"/>
    <n v="482947.78"/>
    <x v="2"/>
    <x v="9"/>
  </r>
  <r>
    <x v="795"/>
    <s v="David Davis"/>
    <x v="37"/>
    <x v="0"/>
    <x v="5"/>
    <x v="789"/>
    <x v="85"/>
    <x v="323"/>
    <x v="5"/>
    <x v="2"/>
    <n v="17379.87"/>
    <x v="2"/>
    <x v="12"/>
  </r>
  <r>
    <x v="796"/>
    <s v="Shannon Wyatt"/>
    <x v="44"/>
    <x v="1"/>
    <x v="4"/>
    <x v="790"/>
    <x v="320"/>
    <x v="144"/>
    <x v="4"/>
    <x v="2"/>
    <n v="234684.72"/>
    <x v="0"/>
    <x v="14"/>
  </r>
  <r>
    <x v="797"/>
    <s v="Tonya Fowler"/>
    <x v="54"/>
    <x v="1"/>
    <x v="6"/>
    <x v="791"/>
    <x v="280"/>
    <x v="185"/>
    <x v="2"/>
    <x v="4"/>
    <n v="316612"/>
    <x v="0"/>
    <x v="8"/>
  </r>
  <r>
    <x v="798"/>
    <s v="Mrs. Jennifer Sandoval DDS"/>
    <x v="49"/>
    <x v="1"/>
    <x v="5"/>
    <x v="792"/>
    <x v="321"/>
    <x v="15"/>
    <x v="7"/>
    <x v="1"/>
    <n v="439882.06"/>
    <x v="2"/>
    <x v="12"/>
  </r>
  <r>
    <x v="799"/>
    <s v="Stacy Martin DVM"/>
    <x v="78"/>
    <x v="1"/>
    <x v="2"/>
    <x v="793"/>
    <x v="11"/>
    <x v="201"/>
    <x v="0"/>
    <x v="2"/>
    <n v="36110.83"/>
    <x v="0"/>
    <x v="11"/>
  </r>
  <r>
    <x v="800"/>
    <s v="John Shaffer"/>
    <x v="17"/>
    <x v="1"/>
    <x v="1"/>
    <x v="794"/>
    <x v="163"/>
    <x v="324"/>
    <x v="2"/>
    <x v="4"/>
    <n v="39804.080000000002"/>
    <x v="1"/>
    <x v="3"/>
  </r>
  <r>
    <x v="801"/>
    <s v="Cathy Herrera"/>
    <x v="74"/>
    <x v="0"/>
    <x v="0"/>
    <x v="795"/>
    <x v="322"/>
    <x v="120"/>
    <x v="4"/>
    <x v="0"/>
    <n v="97133.48"/>
    <x v="1"/>
    <x v="6"/>
  </r>
  <r>
    <x v="802"/>
    <s v="Michael Flores"/>
    <x v="78"/>
    <x v="1"/>
    <x v="4"/>
    <x v="796"/>
    <x v="321"/>
    <x v="287"/>
    <x v="5"/>
    <x v="4"/>
    <n v="228560.95"/>
    <x v="2"/>
    <x v="13"/>
  </r>
  <r>
    <x v="803"/>
    <s v="Cheryl Torres"/>
    <x v="64"/>
    <x v="1"/>
    <x v="6"/>
    <x v="797"/>
    <x v="162"/>
    <x v="68"/>
    <x v="7"/>
    <x v="4"/>
    <n v="469173.92"/>
    <x v="0"/>
    <x v="5"/>
  </r>
  <r>
    <x v="804"/>
    <s v="Brittney Mills"/>
    <x v="60"/>
    <x v="1"/>
    <x v="1"/>
    <x v="798"/>
    <x v="323"/>
    <x v="128"/>
    <x v="7"/>
    <x v="5"/>
    <n v="97961.24"/>
    <x v="2"/>
    <x v="14"/>
  </r>
  <r>
    <x v="805"/>
    <s v="Sarah Williams"/>
    <x v="13"/>
    <x v="0"/>
    <x v="6"/>
    <x v="799"/>
    <x v="303"/>
    <x v="110"/>
    <x v="1"/>
    <x v="1"/>
    <n v="131877.96"/>
    <x v="0"/>
    <x v="3"/>
  </r>
  <r>
    <x v="806"/>
    <s v="Jasmine Allen"/>
    <x v="60"/>
    <x v="0"/>
    <x v="0"/>
    <x v="800"/>
    <x v="149"/>
    <x v="212"/>
    <x v="0"/>
    <x v="0"/>
    <n v="231614.62"/>
    <x v="0"/>
    <x v="13"/>
  </r>
  <r>
    <x v="807"/>
    <s v="Jack Palmer"/>
    <x v="75"/>
    <x v="1"/>
    <x v="5"/>
    <x v="801"/>
    <x v="66"/>
    <x v="227"/>
    <x v="1"/>
    <x v="1"/>
    <n v="323279.28000000003"/>
    <x v="0"/>
    <x v="1"/>
  </r>
  <r>
    <x v="808"/>
    <s v="Eric Smith"/>
    <x v="8"/>
    <x v="0"/>
    <x v="0"/>
    <x v="802"/>
    <x v="233"/>
    <x v="198"/>
    <x v="5"/>
    <x v="5"/>
    <n v="106147.32"/>
    <x v="1"/>
    <x v="7"/>
  </r>
  <r>
    <x v="809"/>
    <s v="Claudia Hale"/>
    <x v="2"/>
    <x v="0"/>
    <x v="0"/>
    <x v="803"/>
    <x v="324"/>
    <x v="48"/>
    <x v="5"/>
    <x v="1"/>
    <n v="433688.98"/>
    <x v="0"/>
    <x v="13"/>
  </r>
  <r>
    <x v="810"/>
    <s v="Julie Burns"/>
    <x v="37"/>
    <x v="0"/>
    <x v="6"/>
    <x v="804"/>
    <x v="160"/>
    <x v="273"/>
    <x v="9"/>
    <x v="3"/>
    <n v="369954.01"/>
    <x v="1"/>
    <x v="13"/>
  </r>
  <r>
    <x v="811"/>
    <s v="Matthew Montgomery"/>
    <x v="66"/>
    <x v="0"/>
    <x v="4"/>
    <x v="805"/>
    <x v="173"/>
    <x v="188"/>
    <x v="6"/>
    <x v="2"/>
    <n v="59545.9"/>
    <x v="1"/>
    <x v="0"/>
  </r>
  <r>
    <x v="812"/>
    <s v="Patrick Bailey"/>
    <x v="11"/>
    <x v="0"/>
    <x v="6"/>
    <x v="806"/>
    <x v="194"/>
    <x v="51"/>
    <x v="7"/>
    <x v="2"/>
    <n v="456791.39"/>
    <x v="0"/>
    <x v="1"/>
  </r>
  <r>
    <x v="813"/>
    <s v="Mark Jones"/>
    <x v="56"/>
    <x v="0"/>
    <x v="6"/>
    <x v="807"/>
    <x v="85"/>
    <x v="217"/>
    <x v="3"/>
    <x v="1"/>
    <n v="285739.78000000003"/>
    <x v="0"/>
    <x v="4"/>
  </r>
  <r>
    <x v="814"/>
    <s v="Connor Williams"/>
    <x v="82"/>
    <x v="1"/>
    <x v="2"/>
    <x v="808"/>
    <x v="62"/>
    <x v="285"/>
    <x v="2"/>
    <x v="5"/>
    <n v="236303.35"/>
    <x v="1"/>
    <x v="13"/>
  </r>
  <r>
    <x v="815"/>
    <s v="Sarah Young"/>
    <x v="64"/>
    <x v="1"/>
    <x v="2"/>
    <x v="809"/>
    <x v="325"/>
    <x v="67"/>
    <x v="1"/>
    <x v="1"/>
    <n v="339146.56"/>
    <x v="1"/>
    <x v="8"/>
  </r>
  <r>
    <x v="816"/>
    <s v="Christopher Benson"/>
    <x v="48"/>
    <x v="0"/>
    <x v="4"/>
    <x v="810"/>
    <x v="102"/>
    <x v="123"/>
    <x v="6"/>
    <x v="0"/>
    <n v="499704.05"/>
    <x v="2"/>
    <x v="5"/>
  </r>
  <r>
    <x v="817"/>
    <s v="Savannah Ramirez"/>
    <x v="52"/>
    <x v="0"/>
    <x v="0"/>
    <x v="811"/>
    <x v="326"/>
    <x v="216"/>
    <x v="3"/>
    <x v="5"/>
    <n v="190076.15"/>
    <x v="2"/>
    <x v="2"/>
  </r>
  <r>
    <x v="818"/>
    <s v="Christopher Moore"/>
    <x v="25"/>
    <x v="1"/>
    <x v="3"/>
    <x v="812"/>
    <x v="85"/>
    <x v="325"/>
    <x v="1"/>
    <x v="5"/>
    <n v="402194.24"/>
    <x v="0"/>
    <x v="10"/>
  </r>
  <r>
    <x v="819"/>
    <s v="Joshua Chan"/>
    <x v="68"/>
    <x v="1"/>
    <x v="2"/>
    <x v="813"/>
    <x v="151"/>
    <x v="255"/>
    <x v="0"/>
    <x v="0"/>
    <n v="111102.07"/>
    <x v="1"/>
    <x v="2"/>
  </r>
  <r>
    <x v="820"/>
    <s v="Gregory Ibarra"/>
    <x v="26"/>
    <x v="0"/>
    <x v="1"/>
    <x v="814"/>
    <x v="327"/>
    <x v="326"/>
    <x v="2"/>
    <x v="4"/>
    <n v="233563.04"/>
    <x v="0"/>
    <x v="13"/>
  </r>
  <r>
    <x v="821"/>
    <s v="Kimberly Campbell"/>
    <x v="34"/>
    <x v="1"/>
    <x v="3"/>
    <x v="815"/>
    <x v="280"/>
    <x v="92"/>
    <x v="6"/>
    <x v="5"/>
    <n v="353071.04"/>
    <x v="1"/>
    <x v="6"/>
  </r>
  <r>
    <x v="822"/>
    <s v="Wesley Russell"/>
    <x v="77"/>
    <x v="1"/>
    <x v="5"/>
    <x v="816"/>
    <x v="263"/>
    <x v="34"/>
    <x v="3"/>
    <x v="0"/>
    <n v="218340.41"/>
    <x v="0"/>
    <x v="8"/>
  </r>
  <r>
    <x v="823"/>
    <s v="Mary Mcgee"/>
    <x v="58"/>
    <x v="0"/>
    <x v="5"/>
    <x v="817"/>
    <x v="268"/>
    <x v="158"/>
    <x v="4"/>
    <x v="4"/>
    <n v="493478.42"/>
    <x v="1"/>
    <x v="0"/>
  </r>
  <r>
    <x v="824"/>
    <s v="Tristan Jones"/>
    <x v="75"/>
    <x v="1"/>
    <x v="5"/>
    <x v="818"/>
    <x v="214"/>
    <x v="254"/>
    <x v="6"/>
    <x v="1"/>
    <n v="198838.25"/>
    <x v="2"/>
    <x v="14"/>
  </r>
  <r>
    <x v="825"/>
    <s v="Aaron Campbell"/>
    <x v="18"/>
    <x v="1"/>
    <x v="0"/>
    <x v="819"/>
    <x v="176"/>
    <x v="67"/>
    <x v="5"/>
    <x v="0"/>
    <n v="190522.79"/>
    <x v="0"/>
    <x v="4"/>
  </r>
  <r>
    <x v="826"/>
    <s v="Dr. Judy Rios"/>
    <x v="58"/>
    <x v="1"/>
    <x v="3"/>
    <x v="820"/>
    <x v="97"/>
    <x v="327"/>
    <x v="8"/>
    <x v="2"/>
    <n v="224325.14"/>
    <x v="1"/>
    <x v="6"/>
  </r>
  <r>
    <x v="827"/>
    <s v="Sheila Soto"/>
    <x v="75"/>
    <x v="1"/>
    <x v="6"/>
    <x v="821"/>
    <x v="197"/>
    <x v="266"/>
    <x v="2"/>
    <x v="2"/>
    <n v="29898.82"/>
    <x v="2"/>
    <x v="8"/>
  </r>
  <r>
    <x v="828"/>
    <s v="Jennifer Rivera"/>
    <x v="26"/>
    <x v="1"/>
    <x v="4"/>
    <x v="822"/>
    <x v="328"/>
    <x v="248"/>
    <x v="0"/>
    <x v="4"/>
    <n v="480891.06"/>
    <x v="0"/>
    <x v="6"/>
  </r>
  <r>
    <x v="829"/>
    <s v="Alexa Burch"/>
    <x v="57"/>
    <x v="1"/>
    <x v="3"/>
    <x v="823"/>
    <x v="203"/>
    <x v="57"/>
    <x v="4"/>
    <x v="2"/>
    <n v="337170.76"/>
    <x v="0"/>
    <x v="1"/>
  </r>
  <r>
    <x v="830"/>
    <s v="Theresa Graves"/>
    <x v="78"/>
    <x v="1"/>
    <x v="3"/>
    <x v="824"/>
    <x v="329"/>
    <x v="244"/>
    <x v="7"/>
    <x v="0"/>
    <n v="178999.07"/>
    <x v="1"/>
    <x v="6"/>
  </r>
  <r>
    <x v="831"/>
    <s v="Christina Franklin"/>
    <x v="84"/>
    <x v="1"/>
    <x v="5"/>
    <x v="825"/>
    <x v="79"/>
    <x v="46"/>
    <x v="1"/>
    <x v="4"/>
    <n v="391451.52"/>
    <x v="2"/>
    <x v="1"/>
  </r>
  <r>
    <x v="832"/>
    <s v="Nancy Sanders"/>
    <x v="47"/>
    <x v="1"/>
    <x v="4"/>
    <x v="826"/>
    <x v="136"/>
    <x v="71"/>
    <x v="4"/>
    <x v="4"/>
    <n v="309159.90000000002"/>
    <x v="0"/>
    <x v="6"/>
  </r>
  <r>
    <x v="833"/>
    <s v="Mary Sexton"/>
    <x v="87"/>
    <x v="0"/>
    <x v="6"/>
    <x v="827"/>
    <x v="207"/>
    <x v="39"/>
    <x v="4"/>
    <x v="3"/>
    <n v="410910.57"/>
    <x v="1"/>
    <x v="1"/>
  </r>
  <r>
    <x v="834"/>
    <s v="Elizabeth Joseph"/>
    <x v="9"/>
    <x v="1"/>
    <x v="3"/>
    <x v="828"/>
    <x v="101"/>
    <x v="215"/>
    <x v="1"/>
    <x v="1"/>
    <n v="464509.58"/>
    <x v="0"/>
    <x v="9"/>
  </r>
  <r>
    <x v="835"/>
    <s v="Alexandria Morse"/>
    <x v="58"/>
    <x v="1"/>
    <x v="2"/>
    <x v="829"/>
    <x v="223"/>
    <x v="98"/>
    <x v="8"/>
    <x v="4"/>
    <n v="150670.32999999999"/>
    <x v="0"/>
    <x v="2"/>
  </r>
  <r>
    <x v="836"/>
    <s v="Anthony Hartman"/>
    <x v="42"/>
    <x v="1"/>
    <x v="2"/>
    <x v="830"/>
    <x v="110"/>
    <x v="296"/>
    <x v="9"/>
    <x v="0"/>
    <n v="305655.34000000003"/>
    <x v="1"/>
    <x v="10"/>
  </r>
  <r>
    <x v="837"/>
    <s v="Robert Fisher"/>
    <x v="13"/>
    <x v="1"/>
    <x v="4"/>
    <x v="831"/>
    <x v="14"/>
    <x v="134"/>
    <x v="5"/>
    <x v="2"/>
    <n v="231360.39"/>
    <x v="2"/>
    <x v="0"/>
  </r>
  <r>
    <x v="838"/>
    <s v="Matthew Houston DVM"/>
    <x v="37"/>
    <x v="0"/>
    <x v="6"/>
    <x v="832"/>
    <x v="196"/>
    <x v="327"/>
    <x v="9"/>
    <x v="2"/>
    <n v="248542.79"/>
    <x v="2"/>
    <x v="4"/>
  </r>
  <r>
    <x v="839"/>
    <s v="Kristen Bishop"/>
    <x v="50"/>
    <x v="1"/>
    <x v="5"/>
    <x v="833"/>
    <x v="317"/>
    <x v="124"/>
    <x v="9"/>
    <x v="4"/>
    <n v="99034.64"/>
    <x v="2"/>
    <x v="14"/>
  </r>
  <r>
    <x v="840"/>
    <s v="Mr. Dustin Tanner"/>
    <x v="55"/>
    <x v="1"/>
    <x v="3"/>
    <x v="834"/>
    <x v="301"/>
    <x v="309"/>
    <x v="4"/>
    <x v="3"/>
    <n v="289186.68"/>
    <x v="0"/>
    <x v="5"/>
  </r>
  <r>
    <x v="841"/>
    <s v="Michael Riddle"/>
    <x v="48"/>
    <x v="0"/>
    <x v="0"/>
    <x v="835"/>
    <x v="308"/>
    <x v="118"/>
    <x v="3"/>
    <x v="3"/>
    <n v="416123.9"/>
    <x v="1"/>
    <x v="4"/>
  </r>
  <r>
    <x v="842"/>
    <s v="Renee Hunt"/>
    <x v="52"/>
    <x v="1"/>
    <x v="0"/>
    <x v="836"/>
    <x v="137"/>
    <x v="95"/>
    <x v="6"/>
    <x v="1"/>
    <n v="142008.23000000001"/>
    <x v="2"/>
    <x v="11"/>
  </r>
  <r>
    <x v="843"/>
    <s v="Tony Reyes"/>
    <x v="38"/>
    <x v="0"/>
    <x v="3"/>
    <x v="837"/>
    <x v="285"/>
    <x v="5"/>
    <x v="7"/>
    <x v="3"/>
    <n v="231193.47"/>
    <x v="2"/>
    <x v="6"/>
  </r>
  <r>
    <x v="844"/>
    <s v="Daniel Ramos"/>
    <x v="83"/>
    <x v="0"/>
    <x v="6"/>
    <x v="838"/>
    <x v="178"/>
    <x v="260"/>
    <x v="2"/>
    <x v="5"/>
    <n v="227723.69"/>
    <x v="2"/>
    <x v="8"/>
  </r>
  <r>
    <x v="845"/>
    <s v="Denise Haas"/>
    <x v="79"/>
    <x v="1"/>
    <x v="2"/>
    <x v="839"/>
    <x v="124"/>
    <x v="224"/>
    <x v="5"/>
    <x v="4"/>
    <n v="207786.77"/>
    <x v="2"/>
    <x v="14"/>
  </r>
  <r>
    <x v="846"/>
    <s v="Carrie Kelley"/>
    <x v="20"/>
    <x v="1"/>
    <x v="2"/>
    <x v="840"/>
    <x v="78"/>
    <x v="111"/>
    <x v="8"/>
    <x v="3"/>
    <n v="405203.31"/>
    <x v="0"/>
    <x v="7"/>
  </r>
  <r>
    <x v="847"/>
    <s v="Tiffany Brady"/>
    <x v="76"/>
    <x v="1"/>
    <x v="0"/>
    <x v="841"/>
    <x v="263"/>
    <x v="13"/>
    <x v="0"/>
    <x v="5"/>
    <n v="355807.32"/>
    <x v="2"/>
    <x v="5"/>
  </r>
  <r>
    <x v="848"/>
    <s v="Michael Vargas"/>
    <x v="50"/>
    <x v="0"/>
    <x v="4"/>
    <x v="842"/>
    <x v="158"/>
    <x v="55"/>
    <x v="4"/>
    <x v="5"/>
    <n v="61119.55"/>
    <x v="1"/>
    <x v="4"/>
  </r>
  <r>
    <x v="849"/>
    <s v="Ms. Kaitlyn Martinez DDS"/>
    <x v="64"/>
    <x v="0"/>
    <x v="4"/>
    <x v="843"/>
    <x v="137"/>
    <x v="279"/>
    <x v="0"/>
    <x v="1"/>
    <n v="95775.96"/>
    <x v="2"/>
    <x v="6"/>
  </r>
  <r>
    <x v="850"/>
    <s v="Rachel Patel"/>
    <x v="12"/>
    <x v="0"/>
    <x v="1"/>
    <x v="844"/>
    <x v="85"/>
    <x v="217"/>
    <x v="7"/>
    <x v="4"/>
    <n v="213115.86"/>
    <x v="0"/>
    <x v="4"/>
  </r>
  <r>
    <x v="851"/>
    <s v="Tammy Patel"/>
    <x v="89"/>
    <x v="0"/>
    <x v="1"/>
    <x v="845"/>
    <x v="225"/>
    <x v="46"/>
    <x v="1"/>
    <x v="2"/>
    <n v="393653.73"/>
    <x v="1"/>
    <x v="0"/>
  </r>
  <r>
    <x v="852"/>
    <s v="Nathan Morris"/>
    <x v="25"/>
    <x v="1"/>
    <x v="6"/>
    <x v="846"/>
    <x v="200"/>
    <x v="234"/>
    <x v="7"/>
    <x v="1"/>
    <n v="435509.03"/>
    <x v="1"/>
    <x v="11"/>
  </r>
  <r>
    <x v="853"/>
    <s v="Barbara Acosta"/>
    <x v="32"/>
    <x v="1"/>
    <x v="2"/>
    <x v="847"/>
    <x v="49"/>
    <x v="328"/>
    <x v="2"/>
    <x v="1"/>
    <n v="462048.11"/>
    <x v="2"/>
    <x v="1"/>
  </r>
  <r>
    <x v="854"/>
    <s v="Daniel Miranda"/>
    <x v="88"/>
    <x v="1"/>
    <x v="6"/>
    <x v="319"/>
    <x v="34"/>
    <x v="329"/>
    <x v="6"/>
    <x v="2"/>
    <n v="25155.77"/>
    <x v="0"/>
    <x v="11"/>
  </r>
  <r>
    <x v="855"/>
    <s v="Rebecca Robinson"/>
    <x v="27"/>
    <x v="0"/>
    <x v="4"/>
    <x v="848"/>
    <x v="172"/>
    <x v="330"/>
    <x v="0"/>
    <x v="5"/>
    <n v="477626.5"/>
    <x v="1"/>
    <x v="0"/>
  </r>
  <r>
    <x v="856"/>
    <s v="Matthew Cisneros"/>
    <x v="50"/>
    <x v="1"/>
    <x v="0"/>
    <x v="849"/>
    <x v="50"/>
    <x v="331"/>
    <x v="6"/>
    <x v="2"/>
    <n v="370255.57"/>
    <x v="1"/>
    <x v="6"/>
  </r>
  <r>
    <x v="857"/>
    <s v="Cody Blair"/>
    <x v="80"/>
    <x v="1"/>
    <x v="5"/>
    <x v="850"/>
    <x v="142"/>
    <x v="332"/>
    <x v="7"/>
    <x v="1"/>
    <n v="171951.4"/>
    <x v="1"/>
    <x v="1"/>
  </r>
  <r>
    <x v="858"/>
    <s v="Joshua Mason"/>
    <x v="57"/>
    <x v="0"/>
    <x v="2"/>
    <x v="851"/>
    <x v="308"/>
    <x v="224"/>
    <x v="7"/>
    <x v="1"/>
    <n v="462228.88"/>
    <x v="0"/>
    <x v="10"/>
  </r>
  <r>
    <x v="859"/>
    <s v="Michael Horn"/>
    <x v="34"/>
    <x v="1"/>
    <x v="4"/>
    <x v="852"/>
    <x v="81"/>
    <x v="204"/>
    <x v="0"/>
    <x v="0"/>
    <n v="289928.86"/>
    <x v="1"/>
    <x v="13"/>
  </r>
  <r>
    <x v="860"/>
    <s v="Don Larsen"/>
    <x v="46"/>
    <x v="0"/>
    <x v="0"/>
    <x v="853"/>
    <x v="77"/>
    <x v="125"/>
    <x v="7"/>
    <x v="4"/>
    <n v="487383.86"/>
    <x v="0"/>
    <x v="9"/>
  </r>
  <r>
    <x v="861"/>
    <s v="Brian Reyes"/>
    <x v="66"/>
    <x v="1"/>
    <x v="3"/>
    <x v="854"/>
    <x v="267"/>
    <x v="39"/>
    <x v="2"/>
    <x v="0"/>
    <n v="372868.75"/>
    <x v="2"/>
    <x v="4"/>
  </r>
  <r>
    <x v="862"/>
    <s v="Alicia Foster"/>
    <x v="28"/>
    <x v="1"/>
    <x v="4"/>
    <x v="855"/>
    <x v="171"/>
    <x v="244"/>
    <x v="6"/>
    <x v="4"/>
    <n v="399312.76"/>
    <x v="0"/>
    <x v="3"/>
  </r>
  <r>
    <x v="863"/>
    <s v="Tyler Herrera"/>
    <x v="24"/>
    <x v="1"/>
    <x v="2"/>
    <x v="856"/>
    <x v="330"/>
    <x v="23"/>
    <x v="1"/>
    <x v="0"/>
    <n v="12333.77"/>
    <x v="2"/>
    <x v="14"/>
  </r>
  <r>
    <x v="864"/>
    <s v="Jason Hughes"/>
    <x v="81"/>
    <x v="1"/>
    <x v="3"/>
    <x v="857"/>
    <x v="16"/>
    <x v="52"/>
    <x v="9"/>
    <x v="1"/>
    <n v="119807.58"/>
    <x v="0"/>
    <x v="0"/>
  </r>
  <r>
    <x v="865"/>
    <s v="Maria Williams"/>
    <x v="46"/>
    <x v="1"/>
    <x v="4"/>
    <x v="858"/>
    <x v="331"/>
    <x v="333"/>
    <x v="3"/>
    <x v="2"/>
    <n v="209599.42"/>
    <x v="0"/>
    <x v="7"/>
  </r>
  <r>
    <x v="866"/>
    <s v="Autumn Barry"/>
    <x v="30"/>
    <x v="0"/>
    <x v="1"/>
    <x v="859"/>
    <x v="263"/>
    <x v="13"/>
    <x v="4"/>
    <x v="2"/>
    <n v="83508.479999999996"/>
    <x v="0"/>
    <x v="5"/>
  </r>
  <r>
    <x v="867"/>
    <s v="Eric Simpson"/>
    <x v="32"/>
    <x v="0"/>
    <x v="0"/>
    <x v="860"/>
    <x v="57"/>
    <x v="51"/>
    <x v="4"/>
    <x v="3"/>
    <n v="206170.88"/>
    <x v="2"/>
    <x v="6"/>
  </r>
  <r>
    <x v="868"/>
    <s v="Christopher Davis"/>
    <x v="77"/>
    <x v="1"/>
    <x v="5"/>
    <x v="861"/>
    <x v="185"/>
    <x v="4"/>
    <x v="9"/>
    <x v="3"/>
    <n v="91117.14"/>
    <x v="2"/>
    <x v="5"/>
  </r>
  <r>
    <x v="869"/>
    <s v="Travis Banks"/>
    <x v="25"/>
    <x v="1"/>
    <x v="3"/>
    <x v="862"/>
    <x v="266"/>
    <x v="8"/>
    <x v="7"/>
    <x v="0"/>
    <n v="395778.52"/>
    <x v="2"/>
    <x v="5"/>
  </r>
  <r>
    <x v="870"/>
    <s v="Allison Atkinson"/>
    <x v="13"/>
    <x v="1"/>
    <x v="1"/>
    <x v="863"/>
    <x v="273"/>
    <x v="287"/>
    <x v="5"/>
    <x v="0"/>
    <n v="446441.04"/>
    <x v="1"/>
    <x v="11"/>
  </r>
  <r>
    <x v="871"/>
    <s v="Sara Baldwin"/>
    <x v="76"/>
    <x v="1"/>
    <x v="5"/>
    <x v="864"/>
    <x v="314"/>
    <x v="109"/>
    <x v="2"/>
    <x v="3"/>
    <n v="59341.24"/>
    <x v="1"/>
    <x v="11"/>
  </r>
  <r>
    <x v="872"/>
    <s v="Gregory Fuller"/>
    <x v="46"/>
    <x v="0"/>
    <x v="1"/>
    <x v="865"/>
    <x v="141"/>
    <x v="152"/>
    <x v="0"/>
    <x v="4"/>
    <n v="377560.12"/>
    <x v="0"/>
    <x v="2"/>
  </r>
  <r>
    <x v="873"/>
    <s v="Krista Nelson"/>
    <x v="44"/>
    <x v="0"/>
    <x v="1"/>
    <x v="866"/>
    <x v="182"/>
    <x v="65"/>
    <x v="9"/>
    <x v="2"/>
    <n v="374945.43"/>
    <x v="2"/>
    <x v="14"/>
  </r>
  <r>
    <x v="874"/>
    <s v="Ashley Jordan"/>
    <x v="43"/>
    <x v="0"/>
    <x v="4"/>
    <x v="867"/>
    <x v="229"/>
    <x v="68"/>
    <x v="8"/>
    <x v="1"/>
    <n v="230458"/>
    <x v="0"/>
    <x v="3"/>
  </r>
  <r>
    <x v="875"/>
    <s v="Robert Barrett"/>
    <x v="83"/>
    <x v="1"/>
    <x v="0"/>
    <x v="868"/>
    <x v="293"/>
    <x v="192"/>
    <x v="9"/>
    <x v="0"/>
    <n v="79786.41"/>
    <x v="1"/>
    <x v="5"/>
  </r>
  <r>
    <x v="876"/>
    <s v="Dr. Michael Martinez"/>
    <x v="43"/>
    <x v="1"/>
    <x v="4"/>
    <x v="869"/>
    <x v="193"/>
    <x v="334"/>
    <x v="2"/>
    <x v="5"/>
    <n v="334789.56"/>
    <x v="1"/>
    <x v="11"/>
  </r>
  <r>
    <x v="877"/>
    <s v="Ryan Hart"/>
    <x v="13"/>
    <x v="0"/>
    <x v="1"/>
    <x v="870"/>
    <x v="32"/>
    <x v="39"/>
    <x v="8"/>
    <x v="4"/>
    <n v="25408.080000000002"/>
    <x v="2"/>
    <x v="12"/>
  </r>
  <r>
    <x v="878"/>
    <s v="Megan Taylor"/>
    <x v="4"/>
    <x v="1"/>
    <x v="0"/>
    <x v="871"/>
    <x v="321"/>
    <x v="218"/>
    <x v="9"/>
    <x v="1"/>
    <n v="267444.21999999997"/>
    <x v="1"/>
    <x v="1"/>
  </r>
  <r>
    <x v="879"/>
    <s v="Tonya Morrow"/>
    <x v="52"/>
    <x v="1"/>
    <x v="0"/>
    <x v="872"/>
    <x v="67"/>
    <x v="134"/>
    <x v="5"/>
    <x v="0"/>
    <n v="251698.54"/>
    <x v="0"/>
    <x v="13"/>
  </r>
  <r>
    <x v="880"/>
    <s v="Donald Gonzales"/>
    <x v="44"/>
    <x v="0"/>
    <x v="3"/>
    <x v="873"/>
    <x v="280"/>
    <x v="177"/>
    <x v="7"/>
    <x v="4"/>
    <n v="368630.34"/>
    <x v="0"/>
    <x v="11"/>
  </r>
  <r>
    <x v="881"/>
    <s v="Gabriel Russell"/>
    <x v="33"/>
    <x v="0"/>
    <x v="1"/>
    <x v="797"/>
    <x v="28"/>
    <x v="335"/>
    <x v="6"/>
    <x v="5"/>
    <n v="19919.23"/>
    <x v="2"/>
    <x v="11"/>
  </r>
  <r>
    <x v="882"/>
    <s v="Rebecca Page PhD"/>
    <x v="8"/>
    <x v="0"/>
    <x v="1"/>
    <x v="874"/>
    <x v="41"/>
    <x v="12"/>
    <x v="3"/>
    <x v="3"/>
    <n v="93756.09"/>
    <x v="2"/>
    <x v="5"/>
  </r>
  <r>
    <x v="883"/>
    <s v="Rebecca Alvarez"/>
    <x v="55"/>
    <x v="0"/>
    <x v="3"/>
    <x v="875"/>
    <x v="16"/>
    <x v="62"/>
    <x v="3"/>
    <x v="0"/>
    <n v="399552.21"/>
    <x v="0"/>
    <x v="1"/>
  </r>
  <r>
    <x v="884"/>
    <s v="Christine Mcdonald"/>
    <x v="2"/>
    <x v="1"/>
    <x v="0"/>
    <x v="876"/>
    <x v="275"/>
    <x v="45"/>
    <x v="6"/>
    <x v="5"/>
    <n v="320468.8"/>
    <x v="0"/>
    <x v="10"/>
  </r>
  <r>
    <x v="885"/>
    <s v="Stacey Grant"/>
    <x v="67"/>
    <x v="1"/>
    <x v="6"/>
    <x v="877"/>
    <x v="137"/>
    <x v="95"/>
    <x v="1"/>
    <x v="1"/>
    <n v="242945.72"/>
    <x v="2"/>
    <x v="11"/>
  </r>
  <r>
    <x v="886"/>
    <s v="Matthew Morgan"/>
    <x v="79"/>
    <x v="0"/>
    <x v="6"/>
    <x v="878"/>
    <x v="259"/>
    <x v="82"/>
    <x v="1"/>
    <x v="2"/>
    <n v="436723.98"/>
    <x v="2"/>
    <x v="7"/>
  </r>
  <r>
    <x v="887"/>
    <s v="Michael Sandoval"/>
    <x v="29"/>
    <x v="0"/>
    <x v="6"/>
    <x v="879"/>
    <x v="214"/>
    <x v="259"/>
    <x v="5"/>
    <x v="2"/>
    <n v="375911.1"/>
    <x v="2"/>
    <x v="0"/>
  </r>
  <r>
    <x v="888"/>
    <s v="Michael Ford"/>
    <x v="52"/>
    <x v="1"/>
    <x v="0"/>
    <x v="880"/>
    <x v="207"/>
    <x v="336"/>
    <x v="8"/>
    <x v="3"/>
    <n v="237948.99"/>
    <x v="2"/>
    <x v="10"/>
  </r>
  <r>
    <x v="889"/>
    <s v="Brandy Vazquez"/>
    <x v="81"/>
    <x v="1"/>
    <x v="6"/>
    <x v="881"/>
    <x v="328"/>
    <x v="302"/>
    <x v="3"/>
    <x v="1"/>
    <n v="123403.89"/>
    <x v="0"/>
    <x v="7"/>
  </r>
  <r>
    <x v="890"/>
    <s v="Ashley Gonzalez"/>
    <x v="63"/>
    <x v="0"/>
    <x v="5"/>
    <x v="882"/>
    <x v="135"/>
    <x v="211"/>
    <x v="7"/>
    <x v="4"/>
    <n v="367930.43"/>
    <x v="2"/>
    <x v="6"/>
  </r>
  <r>
    <x v="891"/>
    <s v="James Goodman"/>
    <x v="12"/>
    <x v="1"/>
    <x v="3"/>
    <x v="883"/>
    <x v="140"/>
    <x v="188"/>
    <x v="8"/>
    <x v="5"/>
    <n v="270373.05"/>
    <x v="2"/>
    <x v="11"/>
  </r>
  <r>
    <x v="892"/>
    <s v="Susan Campbell"/>
    <x v="13"/>
    <x v="1"/>
    <x v="6"/>
    <x v="449"/>
    <x v="45"/>
    <x v="337"/>
    <x v="0"/>
    <x v="2"/>
    <n v="96983.27"/>
    <x v="1"/>
    <x v="12"/>
  </r>
  <r>
    <x v="893"/>
    <s v="Melissa Glass"/>
    <x v="54"/>
    <x v="1"/>
    <x v="0"/>
    <x v="884"/>
    <x v="332"/>
    <x v="295"/>
    <x v="2"/>
    <x v="2"/>
    <n v="473029.8"/>
    <x v="0"/>
    <x v="5"/>
  </r>
  <r>
    <x v="894"/>
    <s v="Devin Moore"/>
    <x v="85"/>
    <x v="0"/>
    <x v="0"/>
    <x v="885"/>
    <x v="42"/>
    <x v="251"/>
    <x v="8"/>
    <x v="4"/>
    <n v="414162.21"/>
    <x v="1"/>
    <x v="12"/>
  </r>
  <r>
    <x v="895"/>
    <s v="Heather Patrick"/>
    <x v="23"/>
    <x v="0"/>
    <x v="3"/>
    <x v="886"/>
    <x v="148"/>
    <x v="338"/>
    <x v="7"/>
    <x v="5"/>
    <n v="56189.45"/>
    <x v="1"/>
    <x v="3"/>
  </r>
  <r>
    <x v="896"/>
    <s v="Mary Floyd"/>
    <x v="40"/>
    <x v="0"/>
    <x v="5"/>
    <x v="887"/>
    <x v="174"/>
    <x v="86"/>
    <x v="9"/>
    <x v="1"/>
    <n v="469746.19"/>
    <x v="2"/>
    <x v="10"/>
  </r>
  <r>
    <x v="897"/>
    <s v="Keith Harrison"/>
    <x v="38"/>
    <x v="0"/>
    <x v="6"/>
    <x v="888"/>
    <x v="329"/>
    <x v="79"/>
    <x v="4"/>
    <x v="2"/>
    <n v="312641.51"/>
    <x v="0"/>
    <x v="3"/>
  </r>
  <r>
    <x v="898"/>
    <s v="Timothy Thomas"/>
    <x v="45"/>
    <x v="1"/>
    <x v="4"/>
    <x v="889"/>
    <x v="156"/>
    <x v="179"/>
    <x v="2"/>
    <x v="0"/>
    <n v="281253.69"/>
    <x v="2"/>
    <x v="11"/>
  </r>
  <r>
    <x v="899"/>
    <s v="Billy Warren"/>
    <x v="67"/>
    <x v="0"/>
    <x v="3"/>
    <x v="890"/>
    <x v="123"/>
    <x v="212"/>
    <x v="2"/>
    <x v="1"/>
    <n v="353566.8"/>
    <x v="0"/>
    <x v="0"/>
  </r>
  <r>
    <x v="900"/>
    <s v="Nicole Cole"/>
    <x v="63"/>
    <x v="0"/>
    <x v="5"/>
    <x v="891"/>
    <x v="131"/>
    <x v="168"/>
    <x v="7"/>
    <x v="4"/>
    <n v="336300.48"/>
    <x v="0"/>
    <x v="1"/>
  </r>
  <r>
    <x v="901"/>
    <s v="Justin Garcia"/>
    <x v="14"/>
    <x v="1"/>
    <x v="5"/>
    <x v="892"/>
    <x v="332"/>
    <x v="239"/>
    <x v="4"/>
    <x v="3"/>
    <n v="69376.38"/>
    <x v="2"/>
    <x v="6"/>
  </r>
  <r>
    <x v="902"/>
    <s v="Andrew Goodwin"/>
    <x v="2"/>
    <x v="1"/>
    <x v="1"/>
    <x v="893"/>
    <x v="182"/>
    <x v="291"/>
    <x v="9"/>
    <x v="1"/>
    <n v="13627.5"/>
    <x v="0"/>
    <x v="3"/>
  </r>
  <r>
    <x v="903"/>
    <s v="Cindy Phillips"/>
    <x v="58"/>
    <x v="0"/>
    <x v="4"/>
    <x v="894"/>
    <x v="297"/>
    <x v="296"/>
    <x v="2"/>
    <x v="0"/>
    <n v="481934.24"/>
    <x v="0"/>
    <x v="5"/>
  </r>
  <r>
    <x v="904"/>
    <s v="Billy Patton"/>
    <x v="75"/>
    <x v="0"/>
    <x v="3"/>
    <x v="895"/>
    <x v="120"/>
    <x v="184"/>
    <x v="4"/>
    <x v="0"/>
    <n v="124940.08"/>
    <x v="0"/>
    <x v="1"/>
  </r>
  <r>
    <x v="905"/>
    <s v="Donald White"/>
    <x v="12"/>
    <x v="1"/>
    <x v="2"/>
    <x v="896"/>
    <x v="165"/>
    <x v="339"/>
    <x v="4"/>
    <x v="2"/>
    <n v="427826.39"/>
    <x v="2"/>
    <x v="7"/>
  </r>
  <r>
    <x v="906"/>
    <s v="Brittany Walter"/>
    <x v="73"/>
    <x v="1"/>
    <x v="3"/>
    <x v="897"/>
    <x v="129"/>
    <x v="224"/>
    <x v="3"/>
    <x v="4"/>
    <n v="312763.65000000002"/>
    <x v="2"/>
    <x v="1"/>
  </r>
  <r>
    <x v="907"/>
    <s v="Sherry Rodriguez"/>
    <x v="23"/>
    <x v="1"/>
    <x v="1"/>
    <x v="898"/>
    <x v="305"/>
    <x v="340"/>
    <x v="6"/>
    <x v="2"/>
    <n v="80789.919999999998"/>
    <x v="0"/>
    <x v="2"/>
  </r>
  <r>
    <x v="908"/>
    <s v="Jennifer Gardner"/>
    <x v="7"/>
    <x v="0"/>
    <x v="0"/>
    <x v="899"/>
    <x v="137"/>
    <x v="153"/>
    <x v="7"/>
    <x v="4"/>
    <n v="151980.88"/>
    <x v="2"/>
    <x v="12"/>
  </r>
  <r>
    <x v="909"/>
    <s v="John Brown"/>
    <x v="57"/>
    <x v="1"/>
    <x v="5"/>
    <x v="900"/>
    <x v="119"/>
    <x v="116"/>
    <x v="7"/>
    <x v="2"/>
    <n v="341102.72"/>
    <x v="2"/>
    <x v="5"/>
  </r>
  <r>
    <x v="910"/>
    <s v="Charles Johnson"/>
    <x v="50"/>
    <x v="1"/>
    <x v="6"/>
    <x v="901"/>
    <x v="199"/>
    <x v="168"/>
    <x v="8"/>
    <x v="3"/>
    <n v="154602.81"/>
    <x v="0"/>
    <x v="13"/>
  </r>
  <r>
    <x v="911"/>
    <s v="Susan Banks"/>
    <x v="6"/>
    <x v="0"/>
    <x v="5"/>
    <x v="902"/>
    <x v="212"/>
    <x v="37"/>
    <x v="4"/>
    <x v="2"/>
    <n v="19628.669999999998"/>
    <x v="2"/>
    <x v="6"/>
  </r>
  <r>
    <x v="912"/>
    <s v="Patrick Palmer"/>
    <x v="29"/>
    <x v="1"/>
    <x v="1"/>
    <x v="903"/>
    <x v="221"/>
    <x v="40"/>
    <x v="8"/>
    <x v="5"/>
    <n v="180744.79"/>
    <x v="2"/>
    <x v="5"/>
  </r>
  <r>
    <x v="913"/>
    <s v="Michael Russell"/>
    <x v="4"/>
    <x v="0"/>
    <x v="4"/>
    <x v="904"/>
    <x v="189"/>
    <x v="128"/>
    <x v="8"/>
    <x v="1"/>
    <n v="400699.69"/>
    <x v="1"/>
    <x v="0"/>
  </r>
  <r>
    <x v="914"/>
    <s v="Stacey Wilson"/>
    <x v="35"/>
    <x v="0"/>
    <x v="5"/>
    <x v="905"/>
    <x v="198"/>
    <x v="16"/>
    <x v="2"/>
    <x v="2"/>
    <n v="334196.06"/>
    <x v="1"/>
    <x v="12"/>
  </r>
  <r>
    <x v="915"/>
    <s v="Sergio Mcgrath"/>
    <x v="0"/>
    <x v="0"/>
    <x v="5"/>
    <x v="906"/>
    <x v="158"/>
    <x v="47"/>
    <x v="4"/>
    <x v="4"/>
    <n v="169585"/>
    <x v="1"/>
    <x v="14"/>
  </r>
  <r>
    <x v="916"/>
    <s v="Laura Palmer"/>
    <x v="86"/>
    <x v="0"/>
    <x v="0"/>
    <x v="907"/>
    <x v="91"/>
    <x v="226"/>
    <x v="3"/>
    <x v="3"/>
    <n v="487270.93"/>
    <x v="0"/>
    <x v="13"/>
  </r>
  <r>
    <x v="917"/>
    <s v="Richard Gonzalez"/>
    <x v="80"/>
    <x v="1"/>
    <x v="1"/>
    <x v="908"/>
    <x v="333"/>
    <x v="78"/>
    <x v="2"/>
    <x v="5"/>
    <n v="316669.73"/>
    <x v="0"/>
    <x v="13"/>
  </r>
  <r>
    <x v="918"/>
    <s v="Stacy Peterson"/>
    <x v="0"/>
    <x v="0"/>
    <x v="3"/>
    <x v="909"/>
    <x v="29"/>
    <x v="100"/>
    <x v="9"/>
    <x v="3"/>
    <n v="468498.3"/>
    <x v="0"/>
    <x v="6"/>
  </r>
  <r>
    <x v="919"/>
    <s v="Michele Brown"/>
    <x v="87"/>
    <x v="0"/>
    <x v="1"/>
    <x v="910"/>
    <x v="84"/>
    <x v="341"/>
    <x v="8"/>
    <x v="0"/>
    <n v="364046.49"/>
    <x v="2"/>
    <x v="10"/>
  </r>
  <r>
    <x v="920"/>
    <s v="Kelly House"/>
    <x v="7"/>
    <x v="1"/>
    <x v="2"/>
    <x v="911"/>
    <x v="204"/>
    <x v="17"/>
    <x v="7"/>
    <x v="3"/>
    <n v="216556.88"/>
    <x v="2"/>
    <x v="10"/>
  </r>
  <r>
    <x v="921"/>
    <s v="Brittany Brown"/>
    <x v="40"/>
    <x v="0"/>
    <x v="0"/>
    <x v="912"/>
    <x v="197"/>
    <x v="162"/>
    <x v="1"/>
    <x v="2"/>
    <n v="272769.21000000002"/>
    <x v="2"/>
    <x v="13"/>
  </r>
  <r>
    <x v="922"/>
    <s v="Mr. Michael Powell"/>
    <x v="89"/>
    <x v="1"/>
    <x v="0"/>
    <x v="913"/>
    <x v="71"/>
    <x v="188"/>
    <x v="4"/>
    <x v="4"/>
    <n v="362783.71"/>
    <x v="1"/>
    <x v="2"/>
  </r>
  <r>
    <x v="923"/>
    <s v="Lynn King"/>
    <x v="15"/>
    <x v="1"/>
    <x v="3"/>
    <x v="914"/>
    <x v="236"/>
    <x v="271"/>
    <x v="8"/>
    <x v="3"/>
    <n v="455656.23"/>
    <x v="1"/>
    <x v="2"/>
  </r>
  <r>
    <x v="924"/>
    <s v="Suzanne Phillips"/>
    <x v="27"/>
    <x v="1"/>
    <x v="0"/>
    <x v="915"/>
    <x v="197"/>
    <x v="273"/>
    <x v="4"/>
    <x v="1"/>
    <n v="270062.39"/>
    <x v="0"/>
    <x v="3"/>
  </r>
  <r>
    <x v="925"/>
    <s v="Brian Gill"/>
    <x v="48"/>
    <x v="0"/>
    <x v="4"/>
    <x v="916"/>
    <x v="1"/>
    <x v="96"/>
    <x v="4"/>
    <x v="5"/>
    <n v="160196.10999999999"/>
    <x v="1"/>
    <x v="10"/>
  </r>
  <r>
    <x v="926"/>
    <s v="Carlos Davis"/>
    <x v="46"/>
    <x v="0"/>
    <x v="0"/>
    <x v="917"/>
    <x v="31"/>
    <x v="222"/>
    <x v="8"/>
    <x v="2"/>
    <n v="334478.40999999997"/>
    <x v="1"/>
    <x v="0"/>
  </r>
  <r>
    <x v="927"/>
    <s v="Jacob Adams"/>
    <x v="18"/>
    <x v="1"/>
    <x v="1"/>
    <x v="918"/>
    <x v="129"/>
    <x v="297"/>
    <x v="4"/>
    <x v="3"/>
    <n v="29927.7"/>
    <x v="0"/>
    <x v="12"/>
  </r>
  <r>
    <x v="928"/>
    <s v="Stephanie Frazier"/>
    <x v="42"/>
    <x v="0"/>
    <x v="3"/>
    <x v="919"/>
    <x v="263"/>
    <x v="148"/>
    <x v="7"/>
    <x v="3"/>
    <n v="437741.29"/>
    <x v="2"/>
    <x v="7"/>
  </r>
  <r>
    <x v="929"/>
    <s v="Nicole Moore"/>
    <x v="76"/>
    <x v="1"/>
    <x v="4"/>
    <x v="920"/>
    <x v="79"/>
    <x v="86"/>
    <x v="3"/>
    <x v="3"/>
    <n v="303692.42"/>
    <x v="0"/>
    <x v="11"/>
  </r>
  <r>
    <x v="930"/>
    <s v="Caitlyn Mason"/>
    <x v="40"/>
    <x v="0"/>
    <x v="5"/>
    <x v="921"/>
    <x v="245"/>
    <x v="190"/>
    <x v="7"/>
    <x v="4"/>
    <n v="458591.19"/>
    <x v="2"/>
    <x v="9"/>
  </r>
  <r>
    <x v="931"/>
    <s v="Kenneth Donaldson"/>
    <x v="40"/>
    <x v="0"/>
    <x v="1"/>
    <x v="922"/>
    <x v="248"/>
    <x v="168"/>
    <x v="1"/>
    <x v="4"/>
    <n v="492769.55"/>
    <x v="1"/>
    <x v="4"/>
  </r>
  <r>
    <x v="932"/>
    <s v="Michael Smith"/>
    <x v="18"/>
    <x v="1"/>
    <x v="6"/>
    <x v="923"/>
    <x v="117"/>
    <x v="333"/>
    <x v="9"/>
    <x v="2"/>
    <n v="152864.43"/>
    <x v="0"/>
    <x v="1"/>
  </r>
  <r>
    <x v="933"/>
    <s v="Ronald Perry"/>
    <x v="35"/>
    <x v="1"/>
    <x v="0"/>
    <x v="924"/>
    <x v="128"/>
    <x v="186"/>
    <x v="5"/>
    <x v="2"/>
    <n v="11461.53"/>
    <x v="0"/>
    <x v="4"/>
  </r>
  <r>
    <x v="934"/>
    <s v="Timothy Myers"/>
    <x v="36"/>
    <x v="1"/>
    <x v="3"/>
    <x v="925"/>
    <x v="199"/>
    <x v="168"/>
    <x v="5"/>
    <x v="1"/>
    <n v="393915.91"/>
    <x v="2"/>
    <x v="13"/>
  </r>
  <r>
    <x v="935"/>
    <s v="Christopher Barnes"/>
    <x v="65"/>
    <x v="0"/>
    <x v="3"/>
    <x v="926"/>
    <x v="310"/>
    <x v="85"/>
    <x v="6"/>
    <x v="0"/>
    <n v="126609.71"/>
    <x v="2"/>
    <x v="7"/>
  </r>
  <r>
    <x v="936"/>
    <s v="Brandon Skinner"/>
    <x v="29"/>
    <x v="1"/>
    <x v="2"/>
    <x v="927"/>
    <x v="192"/>
    <x v="119"/>
    <x v="9"/>
    <x v="3"/>
    <n v="417806.67"/>
    <x v="2"/>
    <x v="1"/>
  </r>
  <r>
    <x v="937"/>
    <s v="Sandra Barton DDS"/>
    <x v="67"/>
    <x v="0"/>
    <x v="0"/>
    <x v="928"/>
    <x v="197"/>
    <x v="90"/>
    <x v="1"/>
    <x v="2"/>
    <n v="56169.69"/>
    <x v="1"/>
    <x v="9"/>
  </r>
  <r>
    <x v="938"/>
    <s v="Karla Caldwell"/>
    <x v="14"/>
    <x v="0"/>
    <x v="0"/>
    <x v="929"/>
    <x v="334"/>
    <x v="342"/>
    <x v="4"/>
    <x v="2"/>
    <n v="25503.34"/>
    <x v="1"/>
    <x v="4"/>
  </r>
  <r>
    <x v="939"/>
    <s v="Patricia Hoffman"/>
    <x v="21"/>
    <x v="1"/>
    <x v="2"/>
    <x v="930"/>
    <x v="53"/>
    <x v="330"/>
    <x v="3"/>
    <x v="4"/>
    <n v="346313.31"/>
    <x v="0"/>
    <x v="2"/>
  </r>
  <r>
    <x v="940"/>
    <s v="Gabrielle Collins"/>
    <x v="72"/>
    <x v="0"/>
    <x v="5"/>
    <x v="931"/>
    <x v="82"/>
    <x v="13"/>
    <x v="8"/>
    <x v="5"/>
    <n v="331316.21999999997"/>
    <x v="0"/>
    <x v="6"/>
  </r>
  <r>
    <x v="941"/>
    <s v="Tyler Page"/>
    <x v="54"/>
    <x v="0"/>
    <x v="0"/>
    <x v="932"/>
    <x v="124"/>
    <x v="297"/>
    <x v="6"/>
    <x v="0"/>
    <n v="100053.82"/>
    <x v="2"/>
    <x v="3"/>
  </r>
  <r>
    <x v="942"/>
    <s v="Pamela Brown"/>
    <x v="21"/>
    <x v="1"/>
    <x v="4"/>
    <x v="933"/>
    <x v="153"/>
    <x v="173"/>
    <x v="5"/>
    <x v="0"/>
    <n v="212837.18"/>
    <x v="0"/>
    <x v="12"/>
  </r>
  <r>
    <x v="943"/>
    <s v="Tina Quinn"/>
    <x v="55"/>
    <x v="0"/>
    <x v="6"/>
    <x v="934"/>
    <x v="68"/>
    <x v="28"/>
    <x v="2"/>
    <x v="4"/>
    <n v="14495.29"/>
    <x v="2"/>
    <x v="1"/>
  </r>
  <r>
    <x v="944"/>
    <s v="Veronica Baker"/>
    <x v="40"/>
    <x v="0"/>
    <x v="6"/>
    <x v="935"/>
    <x v="292"/>
    <x v="58"/>
    <x v="4"/>
    <x v="3"/>
    <n v="20664.38"/>
    <x v="0"/>
    <x v="3"/>
  </r>
  <r>
    <x v="945"/>
    <s v="Kimberly Stein"/>
    <x v="70"/>
    <x v="0"/>
    <x v="0"/>
    <x v="936"/>
    <x v="42"/>
    <x v="18"/>
    <x v="3"/>
    <x v="2"/>
    <n v="188553.47"/>
    <x v="0"/>
    <x v="5"/>
  </r>
  <r>
    <x v="946"/>
    <s v="Kaitlyn Mason"/>
    <x v="88"/>
    <x v="1"/>
    <x v="4"/>
    <x v="937"/>
    <x v="184"/>
    <x v="219"/>
    <x v="8"/>
    <x v="5"/>
    <n v="147779.51"/>
    <x v="2"/>
    <x v="10"/>
  </r>
  <r>
    <x v="947"/>
    <s v="Zachary Santiago"/>
    <x v="88"/>
    <x v="1"/>
    <x v="6"/>
    <x v="938"/>
    <x v="125"/>
    <x v="51"/>
    <x v="8"/>
    <x v="4"/>
    <n v="90955.16"/>
    <x v="2"/>
    <x v="2"/>
  </r>
  <r>
    <x v="948"/>
    <s v="Jennifer Bowers"/>
    <x v="10"/>
    <x v="0"/>
    <x v="5"/>
    <x v="939"/>
    <x v="335"/>
    <x v="343"/>
    <x v="9"/>
    <x v="1"/>
    <n v="97387.03"/>
    <x v="2"/>
    <x v="5"/>
  </r>
  <r>
    <x v="949"/>
    <s v="Scott Rodriguez"/>
    <x v="7"/>
    <x v="0"/>
    <x v="6"/>
    <x v="940"/>
    <x v="72"/>
    <x v="344"/>
    <x v="5"/>
    <x v="3"/>
    <n v="495357.8"/>
    <x v="1"/>
    <x v="4"/>
  </r>
  <r>
    <x v="950"/>
    <s v="Tina Berg"/>
    <x v="50"/>
    <x v="0"/>
    <x v="6"/>
    <x v="941"/>
    <x v="167"/>
    <x v="172"/>
    <x v="0"/>
    <x v="3"/>
    <n v="280320.53999999998"/>
    <x v="0"/>
    <x v="5"/>
  </r>
  <r>
    <x v="951"/>
    <s v="Kevin Cochran"/>
    <x v="4"/>
    <x v="0"/>
    <x v="4"/>
    <x v="942"/>
    <x v="228"/>
    <x v="345"/>
    <x v="6"/>
    <x v="5"/>
    <n v="203749.55"/>
    <x v="1"/>
    <x v="7"/>
  </r>
  <r>
    <x v="952"/>
    <s v="Jacob Welch"/>
    <x v="59"/>
    <x v="1"/>
    <x v="0"/>
    <x v="943"/>
    <x v="48"/>
    <x v="318"/>
    <x v="8"/>
    <x v="5"/>
    <n v="133555.82999999999"/>
    <x v="1"/>
    <x v="4"/>
  </r>
  <r>
    <x v="953"/>
    <s v="Sarah Franco"/>
    <x v="19"/>
    <x v="0"/>
    <x v="5"/>
    <x v="944"/>
    <x v="208"/>
    <x v="115"/>
    <x v="9"/>
    <x v="5"/>
    <n v="369380.63"/>
    <x v="0"/>
    <x v="13"/>
  </r>
  <r>
    <x v="954"/>
    <s v="Veronica Larson"/>
    <x v="46"/>
    <x v="0"/>
    <x v="0"/>
    <x v="945"/>
    <x v="7"/>
    <x v="3"/>
    <x v="0"/>
    <x v="2"/>
    <n v="277275.94"/>
    <x v="2"/>
    <x v="4"/>
  </r>
  <r>
    <x v="955"/>
    <s v="Michael Hayes"/>
    <x v="25"/>
    <x v="1"/>
    <x v="1"/>
    <x v="946"/>
    <x v="95"/>
    <x v="98"/>
    <x v="0"/>
    <x v="0"/>
    <n v="440780.43"/>
    <x v="1"/>
    <x v="1"/>
  </r>
  <r>
    <x v="956"/>
    <s v="Robert Hansen"/>
    <x v="83"/>
    <x v="0"/>
    <x v="5"/>
    <x v="947"/>
    <x v="83"/>
    <x v="215"/>
    <x v="4"/>
    <x v="0"/>
    <n v="347162.87"/>
    <x v="2"/>
    <x v="0"/>
  </r>
  <r>
    <x v="957"/>
    <s v="Jeffery Smith"/>
    <x v="24"/>
    <x v="0"/>
    <x v="6"/>
    <x v="948"/>
    <x v="138"/>
    <x v="301"/>
    <x v="0"/>
    <x v="4"/>
    <n v="300157.44"/>
    <x v="2"/>
    <x v="10"/>
  </r>
  <r>
    <x v="958"/>
    <s v="Eric Hill"/>
    <x v="10"/>
    <x v="0"/>
    <x v="2"/>
    <x v="949"/>
    <x v="192"/>
    <x v="306"/>
    <x v="1"/>
    <x v="0"/>
    <n v="92805.77"/>
    <x v="2"/>
    <x v="11"/>
  </r>
  <r>
    <x v="959"/>
    <s v="Misty Simmons"/>
    <x v="82"/>
    <x v="1"/>
    <x v="2"/>
    <x v="950"/>
    <x v="187"/>
    <x v="165"/>
    <x v="1"/>
    <x v="0"/>
    <n v="213624.04"/>
    <x v="2"/>
    <x v="13"/>
  </r>
  <r>
    <x v="960"/>
    <s v="Mark Wright"/>
    <x v="67"/>
    <x v="1"/>
    <x v="5"/>
    <x v="951"/>
    <x v="303"/>
    <x v="253"/>
    <x v="0"/>
    <x v="5"/>
    <n v="355891.07"/>
    <x v="2"/>
    <x v="12"/>
  </r>
  <r>
    <x v="961"/>
    <s v="Jennifer Farmer"/>
    <x v="8"/>
    <x v="1"/>
    <x v="6"/>
    <x v="952"/>
    <x v="217"/>
    <x v="264"/>
    <x v="3"/>
    <x v="0"/>
    <n v="309156.2"/>
    <x v="0"/>
    <x v="5"/>
  </r>
  <r>
    <x v="962"/>
    <s v="Chad Knox"/>
    <x v="82"/>
    <x v="0"/>
    <x v="2"/>
    <x v="953"/>
    <x v="114"/>
    <x v="341"/>
    <x v="8"/>
    <x v="0"/>
    <n v="215910.22"/>
    <x v="2"/>
    <x v="0"/>
  </r>
  <r>
    <x v="963"/>
    <s v="Michelle Johnson"/>
    <x v="41"/>
    <x v="1"/>
    <x v="2"/>
    <x v="954"/>
    <x v="59"/>
    <x v="186"/>
    <x v="1"/>
    <x v="2"/>
    <n v="77560.960000000006"/>
    <x v="2"/>
    <x v="1"/>
  </r>
  <r>
    <x v="964"/>
    <s v="William Ramirez"/>
    <x v="1"/>
    <x v="1"/>
    <x v="0"/>
    <x v="955"/>
    <x v="171"/>
    <x v="290"/>
    <x v="7"/>
    <x v="1"/>
    <n v="403560.68"/>
    <x v="1"/>
    <x v="8"/>
  </r>
  <r>
    <x v="965"/>
    <s v="Philip Harris"/>
    <x v="69"/>
    <x v="1"/>
    <x v="2"/>
    <x v="956"/>
    <x v="115"/>
    <x v="89"/>
    <x v="5"/>
    <x v="2"/>
    <n v="349327.08"/>
    <x v="0"/>
    <x v="4"/>
  </r>
  <r>
    <x v="966"/>
    <s v="Gina Lewis"/>
    <x v="7"/>
    <x v="1"/>
    <x v="0"/>
    <x v="957"/>
    <x v="98"/>
    <x v="106"/>
    <x v="7"/>
    <x v="4"/>
    <n v="110337.4"/>
    <x v="0"/>
    <x v="2"/>
  </r>
  <r>
    <x v="967"/>
    <s v="Sean Ford"/>
    <x v="42"/>
    <x v="0"/>
    <x v="5"/>
    <x v="958"/>
    <x v="209"/>
    <x v="122"/>
    <x v="7"/>
    <x v="4"/>
    <n v="176083.4"/>
    <x v="1"/>
    <x v="6"/>
  </r>
  <r>
    <x v="968"/>
    <s v="Mrs. Kathryn Hahn"/>
    <x v="47"/>
    <x v="1"/>
    <x v="2"/>
    <x v="959"/>
    <x v="158"/>
    <x v="306"/>
    <x v="8"/>
    <x v="1"/>
    <n v="188904.2"/>
    <x v="0"/>
    <x v="9"/>
  </r>
  <r>
    <x v="969"/>
    <s v="Joanne Best"/>
    <x v="71"/>
    <x v="1"/>
    <x v="1"/>
    <x v="960"/>
    <x v="15"/>
    <x v="266"/>
    <x v="5"/>
    <x v="0"/>
    <n v="346298.06"/>
    <x v="0"/>
    <x v="0"/>
  </r>
  <r>
    <x v="970"/>
    <s v="Peter Hodge"/>
    <x v="66"/>
    <x v="1"/>
    <x v="1"/>
    <x v="961"/>
    <x v="3"/>
    <x v="203"/>
    <x v="6"/>
    <x v="5"/>
    <n v="59732.65"/>
    <x v="0"/>
    <x v="2"/>
  </r>
  <r>
    <x v="971"/>
    <s v="Dr. Johnny Callahan"/>
    <x v="39"/>
    <x v="1"/>
    <x v="1"/>
    <x v="962"/>
    <x v="279"/>
    <x v="337"/>
    <x v="5"/>
    <x v="1"/>
    <n v="146540.20000000001"/>
    <x v="2"/>
    <x v="6"/>
  </r>
  <r>
    <x v="972"/>
    <s v="Elizabeth Johnson"/>
    <x v="47"/>
    <x v="1"/>
    <x v="0"/>
    <x v="963"/>
    <x v="298"/>
    <x v="134"/>
    <x v="6"/>
    <x v="5"/>
    <n v="134385.25"/>
    <x v="0"/>
    <x v="14"/>
  </r>
  <r>
    <x v="973"/>
    <s v="Melissa Hardy"/>
    <x v="39"/>
    <x v="0"/>
    <x v="2"/>
    <x v="964"/>
    <x v="287"/>
    <x v="307"/>
    <x v="2"/>
    <x v="2"/>
    <n v="339051.28"/>
    <x v="1"/>
    <x v="0"/>
  </r>
  <r>
    <x v="974"/>
    <s v="Victor Ellis"/>
    <x v="89"/>
    <x v="0"/>
    <x v="4"/>
    <x v="965"/>
    <x v="68"/>
    <x v="128"/>
    <x v="7"/>
    <x v="4"/>
    <n v="78543.75"/>
    <x v="0"/>
    <x v="12"/>
  </r>
  <r>
    <x v="975"/>
    <s v="Brittany Hopkins"/>
    <x v="69"/>
    <x v="0"/>
    <x v="2"/>
    <x v="966"/>
    <x v="313"/>
    <x v="327"/>
    <x v="1"/>
    <x v="1"/>
    <n v="230543.87"/>
    <x v="1"/>
    <x v="13"/>
  </r>
  <r>
    <x v="976"/>
    <s v="David Mitchell"/>
    <x v="11"/>
    <x v="1"/>
    <x v="6"/>
    <x v="967"/>
    <x v="336"/>
    <x v="346"/>
    <x v="8"/>
    <x v="4"/>
    <n v="440970.14"/>
    <x v="1"/>
    <x v="10"/>
  </r>
  <r>
    <x v="977"/>
    <s v="Joanna Johnson"/>
    <x v="81"/>
    <x v="1"/>
    <x v="4"/>
    <x v="968"/>
    <x v="162"/>
    <x v="68"/>
    <x v="0"/>
    <x v="5"/>
    <n v="249923.87"/>
    <x v="2"/>
    <x v="5"/>
  </r>
  <r>
    <x v="978"/>
    <s v="Tracey Duncan"/>
    <x v="45"/>
    <x v="1"/>
    <x v="1"/>
    <x v="969"/>
    <x v="234"/>
    <x v="125"/>
    <x v="4"/>
    <x v="4"/>
    <n v="196708.26"/>
    <x v="2"/>
    <x v="1"/>
  </r>
  <r>
    <x v="979"/>
    <s v="Kathryn Jimenez"/>
    <x v="67"/>
    <x v="1"/>
    <x v="3"/>
    <x v="970"/>
    <x v="4"/>
    <x v="1"/>
    <x v="1"/>
    <x v="1"/>
    <n v="239337.35"/>
    <x v="0"/>
    <x v="7"/>
  </r>
  <r>
    <x v="980"/>
    <s v="Michelle Serrano"/>
    <x v="67"/>
    <x v="1"/>
    <x v="4"/>
    <x v="971"/>
    <x v="139"/>
    <x v="253"/>
    <x v="3"/>
    <x v="4"/>
    <n v="453134.57"/>
    <x v="1"/>
    <x v="8"/>
  </r>
  <r>
    <x v="981"/>
    <s v="Alejandro Turner"/>
    <x v="58"/>
    <x v="0"/>
    <x v="4"/>
    <x v="972"/>
    <x v="112"/>
    <x v="19"/>
    <x v="4"/>
    <x v="1"/>
    <n v="305814.96999999997"/>
    <x v="0"/>
    <x v="1"/>
  </r>
  <r>
    <x v="982"/>
    <s v="Matthew Bennett"/>
    <x v="48"/>
    <x v="1"/>
    <x v="0"/>
    <x v="973"/>
    <x v="36"/>
    <x v="239"/>
    <x v="1"/>
    <x v="2"/>
    <n v="458775.6"/>
    <x v="2"/>
    <x v="11"/>
  </r>
  <r>
    <x v="983"/>
    <s v="Andrew Lopez"/>
    <x v="78"/>
    <x v="0"/>
    <x v="4"/>
    <x v="974"/>
    <x v="130"/>
    <x v="80"/>
    <x v="8"/>
    <x v="0"/>
    <n v="86176.47"/>
    <x v="0"/>
    <x v="0"/>
  </r>
  <r>
    <x v="984"/>
    <s v="Michael Larson"/>
    <x v="9"/>
    <x v="0"/>
    <x v="4"/>
    <x v="975"/>
    <x v="124"/>
    <x v="132"/>
    <x v="0"/>
    <x v="4"/>
    <n v="373569.32"/>
    <x v="1"/>
    <x v="9"/>
  </r>
  <r>
    <x v="985"/>
    <s v="Daniel Savage"/>
    <x v="14"/>
    <x v="0"/>
    <x v="3"/>
    <x v="976"/>
    <x v="249"/>
    <x v="224"/>
    <x v="7"/>
    <x v="2"/>
    <n v="480633.82"/>
    <x v="0"/>
    <x v="5"/>
  </r>
  <r>
    <x v="986"/>
    <s v="Emily Figueroa"/>
    <x v="10"/>
    <x v="0"/>
    <x v="1"/>
    <x v="977"/>
    <x v="68"/>
    <x v="70"/>
    <x v="6"/>
    <x v="0"/>
    <n v="93544.05"/>
    <x v="2"/>
    <x v="11"/>
  </r>
  <r>
    <x v="987"/>
    <s v="Sonia Herring"/>
    <x v="76"/>
    <x v="0"/>
    <x v="5"/>
    <x v="978"/>
    <x v="48"/>
    <x v="97"/>
    <x v="3"/>
    <x v="4"/>
    <n v="358586.29"/>
    <x v="0"/>
    <x v="0"/>
  </r>
  <r>
    <x v="988"/>
    <s v="Daniel Allen"/>
    <x v="77"/>
    <x v="1"/>
    <x v="0"/>
    <x v="979"/>
    <x v="82"/>
    <x v="68"/>
    <x v="7"/>
    <x v="2"/>
    <n v="47667.91"/>
    <x v="0"/>
    <x v="0"/>
  </r>
  <r>
    <x v="989"/>
    <s v="David Perez"/>
    <x v="78"/>
    <x v="1"/>
    <x v="1"/>
    <x v="980"/>
    <x v="275"/>
    <x v="212"/>
    <x v="5"/>
    <x v="4"/>
    <n v="424137.17"/>
    <x v="0"/>
    <x v="3"/>
  </r>
  <r>
    <x v="990"/>
    <s v="Kimberly Blevins"/>
    <x v="76"/>
    <x v="1"/>
    <x v="3"/>
    <x v="981"/>
    <x v="296"/>
    <x v="222"/>
    <x v="9"/>
    <x v="1"/>
    <n v="183961.4"/>
    <x v="2"/>
    <x v="11"/>
  </r>
  <r>
    <x v="991"/>
    <s v="Kelsey Munoz"/>
    <x v="66"/>
    <x v="1"/>
    <x v="0"/>
    <x v="982"/>
    <x v="169"/>
    <x v="280"/>
    <x v="5"/>
    <x v="1"/>
    <n v="196148.28"/>
    <x v="2"/>
    <x v="12"/>
  </r>
  <r>
    <x v="992"/>
    <s v="Benjamin Wilson"/>
    <x v="57"/>
    <x v="1"/>
    <x v="3"/>
    <x v="983"/>
    <x v="114"/>
    <x v="159"/>
    <x v="8"/>
    <x v="3"/>
    <n v="419089.46"/>
    <x v="1"/>
    <x v="1"/>
  </r>
  <r>
    <x v="993"/>
    <s v="Anthony Cooke"/>
    <x v="71"/>
    <x v="1"/>
    <x v="4"/>
    <x v="984"/>
    <x v="157"/>
    <x v="299"/>
    <x v="0"/>
    <x v="3"/>
    <n v="136184.74"/>
    <x v="1"/>
    <x v="4"/>
  </r>
  <r>
    <x v="994"/>
    <s v="David Powell"/>
    <x v="12"/>
    <x v="1"/>
    <x v="3"/>
    <x v="985"/>
    <x v="264"/>
    <x v="347"/>
    <x v="5"/>
    <x v="3"/>
    <n v="159796.88"/>
    <x v="2"/>
    <x v="0"/>
  </r>
  <r>
    <x v="995"/>
    <s v="Lauren Watson"/>
    <x v="62"/>
    <x v="0"/>
    <x v="3"/>
    <x v="986"/>
    <x v="335"/>
    <x v="217"/>
    <x v="4"/>
    <x v="0"/>
    <n v="262580.03000000003"/>
    <x v="0"/>
    <x v="3"/>
  </r>
  <r>
    <x v="996"/>
    <s v="Jennifer Medina"/>
    <x v="34"/>
    <x v="1"/>
    <x v="5"/>
    <x v="987"/>
    <x v="287"/>
    <x v="348"/>
    <x v="2"/>
    <x v="5"/>
    <n v="284962.53999999998"/>
    <x v="0"/>
    <x v="1"/>
  </r>
  <r>
    <x v="997"/>
    <s v="Connor Ali"/>
    <x v="49"/>
    <x v="0"/>
    <x v="5"/>
    <x v="988"/>
    <x v="95"/>
    <x v="101"/>
    <x v="5"/>
    <x v="0"/>
    <n v="55643.27"/>
    <x v="2"/>
    <x v="3"/>
  </r>
  <r>
    <x v="998"/>
    <s v="Thomas Vaughan"/>
    <x v="62"/>
    <x v="1"/>
    <x v="4"/>
    <x v="989"/>
    <x v="32"/>
    <x v="336"/>
    <x v="0"/>
    <x v="2"/>
    <n v="109780.8"/>
    <x v="1"/>
    <x v="11"/>
  </r>
  <r>
    <x v="999"/>
    <s v="Tina Carter"/>
    <x v="29"/>
    <x v="0"/>
    <x v="1"/>
    <x v="990"/>
    <x v="337"/>
    <x v="345"/>
    <x v="5"/>
    <x v="2"/>
    <n v="136290.01999999999"/>
    <x v="1"/>
    <x v="10"/>
  </r>
  <r>
    <x v="1000"/>
    <s v="Krystal Fitzgerald"/>
    <x v="43"/>
    <x v="1"/>
    <x v="0"/>
    <x v="991"/>
    <x v="163"/>
    <x v="91"/>
    <x v="5"/>
    <x v="1"/>
    <n v="71412.72"/>
    <x v="0"/>
    <x v="1"/>
  </r>
  <r>
    <x v="1001"/>
    <s v="Tony Vasquez"/>
    <x v="70"/>
    <x v="1"/>
    <x v="3"/>
    <x v="992"/>
    <x v="292"/>
    <x v="254"/>
    <x v="4"/>
    <x v="0"/>
    <n v="281687.07"/>
    <x v="1"/>
    <x v="8"/>
  </r>
  <r>
    <x v="1002"/>
    <s v="Zachary Rodriguez"/>
    <x v="75"/>
    <x v="1"/>
    <x v="0"/>
    <x v="993"/>
    <x v="77"/>
    <x v="171"/>
    <x v="0"/>
    <x v="2"/>
    <n v="164269.01"/>
    <x v="2"/>
    <x v="3"/>
  </r>
  <r>
    <x v="1003"/>
    <s v="Mrs. Jean Guerrero"/>
    <x v="53"/>
    <x v="1"/>
    <x v="2"/>
    <x v="994"/>
    <x v="108"/>
    <x v="134"/>
    <x v="2"/>
    <x v="2"/>
    <n v="476520.59"/>
    <x v="0"/>
    <x v="3"/>
  </r>
  <r>
    <x v="1004"/>
    <s v="Cynthia Allen"/>
    <x v="9"/>
    <x v="1"/>
    <x v="1"/>
    <x v="995"/>
    <x v="209"/>
    <x v="219"/>
    <x v="8"/>
    <x v="4"/>
    <n v="426294.9"/>
    <x v="1"/>
    <x v="5"/>
  </r>
  <r>
    <x v="1005"/>
    <s v="Sarah Nguyen"/>
    <x v="25"/>
    <x v="0"/>
    <x v="3"/>
    <x v="996"/>
    <x v="259"/>
    <x v="202"/>
    <x v="6"/>
    <x v="1"/>
    <n v="178924.15"/>
    <x v="1"/>
    <x v="14"/>
  </r>
  <r>
    <x v="1006"/>
    <s v="Jennifer Jones"/>
    <x v="74"/>
    <x v="0"/>
    <x v="0"/>
    <x v="997"/>
    <x v="284"/>
    <x v="281"/>
    <x v="7"/>
    <x v="4"/>
    <n v="476272.75"/>
    <x v="1"/>
    <x v="3"/>
  </r>
  <r>
    <x v="1007"/>
    <s v="Tonya Ruiz"/>
    <x v="65"/>
    <x v="1"/>
    <x v="4"/>
    <x v="998"/>
    <x v="179"/>
    <x v="203"/>
    <x v="2"/>
    <x v="4"/>
    <n v="275198.38"/>
    <x v="2"/>
    <x v="6"/>
  </r>
  <r>
    <x v="1008"/>
    <s v="Lynn Mcbride"/>
    <x v="53"/>
    <x v="1"/>
    <x v="3"/>
    <x v="999"/>
    <x v="23"/>
    <x v="230"/>
    <x v="8"/>
    <x v="5"/>
    <n v="375087.68"/>
    <x v="0"/>
    <x v="2"/>
  </r>
  <r>
    <x v="1009"/>
    <s v="Kimberly Rodriguez"/>
    <x v="22"/>
    <x v="0"/>
    <x v="4"/>
    <x v="1000"/>
    <x v="76"/>
    <x v="145"/>
    <x v="7"/>
    <x v="2"/>
    <n v="35365.96"/>
    <x v="0"/>
    <x v="9"/>
  </r>
  <r>
    <x v="1010"/>
    <s v="Scott Anderson"/>
    <x v="4"/>
    <x v="1"/>
    <x v="6"/>
    <x v="1001"/>
    <x v="154"/>
    <x v="22"/>
    <x v="0"/>
    <x v="2"/>
    <n v="203251.57"/>
    <x v="0"/>
    <x v="9"/>
  </r>
  <r>
    <x v="1011"/>
    <s v="Brian Scott"/>
    <x v="59"/>
    <x v="0"/>
    <x v="5"/>
    <x v="1002"/>
    <x v="338"/>
    <x v="340"/>
    <x v="0"/>
    <x v="5"/>
    <n v="40577.18"/>
    <x v="2"/>
    <x v="9"/>
  </r>
  <r>
    <x v="1012"/>
    <s v="Angela Garcia"/>
    <x v="89"/>
    <x v="1"/>
    <x v="1"/>
    <x v="1003"/>
    <x v="339"/>
    <x v="70"/>
    <x v="5"/>
    <x v="0"/>
    <n v="352681.05"/>
    <x v="0"/>
    <x v="1"/>
  </r>
  <r>
    <x v="1013"/>
    <s v="Rachel Smith"/>
    <x v="34"/>
    <x v="1"/>
    <x v="6"/>
    <x v="1004"/>
    <x v="196"/>
    <x v="327"/>
    <x v="2"/>
    <x v="5"/>
    <n v="136859.29"/>
    <x v="1"/>
    <x v="4"/>
  </r>
  <r>
    <x v="1014"/>
    <s v="Mark Cook"/>
    <x v="85"/>
    <x v="1"/>
    <x v="6"/>
    <x v="1005"/>
    <x v="134"/>
    <x v="185"/>
    <x v="4"/>
    <x v="5"/>
    <n v="497938.66"/>
    <x v="0"/>
    <x v="13"/>
  </r>
  <r>
    <x v="1015"/>
    <s v="Shawn Hill"/>
    <x v="89"/>
    <x v="0"/>
    <x v="4"/>
    <x v="1006"/>
    <x v="340"/>
    <x v="349"/>
    <x v="6"/>
    <x v="4"/>
    <n v="437184.83"/>
    <x v="2"/>
    <x v="8"/>
  </r>
  <r>
    <x v="1016"/>
    <s v="Larry Johnson"/>
    <x v="53"/>
    <x v="1"/>
    <x v="6"/>
    <x v="1007"/>
    <x v="36"/>
    <x v="213"/>
    <x v="4"/>
    <x v="4"/>
    <n v="110467.02"/>
    <x v="1"/>
    <x v="12"/>
  </r>
  <r>
    <x v="1017"/>
    <s v="Christopher Wilson"/>
    <x v="59"/>
    <x v="1"/>
    <x v="3"/>
    <x v="1008"/>
    <x v="220"/>
    <x v="54"/>
    <x v="3"/>
    <x v="5"/>
    <n v="382448.93"/>
    <x v="1"/>
    <x v="14"/>
  </r>
  <r>
    <x v="1018"/>
    <s v="Jeffrey Williams"/>
    <x v="79"/>
    <x v="1"/>
    <x v="1"/>
    <x v="1009"/>
    <x v="78"/>
    <x v="350"/>
    <x v="9"/>
    <x v="1"/>
    <n v="269815.83"/>
    <x v="0"/>
    <x v="9"/>
  </r>
  <r>
    <x v="1019"/>
    <s v="Nancy Guerrero"/>
    <x v="72"/>
    <x v="1"/>
    <x v="1"/>
    <x v="1010"/>
    <x v="254"/>
    <x v="337"/>
    <x v="0"/>
    <x v="1"/>
    <n v="37732.35"/>
    <x v="2"/>
    <x v="7"/>
  </r>
  <r>
    <x v="1020"/>
    <s v="Kathleen Fields"/>
    <x v="82"/>
    <x v="1"/>
    <x v="2"/>
    <x v="1011"/>
    <x v="217"/>
    <x v="50"/>
    <x v="6"/>
    <x v="1"/>
    <n v="432308.86"/>
    <x v="2"/>
    <x v="7"/>
  </r>
  <r>
    <x v="1021"/>
    <s v="Amy Ellis"/>
    <x v="14"/>
    <x v="1"/>
    <x v="1"/>
    <x v="1012"/>
    <x v="198"/>
    <x v="4"/>
    <x v="0"/>
    <x v="0"/>
    <n v="335767.54"/>
    <x v="0"/>
    <x v="3"/>
  </r>
  <r>
    <x v="1022"/>
    <s v="Kenneth White"/>
    <x v="12"/>
    <x v="0"/>
    <x v="4"/>
    <x v="1013"/>
    <x v="153"/>
    <x v="320"/>
    <x v="8"/>
    <x v="5"/>
    <n v="143393.51"/>
    <x v="1"/>
    <x v="6"/>
  </r>
  <r>
    <x v="1023"/>
    <s v="Samantha Ruiz"/>
    <x v="76"/>
    <x v="0"/>
    <x v="3"/>
    <x v="1014"/>
    <x v="334"/>
    <x v="105"/>
    <x v="1"/>
    <x v="3"/>
    <n v="81415.97"/>
    <x v="2"/>
    <x v="12"/>
  </r>
  <r>
    <x v="1024"/>
    <s v="Nicholas Turner"/>
    <x v="13"/>
    <x v="1"/>
    <x v="6"/>
    <x v="1015"/>
    <x v="149"/>
    <x v="130"/>
    <x v="8"/>
    <x v="3"/>
    <n v="115121.75"/>
    <x v="2"/>
    <x v="2"/>
  </r>
  <r>
    <x v="1025"/>
    <s v="Christopher Harvey"/>
    <x v="56"/>
    <x v="1"/>
    <x v="3"/>
    <x v="1016"/>
    <x v="126"/>
    <x v="348"/>
    <x v="0"/>
    <x v="3"/>
    <n v="283916.02"/>
    <x v="2"/>
    <x v="11"/>
  </r>
  <r>
    <x v="1026"/>
    <s v="Seth Miller"/>
    <x v="52"/>
    <x v="1"/>
    <x v="2"/>
    <x v="1017"/>
    <x v="134"/>
    <x v="185"/>
    <x v="8"/>
    <x v="2"/>
    <n v="24016.23"/>
    <x v="0"/>
    <x v="13"/>
  </r>
  <r>
    <x v="1027"/>
    <s v="Frederick Grant"/>
    <x v="12"/>
    <x v="1"/>
    <x v="3"/>
    <x v="1018"/>
    <x v="323"/>
    <x v="160"/>
    <x v="0"/>
    <x v="0"/>
    <n v="357423.73"/>
    <x v="0"/>
    <x v="7"/>
  </r>
  <r>
    <x v="1028"/>
    <s v="Danny Burnett"/>
    <x v="88"/>
    <x v="1"/>
    <x v="1"/>
    <x v="1019"/>
    <x v="95"/>
    <x v="351"/>
    <x v="5"/>
    <x v="3"/>
    <n v="60680.09"/>
    <x v="0"/>
    <x v="10"/>
  </r>
  <r>
    <x v="1029"/>
    <s v="Rebecca Green"/>
    <x v="71"/>
    <x v="1"/>
    <x v="5"/>
    <x v="1020"/>
    <x v="101"/>
    <x v="195"/>
    <x v="0"/>
    <x v="5"/>
    <n v="346457.91"/>
    <x v="0"/>
    <x v="3"/>
  </r>
  <r>
    <x v="1030"/>
    <s v="Gail Richards"/>
    <x v="12"/>
    <x v="1"/>
    <x v="3"/>
    <x v="1021"/>
    <x v="119"/>
    <x v="116"/>
    <x v="2"/>
    <x v="4"/>
    <n v="181070.99"/>
    <x v="1"/>
    <x v="5"/>
  </r>
  <r>
    <x v="1031"/>
    <s v="Nicole Bradshaw"/>
    <x v="74"/>
    <x v="0"/>
    <x v="1"/>
    <x v="1022"/>
    <x v="83"/>
    <x v="274"/>
    <x v="2"/>
    <x v="3"/>
    <n v="321331.48"/>
    <x v="1"/>
    <x v="13"/>
  </r>
  <r>
    <x v="1032"/>
    <s v="John Warren"/>
    <x v="25"/>
    <x v="1"/>
    <x v="1"/>
    <x v="1023"/>
    <x v="83"/>
    <x v="180"/>
    <x v="6"/>
    <x v="4"/>
    <n v="244498.83"/>
    <x v="1"/>
    <x v="1"/>
  </r>
  <r>
    <x v="1033"/>
    <s v="Sarah Jackson"/>
    <x v="80"/>
    <x v="0"/>
    <x v="0"/>
    <x v="1024"/>
    <x v="165"/>
    <x v="47"/>
    <x v="2"/>
    <x v="4"/>
    <n v="165149.06"/>
    <x v="1"/>
    <x v="13"/>
  </r>
  <r>
    <x v="1034"/>
    <s v="Gary Heath"/>
    <x v="67"/>
    <x v="1"/>
    <x v="6"/>
    <x v="1025"/>
    <x v="341"/>
    <x v="250"/>
    <x v="2"/>
    <x v="5"/>
    <n v="332085.14"/>
    <x v="0"/>
    <x v="9"/>
  </r>
  <r>
    <x v="1035"/>
    <s v="Alejandro Guzman"/>
    <x v="59"/>
    <x v="0"/>
    <x v="4"/>
    <x v="1026"/>
    <x v="47"/>
    <x v="187"/>
    <x v="4"/>
    <x v="2"/>
    <n v="131674.60999999999"/>
    <x v="2"/>
    <x v="1"/>
  </r>
  <r>
    <x v="1036"/>
    <s v="Jackie Perkins"/>
    <x v="45"/>
    <x v="0"/>
    <x v="6"/>
    <x v="1027"/>
    <x v="56"/>
    <x v="73"/>
    <x v="9"/>
    <x v="5"/>
    <n v="40962.25"/>
    <x v="0"/>
    <x v="1"/>
  </r>
  <r>
    <x v="1037"/>
    <s v="Kristy Sanchez"/>
    <x v="40"/>
    <x v="0"/>
    <x v="5"/>
    <x v="1028"/>
    <x v="103"/>
    <x v="80"/>
    <x v="3"/>
    <x v="2"/>
    <n v="296301.23"/>
    <x v="2"/>
    <x v="9"/>
  </r>
  <r>
    <x v="1038"/>
    <s v="David Smith"/>
    <x v="36"/>
    <x v="0"/>
    <x v="5"/>
    <x v="1029"/>
    <x v="241"/>
    <x v="164"/>
    <x v="2"/>
    <x v="2"/>
    <n v="354990.62"/>
    <x v="2"/>
    <x v="6"/>
  </r>
  <r>
    <x v="1039"/>
    <s v="Adam Pollard"/>
    <x v="77"/>
    <x v="1"/>
    <x v="3"/>
    <x v="1030"/>
    <x v="300"/>
    <x v="349"/>
    <x v="6"/>
    <x v="3"/>
    <n v="212625.95"/>
    <x v="2"/>
    <x v="1"/>
  </r>
  <r>
    <x v="1040"/>
    <s v="Melissa Christensen"/>
    <x v="27"/>
    <x v="1"/>
    <x v="3"/>
    <x v="1031"/>
    <x v="247"/>
    <x v="334"/>
    <x v="4"/>
    <x v="1"/>
    <n v="108787.85"/>
    <x v="1"/>
    <x v="2"/>
  </r>
  <r>
    <x v="1041"/>
    <s v="Antonio Hall"/>
    <x v="43"/>
    <x v="0"/>
    <x v="1"/>
    <x v="1032"/>
    <x v="109"/>
    <x v="267"/>
    <x v="9"/>
    <x v="1"/>
    <n v="464669.92"/>
    <x v="0"/>
    <x v="2"/>
  </r>
  <r>
    <x v="1042"/>
    <s v="Amber Hernandez"/>
    <x v="80"/>
    <x v="0"/>
    <x v="6"/>
    <x v="1033"/>
    <x v="264"/>
    <x v="100"/>
    <x v="1"/>
    <x v="4"/>
    <n v="171842.33"/>
    <x v="2"/>
    <x v="8"/>
  </r>
  <r>
    <x v="1043"/>
    <s v="Patricia Mitchell"/>
    <x v="0"/>
    <x v="0"/>
    <x v="5"/>
    <x v="1034"/>
    <x v="74"/>
    <x v="119"/>
    <x v="0"/>
    <x v="3"/>
    <n v="26165.69"/>
    <x v="1"/>
    <x v="11"/>
  </r>
  <r>
    <x v="1044"/>
    <s v="Mark Peterson"/>
    <x v="65"/>
    <x v="1"/>
    <x v="5"/>
    <x v="1035"/>
    <x v="132"/>
    <x v="265"/>
    <x v="1"/>
    <x v="2"/>
    <n v="185128.85"/>
    <x v="2"/>
    <x v="13"/>
  </r>
  <r>
    <x v="1045"/>
    <s v="Frank Garcia"/>
    <x v="31"/>
    <x v="1"/>
    <x v="6"/>
    <x v="1036"/>
    <x v="236"/>
    <x v="313"/>
    <x v="6"/>
    <x v="5"/>
    <n v="196777.21"/>
    <x v="0"/>
    <x v="6"/>
  </r>
  <r>
    <x v="1046"/>
    <s v="Aaron Barrett"/>
    <x v="72"/>
    <x v="0"/>
    <x v="2"/>
    <x v="1037"/>
    <x v="8"/>
    <x v="8"/>
    <x v="1"/>
    <x v="5"/>
    <n v="455278.98"/>
    <x v="2"/>
    <x v="3"/>
  </r>
  <r>
    <x v="1047"/>
    <s v="Taylor Peterson"/>
    <x v="49"/>
    <x v="0"/>
    <x v="6"/>
    <x v="1038"/>
    <x v="120"/>
    <x v="49"/>
    <x v="0"/>
    <x v="1"/>
    <n v="322913.12"/>
    <x v="0"/>
    <x v="5"/>
  </r>
  <r>
    <x v="1048"/>
    <s v="Kathy Butler"/>
    <x v="50"/>
    <x v="0"/>
    <x v="1"/>
    <x v="1039"/>
    <x v="195"/>
    <x v="131"/>
    <x v="7"/>
    <x v="2"/>
    <n v="69335.41"/>
    <x v="2"/>
    <x v="6"/>
  </r>
  <r>
    <x v="1049"/>
    <s v="Jason Torres"/>
    <x v="11"/>
    <x v="1"/>
    <x v="2"/>
    <x v="1040"/>
    <x v="116"/>
    <x v="56"/>
    <x v="0"/>
    <x v="1"/>
    <n v="63368.34"/>
    <x v="1"/>
    <x v="1"/>
  </r>
  <r>
    <x v="1050"/>
    <s v="Dawn Miller"/>
    <x v="33"/>
    <x v="0"/>
    <x v="4"/>
    <x v="1041"/>
    <x v="58"/>
    <x v="80"/>
    <x v="6"/>
    <x v="3"/>
    <n v="274964.26"/>
    <x v="0"/>
    <x v="1"/>
  </r>
  <r>
    <x v="1051"/>
    <s v="Laura Miles"/>
    <x v="74"/>
    <x v="0"/>
    <x v="1"/>
    <x v="1042"/>
    <x v="86"/>
    <x v="352"/>
    <x v="3"/>
    <x v="4"/>
    <n v="20950.439999999999"/>
    <x v="0"/>
    <x v="13"/>
  </r>
  <r>
    <x v="1052"/>
    <s v="Joseph Hoover"/>
    <x v="53"/>
    <x v="1"/>
    <x v="6"/>
    <x v="1043"/>
    <x v="257"/>
    <x v="270"/>
    <x v="7"/>
    <x v="4"/>
    <n v="254436"/>
    <x v="1"/>
    <x v="10"/>
  </r>
  <r>
    <x v="1053"/>
    <s v="Evan Petersen"/>
    <x v="84"/>
    <x v="1"/>
    <x v="1"/>
    <x v="1044"/>
    <x v="132"/>
    <x v="353"/>
    <x v="5"/>
    <x v="5"/>
    <n v="438583.85"/>
    <x v="0"/>
    <x v="0"/>
  </r>
  <r>
    <x v="1054"/>
    <s v="James Gonzalez"/>
    <x v="17"/>
    <x v="1"/>
    <x v="1"/>
    <x v="1045"/>
    <x v="168"/>
    <x v="293"/>
    <x v="3"/>
    <x v="0"/>
    <n v="229337.87"/>
    <x v="0"/>
    <x v="4"/>
  </r>
  <r>
    <x v="1055"/>
    <s v="Allison Marks"/>
    <x v="12"/>
    <x v="1"/>
    <x v="5"/>
    <x v="1046"/>
    <x v="57"/>
    <x v="281"/>
    <x v="0"/>
    <x v="5"/>
    <n v="126396.8"/>
    <x v="0"/>
    <x v="4"/>
  </r>
  <r>
    <x v="1056"/>
    <s v="Jared Thomas"/>
    <x v="17"/>
    <x v="0"/>
    <x v="2"/>
    <x v="1047"/>
    <x v="177"/>
    <x v="271"/>
    <x v="2"/>
    <x v="3"/>
    <n v="62651.65"/>
    <x v="1"/>
    <x v="6"/>
  </r>
  <r>
    <x v="1057"/>
    <s v="James Harrington"/>
    <x v="78"/>
    <x v="1"/>
    <x v="0"/>
    <x v="1048"/>
    <x v="65"/>
    <x v="176"/>
    <x v="4"/>
    <x v="0"/>
    <n v="24569.360000000001"/>
    <x v="0"/>
    <x v="3"/>
  </r>
  <r>
    <x v="1058"/>
    <s v="Crystal Garcia"/>
    <x v="70"/>
    <x v="0"/>
    <x v="5"/>
    <x v="1049"/>
    <x v="132"/>
    <x v="265"/>
    <x v="5"/>
    <x v="0"/>
    <n v="376064.21"/>
    <x v="0"/>
    <x v="13"/>
  </r>
  <r>
    <x v="1059"/>
    <s v="Michael Johnson"/>
    <x v="6"/>
    <x v="1"/>
    <x v="4"/>
    <x v="1050"/>
    <x v="282"/>
    <x v="97"/>
    <x v="0"/>
    <x v="1"/>
    <n v="201555.34"/>
    <x v="0"/>
    <x v="13"/>
  </r>
  <r>
    <x v="1060"/>
    <s v="Jonathan Gomez"/>
    <x v="11"/>
    <x v="0"/>
    <x v="3"/>
    <x v="1051"/>
    <x v="314"/>
    <x v="86"/>
    <x v="9"/>
    <x v="3"/>
    <n v="405107.8"/>
    <x v="1"/>
    <x v="0"/>
  </r>
  <r>
    <x v="1061"/>
    <s v="David Lin"/>
    <x v="30"/>
    <x v="1"/>
    <x v="5"/>
    <x v="1052"/>
    <x v="342"/>
    <x v="12"/>
    <x v="4"/>
    <x v="1"/>
    <n v="390101.61"/>
    <x v="2"/>
    <x v="3"/>
  </r>
  <r>
    <x v="1062"/>
    <s v="Alexis Buckley"/>
    <x v="8"/>
    <x v="1"/>
    <x v="5"/>
    <x v="1053"/>
    <x v="325"/>
    <x v="242"/>
    <x v="0"/>
    <x v="1"/>
    <n v="424974.74"/>
    <x v="1"/>
    <x v="5"/>
  </r>
  <r>
    <x v="1063"/>
    <s v="Cody Shields"/>
    <x v="37"/>
    <x v="0"/>
    <x v="2"/>
    <x v="1054"/>
    <x v="148"/>
    <x v="7"/>
    <x v="9"/>
    <x v="0"/>
    <n v="406578.26"/>
    <x v="1"/>
    <x v="13"/>
  </r>
  <r>
    <x v="1064"/>
    <s v="David Reeves"/>
    <x v="46"/>
    <x v="0"/>
    <x v="2"/>
    <x v="1055"/>
    <x v="247"/>
    <x v="339"/>
    <x v="5"/>
    <x v="0"/>
    <n v="347758.05"/>
    <x v="0"/>
    <x v="3"/>
  </r>
  <r>
    <x v="1065"/>
    <s v="Isaiah Mccall"/>
    <x v="26"/>
    <x v="0"/>
    <x v="4"/>
    <x v="1056"/>
    <x v="130"/>
    <x v="12"/>
    <x v="0"/>
    <x v="2"/>
    <n v="152120.51999999999"/>
    <x v="2"/>
    <x v="11"/>
  </r>
  <r>
    <x v="1066"/>
    <s v="Sandra Jordan"/>
    <x v="65"/>
    <x v="1"/>
    <x v="0"/>
    <x v="1057"/>
    <x v="322"/>
    <x v="165"/>
    <x v="1"/>
    <x v="5"/>
    <n v="384764.34"/>
    <x v="0"/>
    <x v="12"/>
  </r>
  <r>
    <x v="1067"/>
    <s v="Mikayla Allen"/>
    <x v="35"/>
    <x v="1"/>
    <x v="2"/>
    <x v="1058"/>
    <x v="113"/>
    <x v="43"/>
    <x v="3"/>
    <x v="2"/>
    <n v="110562.73"/>
    <x v="0"/>
    <x v="8"/>
  </r>
  <r>
    <x v="1068"/>
    <s v="Erica Obrien"/>
    <x v="48"/>
    <x v="1"/>
    <x v="3"/>
    <x v="1059"/>
    <x v="206"/>
    <x v="234"/>
    <x v="8"/>
    <x v="2"/>
    <n v="78887.320000000007"/>
    <x v="0"/>
    <x v="9"/>
  </r>
  <r>
    <x v="1069"/>
    <s v="Dale Hanna"/>
    <x v="69"/>
    <x v="1"/>
    <x v="5"/>
    <x v="1060"/>
    <x v="97"/>
    <x v="261"/>
    <x v="6"/>
    <x v="3"/>
    <n v="247038.42"/>
    <x v="1"/>
    <x v="10"/>
  </r>
  <r>
    <x v="1070"/>
    <s v="Danielle Webb"/>
    <x v="50"/>
    <x v="0"/>
    <x v="0"/>
    <x v="1061"/>
    <x v="273"/>
    <x v="210"/>
    <x v="1"/>
    <x v="0"/>
    <n v="297543.82"/>
    <x v="1"/>
    <x v="9"/>
  </r>
  <r>
    <x v="1071"/>
    <s v="Bryan Rivera"/>
    <x v="77"/>
    <x v="0"/>
    <x v="2"/>
    <x v="1062"/>
    <x v="215"/>
    <x v="354"/>
    <x v="6"/>
    <x v="3"/>
    <n v="16741.240000000002"/>
    <x v="0"/>
    <x v="2"/>
  </r>
  <r>
    <x v="1072"/>
    <s v="Meredith Aguilar"/>
    <x v="29"/>
    <x v="0"/>
    <x v="5"/>
    <x v="1063"/>
    <x v="204"/>
    <x v="203"/>
    <x v="6"/>
    <x v="1"/>
    <n v="109477.11"/>
    <x v="2"/>
    <x v="3"/>
  </r>
  <r>
    <x v="1073"/>
    <s v="Cynthia Blake"/>
    <x v="69"/>
    <x v="1"/>
    <x v="1"/>
    <x v="1064"/>
    <x v="24"/>
    <x v="352"/>
    <x v="8"/>
    <x v="2"/>
    <n v="69083.59"/>
    <x v="2"/>
    <x v="10"/>
  </r>
  <r>
    <x v="1074"/>
    <s v="Michael Osborne"/>
    <x v="74"/>
    <x v="0"/>
    <x v="5"/>
    <x v="1065"/>
    <x v="332"/>
    <x v="295"/>
    <x v="9"/>
    <x v="0"/>
    <n v="443502.45"/>
    <x v="1"/>
    <x v="5"/>
  </r>
  <r>
    <x v="1075"/>
    <s v="Erica Bowers"/>
    <x v="11"/>
    <x v="0"/>
    <x v="5"/>
    <x v="1066"/>
    <x v="307"/>
    <x v="236"/>
    <x v="7"/>
    <x v="5"/>
    <n v="247402.35"/>
    <x v="0"/>
    <x v="3"/>
  </r>
  <r>
    <x v="1076"/>
    <s v="Fernando Harris"/>
    <x v="31"/>
    <x v="0"/>
    <x v="2"/>
    <x v="1067"/>
    <x v="122"/>
    <x v="129"/>
    <x v="6"/>
    <x v="0"/>
    <n v="175988.22"/>
    <x v="2"/>
    <x v="4"/>
  </r>
  <r>
    <x v="1077"/>
    <s v="Nicole Foster"/>
    <x v="73"/>
    <x v="0"/>
    <x v="4"/>
    <x v="1068"/>
    <x v="11"/>
    <x v="307"/>
    <x v="0"/>
    <x v="3"/>
    <n v="315771.71000000002"/>
    <x v="0"/>
    <x v="14"/>
  </r>
  <r>
    <x v="1078"/>
    <s v="Richard Hanna"/>
    <x v="22"/>
    <x v="0"/>
    <x v="0"/>
    <x v="1069"/>
    <x v="272"/>
    <x v="355"/>
    <x v="8"/>
    <x v="5"/>
    <n v="89663.49"/>
    <x v="1"/>
    <x v="4"/>
  </r>
  <r>
    <x v="1079"/>
    <s v="Melvin Johnson"/>
    <x v="88"/>
    <x v="1"/>
    <x v="3"/>
    <x v="1070"/>
    <x v="144"/>
    <x v="208"/>
    <x v="5"/>
    <x v="0"/>
    <n v="449018.89"/>
    <x v="0"/>
    <x v="5"/>
  </r>
  <r>
    <x v="1080"/>
    <s v="John Lewis"/>
    <x v="69"/>
    <x v="0"/>
    <x v="0"/>
    <x v="1071"/>
    <x v="343"/>
    <x v="8"/>
    <x v="7"/>
    <x v="3"/>
    <n v="56108.63"/>
    <x v="0"/>
    <x v="8"/>
  </r>
  <r>
    <x v="1081"/>
    <s v="Vanessa Green"/>
    <x v="70"/>
    <x v="1"/>
    <x v="3"/>
    <x v="1072"/>
    <x v="236"/>
    <x v="173"/>
    <x v="5"/>
    <x v="2"/>
    <n v="442078.26"/>
    <x v="2"/>
    <x v="9"/>
  </r>
  <r>
    <x v="1082"/>
    <s v="Theresa May"/>
    <x v="46"/>
    <x v="1"/>
    <x v="0"/>
    <x v="1073"/>
    <x v="31"/>
    <x v="208"/>
    <x v="8"/>
    <x v="2"/>
    <n v="206483.61"/>
    <x v="2"/>
    <x v="6"/>
  </r>
  <r>
    <x v="1083"/>
    <s v="Rachael Andersen"/>
    <x v="48"/>
    <x v="0"/>
    <x v="1"/>
    <x v="1074"/>
    <x v="146"/>
    <x v="112"/>
    <x v="7"/>
    <x v="0"/>
    <n v="199934.3"/>
    <x v="2"/>
    <x v="2"/>
  </r>
  <r>
    <x v="1084"/>
    <s v="Amy Torres"/>
    <x v="28"/>
    <x v="1"/>
    <x v="6"/>
    <x v="1075"/>
    <x v="83"/>
    <x v="296"/>
    <x v="5"/>
    <x v="4"/>
    <n v="376730.76"/>
    <x v="1"/>
    <x v="14"/>
  </r>
  <r>
    <x v="1085"/>
    <s v="Marcus Ramirez"/>
    <x v="8"/>
    <x v="1"/>
    <x v="6"/>
    <x v="1076"/>
    <x v="86"/>
    <x v="41"/>
    <x v="4"/>
    <x v="4"/>
    <n v="396386.89"/>
    <x v="2"/>
    <x v="8"/>
  </r>
  <r>
    <x v="1086"/>
    <s v="Stephanie Wright"/>
    <x v="28"/>
    <x v="1"/>
    <x v="6"/>
    <x v="1077"/>
    <x v="65"/>
    <x v="85"/>
    <x v="7"/>
    <x v="0"/>
    <n v="266281.26"/>
    <x v="0"/>
    <x v="13"/>
  </r>
  <r>
    <x v="1087"/>
    <s v="Patricia Watkins"/>
    <x v="31"/>
    <x v="0"/>
    <x v="2"/>
    <x v="1078"/>
    <x v="278"/>
    <x v="252"/>
    <x v="0"/>
    <x v="1"/>
    <n v="404509.54"/>
    <x v="0"/>
    <x v="9"/>
  </r>
  <r>
    <x v="1088"/>
    <s v="Christina Manning"/>
    <x v="37"/>
    <x v="1"/>
    <x v="5"/>
    <x v="1079"/>
    <x v="295"/>
    <x v="257"/>
    <x v="3"/>
    <x v="4"/>
    <n v="91252.55"/>
    <x v="2"/>
    <x v="5"/>
  </r>
  <r>
    <x v="1089"/>
    <s v="Ryan Deleon"/>
    <x v="40"/>
    <x v="0"/>
    <x v="0"/>
    <x v="1080"/>
    <x v="217"/>
    <x v="318"/>
    <x v="5"/>
    <x v="3"/>
    <n v="136040.15"/>
    <x v="2"/>
    <x v="0"/>
  </r>
  <r>
    <x v="1090"/>
    <s v="Kathryn Williams"/>
    <x v="87"/>
    <x v="0"/>
    <x v="4"/>
    <x v="1081"/>
    <x v="231"/>
    <x v="118"/>
    <x v="6"/>
    <x v="0"/>
    <n v="402381.17"/>
    <x v="0"/>
    <x v="2"/>
  </r>
  <r>
    <x v="1091"/>
    <s v="Valerie Wright"/>
    <x v="0"/>
    <x v="0"/>
    <x v="6"/>
    <x v="1082"/>
    <x v="138"/>
    <x v="276"/>
    <x v="9"/>
    <x v="2"/>
    <n v="498224.95"/>
    <x v="2"/>
    <x v="6"/>
  </r>
  <r>
    <x v="1092"/>
    <s v="Kristin Hernandez"/>
    <x v="89"/>
    <x v="0"/>
    <x v="5"/>
    <x v="1083"/>
    <x v="107"/>
    <x v="356"/>
    <x v="4"/>
    <x v="5"/>
    <n v="403578.04"/>
    <x v="2"/>
    <x v="10"/>
  </r>
  <r>
    <x v="1093"/>
    <s v="Mark Bailey"/>
    <x v="52"/>
    <x v="0"/>
    <x v="6"/>
    <x v="1084"/>
    <x v="13"/>
    <x v="256"/>
    <x v="7"/>
    <x v="3"/>
    <n v="475917.24"/>
    <x v="1"/>
    <x v="8"/>
  </r>
  <r>
    <x v="1094"/>
    <s v="Maxwell Mcbride"/>
    <x v="16"/>
    <x v="1"/>
    <x v="3"/>
    <x v="1085"/>
    <x v="30"/>
    <x v="271"/>
    <x v="5"/>
    <x v="2"/>
    <n v="47754.81"/>
    <x v="2"/>
    <x v="9"/>
  </r>
  <r>
    <x v="1095"/>
    <s v="Robert Allen"/>
    <x v="10"/>
    <x v="0"/>
    <x v="5"/>
    <x v="1086"/>
    <x v="95"/>
    <x v="71"/>
    <x v="1"/>
    <x v="3"/>
    <n v="434177.1"/>
    <x v="0"/>
    <x v="13"/>
  </r>
  <r>
    <x v="1096"/>
    <s v="Brent Bailey"/>
    <x v="51"/>
    <x v="1"/>
    <x v="6"/>
    <x v="1087"/>
    <x v="166"/>
    <x v="26"/>
    <x v="5"/>
    <x v="5"/>
    <n v="383538.2"/>
    <x v="1"/>
    <x v="10"/>
  </r>
  <r>
    <x v="1097"/>
    <s v="Melissa Williams"/>
    <x v="7"/>
    <x v="0"/>
    <x v="0"/>
    <x v="1088"/>
    <x v="15"/>
    <x v="115"/>
    <x v="8"/>
    <x v="4"/>
    <n v="402696.33"/>
    <x v="2"/>
    <x v="6"/>
  </r>
  <r>
    <x v="1098"/>
    <s v="Victoria Wilson"/>
    <x v="71"/>
    <x v="1"/>
    <x v="0"/>
    <x v="1089"/>
    <x v="290"/>
    <x v="227"/>
    <x v="0"/>
    <x v="2"/>
    <n v="139344.13"/>
    <x v="1"/>
    <x v="8"/>
  </r>
  <r>
    <x v="1099"/>
    <s v="Jonathan Martinez"/>
    <x v="49"/>
    <x v="1"/>
    <x v="6"/>
    <x v="1090"/>
    <x v="31"/>
    <x v="232"/>
    <x v="1"/>
    <x v="2"/>
    <n v="472858.07"/>
    <x v="2"/>
    <x v="7"/>
  </r>
  <r>
    <x v="1100"/>
    <s v="Gregory Estrada"/>
    <x v="29"/>
    <x v="0"/>
    <x v="1"/>
    <x v="1091"/>
    <x v="344"/>
    <x v="342"/>
    <x v="2"/>
    <x v="5"/>
    <n v="83395.22"/>
    <x v="1"/>
    <x v="6"/>
  </r>
  <r>
    <x v="1101"/>
    <s v="Robert Davis"/>
    <x v="89"/>
    <x v="0"/>
    <x v="1"/>
    <x v="1092"/>
    <x v="96"/>
    <x v="357"/>
    <x v="2"/>
    <x v="1"/>
    <n v="496560.04"/>
    <x v="0"/>
    <x v="5"/>
  </r>
  <r>
    <x v="1102"/>
    <s v="Matthew Cherry"/>
    <x v="40"/>
    <x v="1"/>
    <x v="6"/>
    <x v="1093"/>
    <x v="204"/>
    <x v="156"/>
    <x v="0"/>
    <x v="1"/>
    <n v="149905.88"/>
    <x v="0"/>
    <x v="12"/>
  </r>
  <r>
    <x v="1103"/>
    <s v="Joan Black"/>
    <x v="21"/>
    <x v="0"/>
    <x v="3"/>
    <x v="1094"/>
    <x v="252"/>
    <x v="206"/>
    <x v="9"/>
    <x v="4"/>
    <n v="349246.19"/>
    <x v="2"/>
    <x v="11"/>
  </r>
  <r>
    <x v="1104"/>
    <s v="Elizabeth Stein"/>
    <x v="61"/>
    <x v="1"/>
    <x v="4"/>
    <x v="1095"/>
    <x v="145"/>
    <x v="345"/>
    <x v="1"/>
    <x v="5"/>
    <n v="110045.94"/>
    <x v="2"/>
    <x v="1"/>
  </r>
  <r>
    <x v="1105"/>
    <s v="Kristen Dawson"/>
    <x v="60"/>
    <x v="1"/>
    <x v="6"/>
    <x v="1096"/>
    <x v="115"/>
    <x v="59"/>
    <x v="7"/>
    <x v="3"/>
    <n v="377490.27"/>
    <x v="0"/>
    <x v="12"/>
  </r>
  <r>
    <x v="1106"/>
    <s v="Warren Russell"/>
    <x v="60"/>
    <x v="1"/>
    <x v="5"/>
    <x v="1097"/>
    <x v="203"/>
    <x v="119"/>
    <x v="3"/>
    <x v="5"/>
    <n v="95628.31"/>
    <x v="1"/>
    <x v="4"/>
  </r>
  <r>
    <x v="1107"/>
    <s v="Raymond Hurley"/>
    <x v="10"/>
    <x v="1"/>
    <x v="6"/>
    <x v="1098"/>
    <x v="263"/>
    <x v="13"/>
    <x v="1"/>
    <x v="0"/>
    <n v="414084.3"/>
    <x v="2"/>
    <x v="5"/>
  </r>
  <r>
    <x v="1108"/>
    <s v="Whitney Hatfield"/>
    <x v="23"/>
    <x v="1"/>
    <x v="4"/>
    <x v="1099"/>
    <x v="204"/>
    <x v="354"/>
    <x v="7"/>
    <x v="3"/>
    <n v="283110.83"/>
    <x v="1"/>
    <x v="5"/>
  </r>
  <r>
    <x v="1109"/>
    <s v="Christie White"/>
    <x v="17"/>
    <x v="1"/>
    <x v="6"/>
    <x v="1100"/>
    <x v="133"/>
    <x v="296"/>
    <x v="7"/>
    <x v="2"/>
    <n v="319749.86"/>
    <x v="0"/>
    <x v="2"/>
  </r>
  <r>
    <x v="1110"/>
    <s v="Anna Gordon"/>
    <x v="61"/>
    <x v="1"/>
    <x v="0"/>
    <x v="1101"/>
    <x v="135"/>
    <x v="10"/>
    <x v="8"/>
    <x v="5"/>
    <n v="235659.21"/>
    <x v="0"/>
    <x v="8"/>
  </r>
  <r>
    <x v="1111"/>
    <s v="Joshua Goodman"/>
    <x v="32"/>
    <x v="0"/>
    <x v="4"/>
    <x v="1102"/>
    <x v="70"/>
    <x v="97"/>
    <x v="9"/>
    <x v="3"/>
    <n v="454217.09"/>
    <x v="2"/>
    <x v="8"/>
  </r>
  <r>
    <x v="1112"/>
    <s v="Henry Gomez"/>
    <x v="36"/>
    <x v="1"/>
    <x v="3"/>
    <x v="1103"/>
    <x v="90"/>
    <x v="71"/>
    <x v="6"/>
    <x v="4"/>
    <n v="424113.95"/>
    <x v="0"/>
    <x v="0"/>
  </r>
  <r>
    <x v="1113"/>
    <s v="Michael Cain"/>
    <x v="82"/>
    <x v="0"/>
    <x v="1"/>
    <x v="1104"/>
    <x v="175"/>
    <x v="8"/>
    <x v="0"/>
    <x v="3"/>
    <n v="77584.66"/>
    <x v="0"/>
    <x v="4"/>
  </r>
  <r>
    <x v="1114"/>
    <s v="Ricky Henry"/>
    <x v="50"/>
    <x v="0"/>
    <x v="3"/>
    <x v="1105"/>
    <x v="340"/>
    <x v="349"/>
    <x v="0"/>
    <x v="5"/>
    <n v="23541.55"/>
    <x v="1"/>
    <x v="8"/>
  </r>
  <r>
    <x v="1115"/>
    <s v="Diana Navarro"/>
    <x v="83"/>
    <x v="1"/>
    <x v="3"/>
    <x v="1106"/>
    <x v="345"/>
    <x v="58"/>
    <x v="6"/>
    <x v="1"/>
    <n v="449402.97"/>
    <x v="2"/>
    <x v="9"/>
  </r>
  <r>
    <x v="1116"/>
    <s v="Lawrence Carter"/>
    <x v="36"/>
    <x v="1"/>
    <x v="4"/>
    <x v="1107"/>
    <x v="0"/>
    <x v="111"/>
    <x v="5"/>
    <x v="3"/>
    <n v="302323.34000000003"/>
    <x v="1"/>
    <x v="11"/>
  </r>
  <r>
    <x v="1117"/>
    <s v="Anthony Bradshaw"/>
    <x v="78"/>
    <x v="1"/>
    <x v="1"/>
    <x v="1108"/>
    <x v="96"/>
    <x v="20"/>
    <x v="1"/>
    <x v="1"/>
    <n v="71385.56"/>
    <x v="1"/>
    <x v="9"/>
  </r>
  <r>
    <x v="1118"/>
    <s v="Dakota Henry"/>
    <x v="26"/>
    <x v="1"/>
    <x v="0"/>
    <x v="1109"/>
    <x v="327"/>
    <x v="265"/>
    <x v="8"/>
    <x v="2"/>
    <n v="349601.59"/>
    <x v="1"/>
    <x v="0"/>
  </r>
  <r>
    <x v="1119"/>
    <s v="Kara Smith"/>
    <x v="28"/>
    <x v="1"/>
    <x v="2"/>
    <x v="1110"/>
    <x v="245"/>
    <x v="258"/>
    <x v="5"/>
    <x v="4"/>
    <n v="58666.34"/>
    <x v="2"/>
    <x v="12"/>
  </r>
  <r>
    <x v="1120"/>
    <s v="Jennifer Ellis"/>
    <x v="68"/>
    <x v="0"/>
    <x v="6"/>
    <x v="1111"/>
    <x v="338"/>
    <x v="15"/>
    <x v="2"/>
    <x v="3"/>
    <n v="117420.66"/>
    <x v="2"/>
    <x v="8"/>
  </r>
  <r>
    <x v="1121"/>
    <s v="Mr. Francis Johnson"/>
    <x v="24"/>
    <x v="0"/>
    <x v="1"/>
    <x v="1112"/>
    <x v="302"/>
    <x v="122"/>
    <x v="9"/>
    <x v="0"/>
    <n v="452058.14"/>
    <x v="2"/>
    <x v="5"/>
  </r>
  <r>
    <x v="1122"/>
    <s v="Phillip Krause"/>
    <x v="11"/>
    <x v="1"/>
    <x v="1"/>
    <x v="1113"/>
    <x v="346"/>
    <x v="5"/>
    <x v="7"/>
    <x v="4"/>
    <n v="479685.22"/>
    <x v="2"/>
    <x v="9"/>
  </r>
  <r>
    <x v="1123"/>
    <s v="Katherine Hale"/>
    <x v="22"/>
    <x v="1"/>
    <x v="5"/>
    <x v="1114"/>
    <x v="347"/>
    <x v="51"/>
    <x v="4"/>
    <x v="2"/>
    <n v="265294.15999999997"/>
    <x v="2"/>
    <x v="5"/>
  </r>
  <r>
    <x v="1124"/>
    <s v="Jason Perez"/>
    <x v="77"/>
    <x v="1"/>
    <x v="1"/>
    <x v="1115"/>
    <x v="60"/>
    <x v="125"/>
    <x v="6"/>
    <x v="1"/>
    <n v="316454.3"/>
    <x v="1"/>
    <x v="11"/>
  </r>
  <r>
    <x v="1125"/>
    <s v="Christopher Rubio"/>
    <x v="39"/>
    <x v="1"/>
    <x v="4"/>
    <x v="1116"/>
    <x v="17"/>
    <x v="182"/>
    <x v="8"/>
    <x v="4"/>
    <n v="295244.92"/>
    <x v="2"/>
    <x v="3"/>
  </r>
  <r>
    <x v="1126"/>
    <s v="Mia Adams"/>
    <x v="68"/>
    <x v="0"/>
    <x v="5"/>
    <x v="1117"/>
    <x v="266"/>
    <x v="358"/>
    <x v="8"/>
    <x v="3"/>
    <n v="122132.77"/>
    <x v="2"/>
    <x v="3"/>
  </r>
  <r>
    <x v="1127"/>
    <s v="Gregory Yang"/>
    <x v="56"/>
    <x v="0"/>
    <x v="5"/>
    <x v="1118"/>
    <x v="244"/>
    <x v="117"/>
    <x v="6"/>
    <x v="5"/>
    <n v="291632.53000000003"/>
    <x v="1"/>
    <x v="9"/>
  </r>
  <r>
    <x v="1128"/>
    <s v="Keith Larson"/>
    <x v="75"/>
    <x v="1"/>
    <x v="4"/>
    <x v="1119"/>
    <x v="272"/>
    <x v="226"/>
    <x v="8"/>
    <x v="4"/>
    <n v="398969.8"/>
    <x v="2"/>
    <x v="12"/>
  </r>
  <r>
    <x v="1129"/>
    <s v="Dr. Jennifer Fuentes"/>
    <x v="77"/>
    <x v="1"/>
    <x v="0"/>
    <x v="1120"/>
    <x v="249"/>
    <x v="311"/>
    <x v="3"/>
    <x v="2"/>
    <n v="295269.15999999997"/>
    <x v="2"/>
    <x v="3"/>
  </r>
  <r>
    <x v="1130"/>
    <s v="Mario Hall"/>
    <x v="87"/>
    <x v="1"/>
    <x v="3"/>
    <x v="1121"/>
    <x v="117"/>
    <x v="315"/>
    <x v="7"/>
    <x v="1"/>
    <n v="109121.14"/>
    <x v="1"/>
    <x v="13"/>
  </r>
  <r>
    <x v="1131"/>
    <s v="Carl Hartman Jr."/>
    <x v="62"/>
    <x v="1"/>
    <x v="6"/>
    <x v="1122"/>
    <x v="198"/>
    <x v="261"/>
    <x v="5"/>
    <x v="0"/>
    <n v="295686.64"/>
    <x v="0"/>
    <x v="6"/>
  </r>
  <r>
    <x v="1132"/>
    <s v="Caitlin Taylor"/>
    <x v="14"/>
    <x v="0"/>
    <x v="4"/>
    <x v="1123"/>
    <x v="273"/>
    <x v="115"/>
    <x v="9"/>
    <x v="4"/>
    <n v="101251.9"/>
    <x v="1"/>
    <x v="1"/>
  </r>
  <r>
    <x v="1133"/>
    <s v="Stephanie Taylor"/>
    <x v="51"/>
    <x v="0"/>
    <x v="0"/>
    <x v="1124"/>
    <x v="276"/>
    <x v="118"/>
    <x v="9"/>
    <x v="4"/>
    <n v="370987.23"/>
    <x v="2"/>
    <x v="8"/>
  </r>
  <r>
    <x v="1134"/>
    <s v="Ryan Davis"/>
    <x v="42"/>
    <x v="0"/>
    <x v="2"/>
    <x v="1125"/>
    <x v="21"/>
    <x v="227"/>
    <x v="1"/>
    <x v="3"/>
    <n v="82946.600000000006"/>
    <x v="1"/>
    <x v="11"/>
  </r>
  <r>
    <x v="1135"/>
    <s v="Gina Maldonado"/>
    <x v="59"/>
    <x v="0"/>
    <x v="4"/>
    <x v="1126"/>
    <x v="300"/>
    <x v="248"/>
    <x v="7"/>
    <x v="4"/>
    <n v="275710.2"/>
    <x v="2"/>
    <x v="2"/>
  </r>
  <r>
    <x v="1136"/>
    <s v="Herbert Bentley"/>
    <x v="20"/>
    <x v="0"/>
    <x v="2"/>
    <x v="1127"/>
    <x v="166"/>
    <x v="125"/>
    <x v="1"/>
    <x v="1"/>
    <n v="195956.83"/>
    <x v="2"/>
    <x v="4"/>
  </r>
  <r>
    <x v="1137"/>
    <s v="Keith Shea"/>
    <x v="41"/>
    <x v="1"/>
    <x v="5"/>
    <x v="1128"/>
    <x v="55"/>
    <x v="67"/>
    <x v="8"/>
    <x v="2"/>
    <n v="99437.1"/>
    <x v="0"/>
    <x v="10"/>
  </r>
  <r>
    <x v="1138"/>
    <s v="Brooke Alvarez"/>
    <x v="78"/>
    <x v="1"/>
    <x v="0"/>
    <x v="1129"/>
    <x v="112"/>
    <x v="151"/>
    <x v="1"/>
    <x v="5"/>
    <n v="94053.48"/>
    <x v="1"/>
    <x v="6"/>
  </r>
  <r>
    <x v="1139"/>
    <s v="Gabriel Castro"/>
    <x v="58"/>
    <x v="1"/>
    <x v="3"/>
    <x v="1130"/>
    <x v="66"/>
    <x v="227"/>
    <x v="9"/>
    <x v="1"/>
    <n v="499069.92"/>
    <x v="1"/>
    <x v="1"/>
  </r>
  <r>
    <x v="1140"/>
    <s v="Kelsey Fox"/>
    <x v="2"/>
    <x v="1"/>
    <x v="6"/>
    <x v="1131"/>
    <x v="298"/>
    <x v="310"/>
    <x v="2"/>
    <x v="5"/>
    <n v="191060.15"/>
    <x v="0"/>
    <x v="5"/>
  </r>
  <r>
    <x v="1141"/>
    <s v="Michael Edwards"/>
    <x v="36"/>
    <x v="1"/>
    <x v="0"/>
    <x v="1132"/>
    <x v="306"/>
    <x v="80"/>
    <x v="7"/>
    <x v="4"/>
    <n v="40023.660000000003"/>
    <x v="1"/>
    <x v="4"/>
  </r>
  <r>
    <x v="1142"/>
    <s v="Cheryl Chambers"/>
    <x v="58"/>
    <x v="1"/>
    <x v="3"/>
    <x v="1133"/>
    <x v="89"/>
    <x v="232"/>
    <x v="2"/>
    <x v="2"/>
    <n v="27817.200000000001"/>
    <x v="2"/>
    <x v="9"/>
  </r>
  <r>
    <x v="1143"/>
    <s v="Jennifer Delgado"/>
    <x v="84"/>
    <x v="0"/>
    <x v="2"/>
    <x v="1134"/>
    <x v="89"/>
    <x v="355"/>
    <x v="9"/>
    <x v="3"/>
    <n v="368802.87"/>
    <x v="0"/>
    <x v="2"/>
  </r>
  <r>
    <x v="1144"/>
    <s v="Andrea Shields"/>
    <x v="50"/>
    <x v="1"/>
    <x v="5"/>
    <x v="1135"/>
    <x v="1"/>
    <x v="99"/>
    <x v="3"/>
    <x v="3"/>
    <n v="467602.78"/>
    <x v="2"/>
    <x v="12"/>
  </r>
  <r>
    <x v="1145"/>
    <s v="Joseph Baker"/>
    <x v="47"/>
    <x v="1"/>
    <x v="0"/>
    <x v="1136"/>
    <x v="315"/>
    <x v="125"/>
    <x v="2"/>
    <x v="1"/>
    <n v="82047.28"/>
    <x v="0"/>
    <x v="5"/>
  </r>
  <r>
    <x v="1146"/>
    <s v="Riley Bell"/>
    <x v="71"/>
    <x v="0"/>
    <x v="0"/>
    <x v="1137"/>
    <x v="222"/>
    <x v="201"/>
    <x v="8"/>
    <x v="2"/>
    <n v="435902.36"/>
    <x v="2"/>
    <x v="1"/>
  </r>
  <r>
    <x v="1147"/>
    <s v="Jessica Walker"/>
    <x v="70"/>
    <x v="0"/>
    <x v="6"/>
    <x v="1138"/>
    <x v="340"/>
    <x v="36"/>
    <x v="7"/>
    <x v="1"/>
    <n v="289899.26"/>
    <x v="0"/>
    <x v="13"/>
  </r>
  <r>
    <x v="1148"/>
    <s v="Megan Cox"/>
    <x v="12"/>
    <x v="1"/>
    <x v="5"/>
    <x v="1139"/>
    <x v="251"/>
    <x v="72"/>
    <x v="9"/>
    <x v="3"/>
    <n v="290017.74"/>
    <x v="0"/>
    <x v="0"/>
  </r>
  <r>
    <x v="1149"/>
    <s v="Brian Williams"/>
    <x v="21"/>
    <x v="1"/>
    <x v="0"/>
    <x v="1140"/>
    <x v="239"/>
    <x v="142"/>
    <x v="0"/>
    <x v="5"/>
    <n v="19108.41"/>
    <x v="1"/>
    <x v="9"/>
  </r>
  <r>
    <x v="1150"/>
    <s v="Ashley Taylor"/>
    <x v="76"/>
    <x v="0"/>
    <x v="6"/>
    <x v="1141"/>
    <x v="214"/>
    <x v="35"/>
    <x v="8"/>
    <x v="5"/>
    <n v="46106.03"/>
    <x v="2"/>
    <x v="2"/>
  </r>
  <r>
    <x v="1151"/>
    <s v="Denise Clark"/>
    <x v="16"/>
    <x v="0"/>
    <x v="4"/>
    <x v="1142"/>
    <x v="7"/>
    <x v="354"/>
    <x v="3"/>
    <x v="0"/>
    <n v="267236.99"/>
    <x v="1"/>
    <x v="11"/>
  </r>
  <r>
    <x v="1152"/>
    <s v="Lee Underwood"/>
    <x v="64"/>
    <x v="1"/>
    <x v="2"/>
    <x v="1143"/>
    <x v="348"/>
    <x v="179"/>
    <x v="5"/>
    <x v="0"/>
    <n v="472190.87"/>
    <x v="0"/>
    <x v="14"/>
  </r>
  <r>
    <x v="1153"/>
    <s v="Samantha Contreras"/>
    <x v="9"/>
    <x v="0"/>
    <x v="6"/>
    <x v="1144"/>
    <x v="159"/>
    <x v="37"/>
    <x v="3"/>
    <x v="3"/>
    <n v="496900.19"/>
    <x v="2"/>
    <x v="9"/>
  </r>
  <r>
    <x v="1154"/>
    <s v="Katherine Vazquez"/>
    <x v="71"/>
    <x v="1"/>
    <x v="1"/>
    <x v="1145"/>
    <x v="338"/>
    <x v="198"/>
    <x v="6"/>
    <x v="3"/>
    <n v="491357.43"/>
    <x v="0"/>
    <x v="4"/>
  </r>
  <r>
    <x v="1155"/>
    <s v="Paul Carter"/>
    <x v="13"/>
    <x v="0"/>
    <x v="5"/>
    <x v="1146"/>
    <x v="303"/>
    <x v="291"/>
    <x v="7"/>
    <x v="3"/>
    <n v="274761.14"/>
    <x v="0"/>
    <x v="1"/>
  </r>
  <r>
    <x v="1156"/>
    <s v="Mr. Roy Duncan"/>
    <x v="22"/>
    <x v="0"/>
    <x v="6"/>
    <x v="1147"/>
    <x v="299"/>
    <x v="36"/>
    <x v="0"/>
    <x v="0"/>
    <n v="212976.37"/>
    <x v="2"/>
    <x v="10"/>
  </r>
  <r>
    <x v="1157"/>
    <s v="Derrick Manning"/>
    <x v="35"/>
    <x v="1"/>
    <x v="4"/>
    <x v="1148"/>
    <x v="191"/>
    <x v="50"/>
    <x v="0"/>
    <x v="1"/>
    <n v="69392.210000000006"/>
    <x v="0"/>
    <x v="3"/>
  </r>
  <r>
    <x v="1158"/>
    <s v="Andrew Reyes"/>
    <x v="53"/>
    <x v="1"/>
    <x v="3"/>
    <x v="1149"/>
    <x v="288"/>
    <x v="278"/>
    <x v="5"/>
    <x v="2"/>
    <n v="279004.78000000003"/>
    <x v="0"/>
    <x v="8"/>
  </r>
  <r>
    <x v="1159"/>
    <s v="Raymond Cruz"/>
    <x v="35"/>
    <x v="0"/>
    <x v="0"/>
    <x v="1150"/>
    <x v="154"/>
    <x v="309"/>
    <x v="7"/>
    <x v="4"/>
    <n v="21782.92"/>
    <x v="1"/>
    <x v="6"/>
  </r>
  <r>
    <x v="1160"/>
    <s v="Casey French"/>
    <x v="42"/>
    <x v="0"/>
    <x v="1"/>
    <x v="1151"/>
    <x v="174"/>
    <x v="274"/>
    <x v="0"/>
    <x v="3"/>
    <n v="383033.97"/>
    <x v="0"/>
    <x v="12"/>
  </r>
  <r>
    <x v="1161"/>
    <s v="Sheila Duarte"/>
    <x v="18"/>
    <x v="0"/>
    <x v="5"/>
    <x v="1152"/>
    <x v="176"/>
    <x v="59"/>
    <x v="7"/>
    <x v="1"/>
    <n v="189112.01"/>
    <x v="0"/>
    <x v="7"/>
  </r>
  <r>
    <x v="1162"/>
    <s v="Gabriel Lopez"/>
    <x v="33"/>
    <x v="1"/>
    <x v="2"/>
    <x v="1153"/>
    <x v="298"/>
    <x v="20"/>
    <x v="1"/>
    <x v="2"/>
    <n v="74502.11"/>
    <x v="0"/>
    <x v="13"/>
  </r>
  <r>
    <x v="1163"/>
    <s v="Christine Jones"/>
    <x v="22"/>
    <x v="1"/>
    <x v="2"/>
    <x v="1154"/>
    <x v="36"/>
    <x v="213"/>
    <x v="5"/>
    <x v="4"/>
    <n v="272701.26"/>
    <x v="0"/>
    <x v="12"/>
  </r>
  <r>
    <x v="1164"/>
    <s v="Lisa Garza"/>
    <x v="84"/>
    <x v="0"/>
    <x v="2"/>
    <x v="1155"/>
    <x v="59"/>
    <x v="214"/>
    <x v="4"/>
    <x v="2"/>
    <n v="428452.24"/>
    <x v="2"/>
    <x v="14"/>
  </r>
  <r>
    <x v="1165"/>
    <s v="Jack Nelson"/>
    <x v="20"/>
    <x v="0"/>
    <x v="1"/>
    <x v="1156"/>
    <x v="149"/>
    <x v="40"/>
    <x v="9"/>
    <x v="5"/>
    <n v="85685.69"/>
    <x v="2"/>
    <x v="6"/>
  </r>
  <r>
    <x v="1166"/>
    <s v="Michelle Bennett"/>
    <x v="40"/>
    <x v="0"/>
    <x v="0"/>
    <x v="1157"/>
    <x v="192"/>
    <x v="47"/>
    <x v="6"/>
    <x v="0"/>
    <n v="368342"/>
    <x v="0"/>
    <x v="5"/>
  </r>
  <r>
    <x v="1167"/>
    <s v="Susan Garcia"/>
    <x v="36"/>
    <x v="0"/>
    <x v="6"/>
    <x v="1158"/>
    <x v="198"/>
    <x v="16"/>
    <x v="9"/>
    <x v="0"/>
    <n v="98755.41"/>
    <x v="2"/>
    <x v="12"/>
  </r>
  <r>
    <x v="1168"/>
    <s v="Alexandria Thomas"/>
    <x v="29"/>
    <x v="1"/>
    <x v="1"/>
    <x v="1159"/>
    <x v="35"/>
    <x v="65"/>
    <x v="2"/>
    <x v="1"/>
    <n v="233947.06"/>
    <x v="0"/>
    <x v="5"/>
  </r>
  <r>
    <x v="1169"/>
    <s v="Bryan Kennedy"/>
    <x v="50"/>
    <x v="0"/>
    <x v="2"/>
    <x v="1160"/>
    <x v="30"/>
    <x v="335"/>
    <x v="6"/>
    <x v="1"/>
    <n v="143674.35"/>
    <x v="0"/>
    <x v="14"/>
  </r>
  <r>
    <x v="1170"/>
    <s v="Christine Mcmillan"/>
    <x v="38"/>
    <x v="1"/>
    <x v="3"/>
    <x v="1161"/>
    <x v="195"/>
    <x v="131"/>
    <x v="8"/>
    <x v="2"/>
    <n v="288559.15000000002"/>
    <x v="1"/>
    <x v="6"/>
  </r>
  <r>
    <x v="1171"/>
    <s v="John Hebert"/>
    <x v="8"/>
    <x v="1"/>
    <x v="2"/>
    <x v="1162"/>
    <x v="316"/>
    <x v="40"/>
    <x v="5"/>
    <x v="0"/>
    <n v="69145.070000000007"/>
    <x v="1"/>
    <x v="13"/>
  </r>
  <r>
    <x v="1172"/>
    <s v="Bryan Myers"/>
    <x v="20"/>
    <x v="0"/>
    <x v="1"/>
    <x v="1163"/>
    <x v="287"/>
    <x v="347"/>
    <x v="2"/>
    <x v="4"/>
    <n v="496197.3"/>
    <x v="0"/>
    <x v="8"/>
  </r>
  <r>
    <x v="1173"/>
    <s v="Micheal Torres"/>
    <x v="27"/>
    <x v="0"/>
    <x v="2"/>
    <x v="1164"/>
    <x v="314"/>
    <x v="359"/>
    <x v="5"/>
    <x v="4"/>
    <n v="326822.53999999998"/>
    <x v="1"/>
    <x v="13"/>
  </r>
  <r>
    <x v="1174"/>
    <s v="Stephen Leach"/>
    <x v="41"/>
    <x v="0"/>
    <x v="1"/>
    <x v="1165"/>
    <x v="100"/>
    <x v="23"/>
    <x v="3"/>
    <x v="0"/>
    <n v="198160.45"/>
    <x v="2"/>
    <x v="2"/>
  </r>
  <r>
    <x v="1175"/>
    <s v="Haley Flowers"/>
    <x v="28"/>
    <x v="0"/>
    <x v="5"/>
    <x v="1166"/>
    <x v="108"/>
    <x v="360"/>
    <x v="2"/>
    <x v="5"/>
    <n v="270844.34000000003"/>
    <x v="2"/>
    <x v="6"/>
  </r>
  <r>
    <x v="1176"/>
    <s v="Christina Byrd"/>
    <x v="29"/>
    <x v="0"/>
    <x v="3"/>
    <x v="1167"/>
    <x v="185"/>
    <x v="331"/>
    <x v="0"/>
    <x v="5"/>
    <n v="113476.07"/>
    <x v="2"/>
    <x v="1"/>
  </r>
  <r>
    <x v="1177"/>
    <s v="Steven Walls"/>
    <x v="17"/>
    <x v="0"/>
    <x v="1"/>
    <x v="1168"/>
    <x v="349"/>
    <x v="361"/>
    <x v="2"/>
    <x v="5"/>
    <n v="219263.82"/>
    <x v="2"/>
    <x v="7"/>
  </r>
  <r>
    <x v="1178"/>
    <s v="Stephen Madden"/>
    <x v="24"/>
    <x v="0"/>
    <x v="2"/>
    <x v="1169"/>
    <x v="143"/>
    <x v="292"/>
    <x v="3"/>
    <x v="1"/>
    <n v="88797.59"/>
    <x v="1"/>
    <x v="2"/>
  </r>
  <r>
    <x v="1179"/>
    <s v="Alexandria Sanchez"/>
    <x v="49"/>
    <x v="1"/>
    <x v="0"/>
    <x v="1170"/>
    <x v="92"/>
    <x v="101"/>
    <x v="9"/>
    <x v="5"/>
    <n v="185590.89"/>
    <x v="0"/>
    <x v="11"/>
  </r>
  <r>
    <x v="1180"/>
    <s v="Kenneth Diaz"/>
    <x v="1"/>
    <x v="0"/>
    <x v="0"/>
    <x v="1171"/>
    <x v="241"/>
    <x v="164"/>
    <x v="0"/>
    <x v="5"/>
    <n v="148077.69"/>
    <x v="1"/>
    <x v="6"/>
  </r>
  <r>
    <x v="1181"/>
    <s v="Christopher Carter"/>
    <x v="84"/>
    <x v="0"/>
    <x v="6"/>
    <x v="1172"/>
    <x v="178"/>
    <x v="93"/>
    <x v="7"/>
    <x v="0"/>
    <n v="268382.90000000002"/>
    <x v="0"/>
    <x v="14"/>
  </r>
  <r>
    <x v="1182"/>
    <s v="Regina Lawson DDS"/>
    <x v="81"/>
    <x v="1"/>
    <x v="1"/>
    <x v="1173"/>
    <x v="40"/>
    <x v="327"/>
    <x v="5"/>
    <x v="0"/>
    <n v="207656.61"/>
    <x v="2"/>
    <x v="3"/>
  </r>
  <r>
    <x v="1183"/>
    <s v="David Richards"/>
    <x v="58"/>
    <x v="1"/>
    <x v="3"/>
    <x v="1174"/>
    <x v="209"/>
    <x v="346"/>
    <x v="4"/>
    <x v="0"/>
    <n v="22432.79"/>
    <x v="1"/>
    <x v="3"/>
  </r>
  <r>
    <x v="1184"/>
    <s v="Molly Long"/>
    <x v="47"/>
    <x v="0"/>
    <x v="1"/>
    <x v="1175"/>
    <x v="284"/>
    <x v="183"/>
    <x v="6"/>
    <x v="2"/>
    <n v="113819.9"/>
    <x v="0"/>
    <x v="5"/>
  </r>
  <r>
    <x v="1185"/>
    <s v="Michael Sullivan"/>
    <x v="57"/>
    <x v="1"/>
    <x v="3"/>
    <x v="1176"/>
    <x v="187"/>
    <x v="358"/>
    <x v="6"/>
    <x v="2"/>
    <n v="332274.28999999998"/>
    <x v="1"/>
    <x v="1"/>
  </r>
  <r>
    <x v="1186"/>
    <s v="Kristen Sanchez"/>
    <x v="76"/>
    <x v="1"/>
    <x v="4"/>
    <x v="1177"/>
    <x v="271"/>
    <x v="166"/>
    <x v="4"/>
    <x v="5"/>
    <n v="436595.43"/>
    <x v="0"/>
    <x v="5"/>
  </r>
  <r>
    <x v="1187"/>
    <s v="Danielle Robinson"/>
    <x v="78"/>
    <x v="1"/>
    <x v="3"/>
    <x v="1178"/>
    <x v="91"/>
    <x v="148"/>
    <x v="3"/>
    <x v="1"/>
    <n v="352148.51"/>
    <x v="1"/>
    <x v="12"/>
  </r>
  <r>
    <x v="1188"/>
    <s v="Ashley Mercado"/>
    <x v="16"/>
    <x v="1"/>
    <x v="2"/>
    <x v="1179"/>
    <x v="273"/>
    <x v="80"/>
    <x v="2"/>
    <x v="2"/>
    <n v="309226.96000000002"/>
    <x v="1"/>
    <x v="2"/>
  </r>
  <r>
    <x v="1189"/>
    <s v="Robert Colon"/>
    <x v="68"/>
    <x v="1"/>
    <x v="6"/>
    <x v="1180"/>
    <x v="141"/>
    <x v="104"/>
    <x v="7"/>
    <x v="1"/>
    <n v="102296.05"/>
    <x v="0"/>
    <x v="7"/>
  </r>
  <r>
    <x v="1190"/>
    <s v="Vincent Mason"/>
    <x v="48"/>
    <x v="0"/>
    <x v="0"/>
    <x v="1181"/>
    <x v="335"/>
    <x v="88"/>
    <x v="3"/>
    <x v="2"/>
    <n v="243245.17"/>
    <x v="2"/>
    <x v="4"/>
  </r>
  <r>
    <x v="1191"/>
    <s v="Elizabeth Reid"/>
    <x v="21"/>
    <x v="0"/>
    <x v="1"/>
    <x v="1182"/>
    <x v="74"/>
    <x v="36"/>
    <x v="0"/>
    <x v="2"/>
    <n v="279844.09999999998"/>
    <x v="2"/>
    <x v="14"/>
  </r>
  <r>
    <x v="1192"/>
    <s v="David Webb"/>
    <x v="30"/>
    <x v="0"/>
    <x v="5"/>
    <x v="1183"/>
    <x v="281"/>
    <x v="162"/>
    <x v="7"/>
    <x v="1"/>
    <n v="441230.69"/>
    <x v="2"/>
    <x v="9"/>
  </r>
  <r>
    <x v="1193"/>
    <s v="Grant Quinn"/>
    <x v="70"/>
    <x v="0"/>
    <x v="2"/>
    <x v="1184"/>
    <x v="48"/>
    <x v="347"/>
    <x v="2"/>
    <x v="5"/>
    <n v="345561.05"/>
    <x v="2"/>
    <x v="7"/>
  </r>
  <r>
    <x v="1194"/>
    <s v="Cindy Proctor"/>
    <x v="8"/>
    <x v="0"/>
    <x v="6"/>
    <x v="1185"/>
    <x v="31"/>
    <x v="222"/>
    <x v="0"/>
    <x v="5"/>
    <n v="317437.61"/>
    <x v="2"/>
    <x v="0"/>
  </r>
  <r>
    <x v="1195"/>
    <s v="Mrs. Shannon Sanchez"/>
    <x v="23"/>
    <x v="0"/>
    <x v="4"/>
    <x v="1186"/>
    <x v="110"/>
    <x v="109"/>
    <x v="9"/>
    <x v="1"/>
    <n v="60891.18"/>
    <x v="0"/>
    <x v="0"/>
  </r>
  <r>
    <x v="1196"/>
    <s v="Sherry Nguyen"/>
    <x v="63"/>
    <x v="0"/>
    <x v="2"/>
    <x v="1187"/>
    <x v="228"/>
    <x v="184"/>
    <x v="3"/>
    <x v="4"/>
    <n v="184606.39"/>
    <x v="0"/>
    <x v="0"/>
  </r>
  <r>
    <x v="1197"/>
    <s v="Sarah Jensen"/>
    <x v="85"/>
    <x v="0"/>
    <x v="2"/>
    <x v="1188"/>
    <x v="256"/>
    <x v="59"/>
    <x v="1"/>
    <x v="5"/>
    <n v="153843.54"/>
    <x v="0"/>
    <x v="1"/>
  </r>
  <r>
    <x v="1198"/>
    <s v="Cory Campbell"/>
    <x v="34"/>
    <x v="0"/>
    <x v="6"/>
    <x v="1189"/>
    <x v="215"/>
    <x v="131"/>
    <x v="0"/>
    <x v="5"/>
    <n v="315460.36"/>
    <x v="1"/>
    <x v="10"/>
  </r>
  <r>
    <x v="1199"/>
    <s v="Mary Levine"/>
    <x v="74"/>
    <x v="1"/>
    <x v="4"/>
    <x v="1190"/>
    <x v="291"/>
    <x v="321"/>
    <x v="9"/>
    <x v="1"/>
    <n v="311338.96999999997"/>
    <x v="2"/>
    <x v="2"/>
  </r>
  <r>
    <x v="1200"/>
    <s v="Donald Black"/>
    <x v="86"/>
    <x v="1"/>
    <x v="6"/>
    <x v="1191"/>
    <x v="167"/>
    <x v="251"/>
    <x v="5"/>
    <x v="4"/>
    <n v="235555.41"/>
    <x v="0"/>
    <x v="14"/>
  </r>
  <r>
    <x v="1201"/>
    <s v="Walter Powers"/>
    <x v="23"/>
    <x v="1"/>
    <x v="2"/>
    <x v="1192"/>
    <x v="165"/>
    <x v="69"/>
    <x v="7"/>
    <x v="4"/>
    <n v="395756.6"/>
    <x v="0"/>
    <x v="5"/>
  </r>
  <r>
    <x v="1202"/>
    <s v="Briana Beasley"/>
    <x v="50"/>
    <x v="0"/>
    <x v="1"/>
    <x v="1193"/>
    <x v="178"/>
    <x v="136"/>
    <x v="7"/>
    <x v="4"/>
    <n v="411515.44"/>
    <x v="2"/>
    <x v="3"/>
  </r>
  <r>
    <x v="1203"/>
    <s v="Curtis Morris"/>
    <x v="16"/>
    <x v="1"/>
    <x v="1"/>
    <x v="1194"/>
    <x v="46"/>
    <x v="46"/>
    <x v="4"/>
    <x v="1"/>
    <n v="140635.63"/>
    <x v="2"/>
    <x v="6"/>
  </r>
  <r>
    <x v="1204"/>
    <s v="Leah Stokes"/>
    <x v="42"/>
    <x v="1"/>
    <x v="1"/>
    <x v="1195"/>
    <x v="282"/>
    <x v="126"/>
    <x v="0"/>
    <x v="5"/>
    <n v="133310.14000000001"/>
    <x v="2"/>
    <x v="1"/>
  </r>
  <r>
    <x v="1205"/>
    <s v="Morgan Gomez"/>
    <x v="7"/>
    <x v="1"/>
    <x v="3"/>
    <x v="1196"/>
    <x v="200"/>
    <x v="84"/>
    <x v="7"/>
    <x v="0"/>
    <n v="418105.28"/>
    <x v="1"/>
    <x v="12"/>
  </r>
  <r>
    <x v="1206"/>
    <s v="Amanda Cardenas"/>
    <x v="35"/>
    <x v="0"/>
    <x v="2"/>
    <x v="425"/>
    <x v="285"/>
    <x v="310"/>
    <x v="3"/>
    <x v="5"/>
    <n v="369726.98"/>
    <x v="1"/>
    <x v="7"/>
  </r>
  <r>
    <x v="1207"/>
    <s v="Brianna Taylor"/>
    <x v="42"/>
    <x v="1"/>
    <x v="5"/>
    <x v="1197"/>
    <x v="215"/>
    <x v="155"/>
    <x v="2"/>
    <x v="2"/>
    <n v="338522.44"/>
    <x v="1"/>
    <x v="0"/>
  </r>
  <r>
    <x v="1208"/>
    <s v="April Johnson"/>
    <x v="32"/>
    <x v="1"/>
    <x v="4"/>
    <x v="1198"/>
    <x v="239"/>
    <x v="110"/>
    <x v="4"/>
    <x v="4"/>
    <n v="474874.4"/>
    <x v="1"/>
    <x v="13"/>
  </r>
  <r>
    <x v="1209"/>
    <s v="Amy Russell"/>
    <x v="21"/>
    <x v="1"/>
    <x v="5"/>
    <x v="1199"/>
    <x v="23"/>
    <x v="337"/>
    <x v="4"/>
    <x v="1"/>
    <n v="427076.08"/>
    <x v="2"/>
    <x v="8"/>
  </r>
  <r>
    <x v="1210"/>
    <s v="Kimberly Kramer"/>
    <x v="86"/>
    <x v="1"/>
    <x v="5"/>
    <x v="1200"/>
    <x v="239"/>
    <x v="145"/>
    <x v="0"/>
    <x v="4"/>
    <n v="119053.64"/>
    <x v="1"/>
    <x v="4"/>
  </r>
  <r>
    <x v="1211"/>
    <s v="Cameron Waters"/>
    <x v="2"/>
    <x v="0"/>
    <x v="2"/>
    <x v="1201"/>
    <x v="220"/>
    <x v="10"/>
    <x v="4"/>
    <x v="2"/>
    <n v="203591.11"/>
    <x v="2"/>
    <x v="10"/>
  </r>
  <r>
    <x v="1212"/>
    <s v="Amanda Hines"/>
    <x v="6"/>
    <x v="0"/>
    <x v="3"/>
    <x v="1071"/>
    <x v="350"/>
    <x v="161"/>
    <x v="9"/>
    <x v="3"/>
    <n v="488157.21"/>
    <x v="0"/>
    <x v="8"/>
  </r>
  <r>
    <x v="1213"/>
    <s v="Patrick Smith"/>
    <x v="49"/>
    <x v="1"/>
    <x v="6"/>
    <x v="1202"/>
    <x v="270"/>
    <x v="336"/>
    <x v="4"/>
    <x v="3"/>
    <n v="184959.81"/>
    <x v="2"/>
    <x v="7"/>
  </r>
  <r>
    <x v="1214"/>
    <s v="Kelly Keller"/>
    <x v="60"/>
    <x v="0"/>
    <x v="6"/>
    <x v="1203"/>
    <x v="144"/>
    <x v="237"/>
    <x v="2"/>
    <x v="3"/>
    <n v="20616.96"/>
    <x v="2"/>
    <x v="6"/>
  </r>
  <r>
    <x v="1215"/>
    <s v="James Mcdonald"/>
    <x v="22"/>
    <x v="1"/>
    <x v="5"/>
    <x v="1204"/>
    <x v="50"/>
    <x v="62"/>
    <x v="1"/>
    <x v="2"/>
    <n v="432140.83"/>
    <x v="0"/>
    <x v="14"/>
  </r>
  <r>
    <x v="1216"/>
    <s v="Justin Mcdonald"/>
    <x v="86"/>
    <x v="0"/>
    <x v="0"/>
    <x v="1205"/>
    <x v="180"/>
    <x v="19"/>
    <x v="3"/>
    <x v="3"/>
    <n v="118065.18"/>
    <x v="1"/>
    <x v="0"/>
  </r>
  <r>
    <x v="1217"/>
    <s v="Cassandra Bailey"/>
    <x v="12"/>
    <x v="0"/>
    <x v="5"/>
    <x v="1206"/>
    <x v="141"/>
    <x v="207"/>
    <x v="5"/>
    <x v="4"/>
    <n v="135898.01"/>
    <x v="2"/>
    <x v="14"/>
  </r>
  <r>
    <x v="1218"/>
    <s v="Herbert Gonzalez"/>
    <x v="64"/>
    <x v="0"/>
    <x v="2"/>
    <x v="1207"/>
    <x v="120"/>
    <x v="191"/>
    <x v="8"/>
    <x v="3"/>
    <n v="121573.7"/>
    <x v="2"/>
    <x v="4"/>
  </r>
  <r>
    <x v="1219"/>
    <s v="Keith Fritz"/>
    <x v="82"/>
    <x v="0"/>
    <x v="4"/>
    <x v="1208"/>
    <x v="76"/>
    <x v="262"/>
    <x v="8"/>
    <x v="1"/>
    <n v="261332.12"/>
    <x v="0"/>
    <x v="10"/>
  </r>
  <r>
    <x v="1220"/>
    <s v="Daniel Martin"/>
    <x v="81"/>
    <x v="1"/>
    <x v="2"/>
    <x v="1209"/>
    <x v="304"/>
    <x v="360"/>
    <x v="8"/>
    <x v="5"/>
    <n v="153973.62"/>
    <x v="1"/>
    <x v="5"/>
  </r>
  <r>
    <x v="1221"/>
    <s v="Denise Olson"/>
    <x v="60"/>
    <x v="0"/>
    <x v="2"/>
    <x v="1210"/>
    <x v="312"/>
    <x v="268"/>
    <x v="5"/>
    <x v="1"/>
    <n v="363087.6"/>
    <x v="1"/>
    <x v="10"/>
  </r>
  <r>
    <x v="1222"/>
    <s v="Thomas Cooper"/>
    <x v="32"/>
    <x v="0"/>
    <x v="4"/>
    <x v="1211"/>
    <x v="55"/>
    <x v="362"/>
    <x v="2"/>
    <x v="0"/>
    <n v="379924.99"/>
    <x v="2"/>
    <x v="5"/>
  </r>
  <r>
    <x v="1223"/>
    <s v="Alicia Hawkins"/>
    <x v="62"/>
    <x v="1"/>
    <x v="2"/>
    <x v="1212"/>
    <x v="242"/>
    <x v="64"/>
    <x v="6"/>
    <x v="3"/>
    <n v="248106.86"/>
    <x v="2"/>
    <x v="12"/>
  </r>
  <r>
    <x v="1224"/>
    <s v="Norma Escobar"/>
    <x v="40"/>
    <x v="0"/>
    <x v="3"/>
    <x v="1213"/>
    <x v="300"/>
    <x v="248"/>
    <x v="3"/>
    <x v="1"/>
    <n v="149319.53"/>
    <x v="0"/>
    <x v="2"/>
  </r>
  <r>
    <x v="1225"/>
    <s v="Stephanie Cruz"/>
    <x v="80"/>
    <x v="0"/>
    <x v="5"/>
    <x v="1214"/>
    <x v="26"/>
    <x v="62"/>
    <x v="4"/>
    <x v="4"/>
    <n v="478261.48"/>
    <x v="0"/>
    <x v="13"/>
  </r>
  <r>
    <x v="1226"/>
    <s v="Dr. Madison Duran"/>
    <x v="10"/>
    <x v="1"/>
    <x v="5"/>
    <x v="1215"/>
    <x v="210"/>
    <x v="121"/>
    <x v="4"/>
    <x v="3"/>
    <n v="255639.23"/>
    <x v="0"/>
    <x v="7"/>
  </r>
  <r>
    <x v="1227"/>
    <s v="Joseph Stevenson"/>
    <x v="4"/>
    <x v="0"/>
    <x v="5"/>
    <x v="1216"/>
    <x v="183"/>
    <x v="62"/>
    <x v="5"/>
    <x v="4"/>
    <n v="130978.99"/>
    <x v="2"/>
    <x v="4"/>
  </r>
  <r>
    <x v="1228"/>
    <s v="Christine Swanson"/>
    <x v="0"/>
    <x v="0"/>
    <x v="3"/>
    <x v="1217"/>
    <x v="349"/>
    <x v="0"/>
    <x v="4"/>
    <x v="0"/>
    <n v="33637.15"/>
    <x v="1"/>
    <x v="2"/>
  </r>
  <r>
    <x v="1229"/>
    <s v="David Brooks"/>
    <x v="61"/>
    <x v="1"/>
    <x v="2"/>
    <x v="1218"/>
    <x v="177"/>
    <x v="173"/>
    <x v="7"/>
    <x v="5"/>
    <n v="321477.58"/>
    <x v="2"/>
    <x v="11"/>
  </r>
  <r>
    <x v="1230"/>
    <s v="Julian Sanchez"/>
    <x v="79"/>
    <x v="0"/>
    <x v="3"/>
    <x v="1219"/>
    <x v="217"/>
    <x v="20"/>
    <x v="1"/>
    <x v="0"/>
    <n v="85018.44"/>
    <x v="0"/>
    <x v="6"/>
  </r>
  <r>
    <x v="1231"/>
    <s v="Brad Allen"/>
    <x v="24"/>
    <x v="0"/>
    <x v="4"/>
    <x v="1220"/>
    <x v="203"/>
    <x v="334"/>
    <x v="6"/>
    <x v="5"/>
    <n v="206966.25"/>
    <x v="2"/>
    <x v="7"/>
  </r>
  <r>
    <x v="1232"/>
    <s v="Scott Giles"/>
    <x v="55"/>
    <x v="1"/>
    <x v="6"/>
    <x v="1221"/>
    <x v="334"/>
    <x v="159"/>
    <x v="2"/>
    <x v="5"/>
    <n v="432208.36"/>
    <x v="0"/>
    <x v="11"/>
  </r>
  <r>
    <x v="1233"/>
    <s v="Joshua Esparza"/>
    <x v="79"/>
    <x v="1"/>
    <x v="2"/>
    <x v="1222"/>
    <x v="243"/>
    <x v="43"/>
    <x v="3"/>
    <x v="3"/>
    <n v="301181.26"/>
    <x v="0"/>
    <x v="9"/>
  </r>
  <r>
    <x v="1234"/>
    <s v="Mr. Sean Adams DVM"/>
    <x v="32"/>
    <x v="0"/>
    <x v="4"/>
    <x v="1223"/>
    <x v="102"/>
    <x v="37"/>
    <x v="9"/>
    <x v="1"/>
    <n v="67382.67"/>
    <x v="2"/>
    <x v="2"/>
  </r>
  <r>
    <x v="1235"/>
    <s v="Paul Fernandez"/>
    <x v="89"/>
    <x v="0"/>
    <x v="2"/>
    <x v="1224"/>
    <x v="0"/>
    <x v="214"/>
    <x v="8"/>
    <x v="3"/>
    <n v="366176.5"/>
    <x v="1"/>
    <x v="7"/>
  </r>
  <r>
    <x v="1236"/>
    <s v="Brandon Thomas"/>
    <x v="75"/>
    <x v="0"/>
    <x v="5"/>
    <x v="1225"/>
    <x v="296"/>
    <x v="232"/>
    <x v="4"/>
    <x v="5"/>
    <n v="16313.26"/>
    <x v="2"/>
    <x v="2"/>
  </r>
  <r>
    <x v="1237"/>
    <s v="Todd Berry"/>
    <x v="40"/>
    <x v="0"/>
    <x v="5"/>
    <x v="1226"/>
    <x v="68"/>
    <x v="70"/>
    <x v="7"/>
    <x v="5"/>
    <n v="186739.77"/>
    <x v="2"/>
    <x v="11"/>
  </r>
  <r>
    <x v="1238"/>
    <s v="Stephen Zimmerman"/>
    <x v="13"/>
    <x v="1"/>
    <x v="4"/>
    <x v="1227"/>
    <x v="318"/>
    <x v="27"/>
    <x v="9"/>
    <x v="1"/>
    <n v="222083.43"/>
    <x v="2"/>
    <x v="10"/>
  </r>
  <r>
    <x v="1239"/>
    <s v="Brett Berry"/>
    <x v="13"/>
    <x v="1"/>
    <x v="4"/>
    <x v="1228"/>
    <x v="179"/>
    <x v="354"/>
    <x v="5"/>
    <x v="2"/>
    <n v="143452.62"/>
    <x v="2"/>
    <x v="3"/>
  </r>
  <r>
    <x v="1240"/>
    <s v="Ronald Smith"/>
    <x v="45"/>
    <x v="1"/>
    <x v="1"/>
    <x v="1229"/>
    <x v="239"/>
    <x v="44"/>
    <x v="9"/>
    <x v="4"/>
    <n v="168666.27"/>
    <x v="2"/>
    <x v="5"/>
  </r>
  <r>
    <x v="1241"/>
    <s v="Shelby Carlson"/>
    <x v="77"/>
    <x v="1"/>
    <x v="0"/>
    <x v="1230"/>
    <x v="336"/>
    <x v="300"/>
    <x v="6"/>
    <x v="3"/>
    <n v="303274.92"/>
    <x v="0"/>
    <x v="8"/>
  </r>
  <r>
    <x v="1242"/>
    <s v="Meredith Barker"/>
    <x v="32"/>
    <x v="1"/>
    <x v="2"/>
    <x v="1231"/>
    <x v="79"/>
    <x v="13"/>
    <x v="0"/>
    <x v="4"/>
    <n v="401027.89"/>
    <x v="2"/>
    <x v="7"/>
  </r>
  <r>
    <x v="1243"/>
    <s v="Katie Bond"/>
    <x v="81"/>
    <x v="1"/>
    <x v="5"/>
    <x v="1232"/>
    <x v="199"/>
    <x v="311"/>
    <x v="7"/>
    <x v="0"/>
    <n v="244317.88"/>
    <x v="2"/>
    <x v="14"/>
  </r>
  <r>
    <x v="1244"/>
    <s v="John Wolf"/>
    <x v="82"/>
    <x v="0"/>
    <x v="4"/>
    <x v="1233"/>
    <x v="62"/>
    <x v="253"/>
    <x v="4"/>
    <x v="4"/>
    <n v="249299.46"/>
    <x v="2"/>
    <x v="6"/>
  </r>
  <r>
    <x v="1245"/>
    <s v="Melissa Stone"/>
    <x v="70"/>
    <x v="1"/>
    <x v="6"/>
    <x v="1234"/>
    <x v="76"/>
    <x v="142"/>
    <x v="9"/>
    <x v="4"/>
    <n v="312708"/>
    <x v="0"/>
    <x v="2"/>
  </r>
  <r>
    <x v="1246"/>
    <s v="Donald Daniel"/>
    <x v="53"/>
    <x v="0"/>
    <x v="2"/>
    <x v="1235"/>
    <x v="235"/>
    <x v="137"/>
    <x v="3"/>
    <x v="3"/>
    <n v="402770.74"/>
    <x v="0"/>
    <x v="11"/>
  </r>
  <r>
    <x v="1247"/>
    <s v="Laura Sherman"/>
    <x v="29"/>
    <x v="0"/>
    <x v="5"/>
    <x v="1236"/>
    <x v="123"/>
    <x v="40"/>
    <x v="0"/>
    <x v="5"/>
    <n v="76771.03"/>
    <x v="1"/>
    <x v="9"/>
  </r>
  <r>
    <x v="1248"/>
    <s v="Jennifer Owens"/>
    <x v="49"/>
    <x v="0"/>
    <x v="6"/>
    <x v="1237"/>
    <x v="319"/>
    <x v="88"/>
    <x v="3"/>
    <x v="0"/>
    <n v="38076.1"/>
    <x v="1"/>
    <x v="7"/>
  </r>
  <r>
    <x v="1249"/>
    <s v="Stacy Jones"/>
    <x v="21"/>
    <x v="1"/>
    <x v="0"/>
    <x v="1238"/>
    <x v="10"/>
    <x v="10"/>
    <x v="3"/>
    <x v="1"/>
    <n v="289652.65000000002"/>
    <x v="0"/>
    <x v="7"/>
  </r>
  <r>
    <x v="1250"/>
    <s v="Bryan Lowe"/>
    <x v="59"/>
    <x v="0"/>
    <x v="0"/>
    <x v="1239"/>
    <x v="53"/>
    <x v="330"/>
    <x v="7"/>
    <x v="1"/>
    <n v="333218.63"/>
    <x v="2"/>
    <x v="2"/>
  </r>
  <r>
    <x v="1251"/>
    <s v="Stephanie Carson"/>
    <x v="73"/>
    <x v="0"/>
    <x v="3"/>
    <x v="1240"/>
    <x v="321"/>
    <x v="344"/>
    <x v="7"/>
    <x v="4"/>
    <n v="13667.92"/>
    <x v="0"/>
    <x v="9"/>
  </r>
  <r>
    <x v="1252"/>
    <s v="Ana Miles"/>
    <x v="8"/>
    <x v="0"/>
    <x v="5"/>
    <x v="1241"/>
    <x v="15"/>
    <x v="235"/>
    <x v="7"/>
    <x v="0"/>
    <n v="188642.07"/>
    <x v="2"/>
    <x v="9"/>
  </r>
  <r>
    <x v="1253"/>
    <s v="Edward Mclaughlin"/>
    <x v="19"/>
    <x v="1"/>
    <x v="5"/>
    <x v="1242"/>
    <x v="185"/>
    <x v="103"/>
    <x v="0"/>
    <x v="1"/>
    <n v="192760.1"/>
    <x v="1"/>
    <x v="7"/>
  </r>
  <r>
    <x v="1254"/>
    <s v="Sharon Schultz"/>
    <x v="27"/>
    <x v="1"/>
    <x v="4"/>
    <x v="1243"/>
    <x v="79"/>
    <x v="46"/>
    <x v="4"/>
    <x v="2"/>
    <n v="121990.13"/>
    <x v="1"/>
    <x v="1"/>
  </r>
  <r>
    <x v="1255"/>
    <s v="Adrian Christian"/>
    <x v="46"/>
    <x v="0"/>
    <x v="6"/>
    <x v="1244"/>
    <x v="89"/>
    <x v="208"/>
    <x v="7"/>
    <x v="0"/>
    <n v="10928.54"/>
    <x v="2"/>
    <x v="12"/>
  </r>
  <r>
    <x v="1256"/>
    <s v="Mark Mcdonald"/>
    <x v="88"/>
    <x v="0"/>
    <x v="0"/>
    <x v="1245"/>
    <x v="61"/>
    <x v="152"/>
    <x v="3"/>
    <x v="0"/>
    <n v="153456.32999999999"/>
    <x v="0"/>
    <x v="4"/>
  </r>
  <r>
    <x v="1257"/>
    <s v="David Anderson"/>
    <x v="31"/>
    <x v="0"/>
    <x v="5"/>
    <x v="1246"/>
    <x v="167"/>
    <x v="219"/>
    <x v="2"/>
    <x v="2"/>
    <n v="180748.17"/>
    <x v="1"/>
    <x v="7"/>
  </r>
  <r>
    <x v="1258"/>
    <s v="Morgan Stevens"/>
    <x v="78"/>
    <x v="0"/>
    <x v="4"/>
    <x v="1247"/>
    <x v="195"/>
    <x v="131"/>
    <x v="2"/>
    <x v="1"/>
    <n v="470057.79"/>
    <x v="2"/>
    <x v="6"/>
  </r>
  <r>
    <x v="1259"/>
    <s v="Jessica Wong"/>
    <x v="20"/>
    <x v="0"/>
    <x v="2"/>
    <x v="1248"/>
    <x v="51"/>
    <x v="82"/>
    <x v="6"/>
    <x v="0"/>
    <n v="56515.46"/>
    <x v="2"/>
    <x v="4"/>
  </r>
  <r>
    <x v="1260"/>
    <s v="Timothy Stevens"/>
    <x v="86"/>
    <x v="1"/>
    <x v="0"/>
    <x v="1249"/>
    <x v="158"/>
    <x v="330"/>
    <x v="9"/>
    <x v="3"/>
    <n v="214172.22"/>
    <x v="1"/>
    <x v="7"/>
  </r>
  <r>
    <x v="1261"/>
    <s v="Roger Lambert"/>
    <x v="3"/>
    <x v="0"/>
    <x v="4"/>
    <x v="1250"/>
    <x v="259"/>
    <x v="215"/>
    <x v="0"/>
    <x v="3"/>
    <n v="256511.15"/>
    <x v="0"/>
    <x v="4"/>
  </r>
  <r>
    <x v="1262"/>
    <s v="Christine Fletcher"/>
    <x v="22"/>
    <x v="0"/>
    <x v="0"/>
    <x v="1251"/>
    <x v="351"/>
    <x v="152"/>
    <x v="5"/>
    <x v="0"/>
    <n v="86255.02"/>
    <x v="1"/>
    <x v="5"/>
  </r>
  <r>
    <x v="1263"/>
    <s v="Brittany Clay"/>
    <x v="31"/>
    <x v="1"/>
    <x v="6"/>
    <x v="1252"/>
    <x v="5"/>
    <x v="363"/>
    <x v="6"/>
    <x v="0"/>
    <n v="377375.45"/>
    <x v="2"/>
    <x v="6"/>
  </r>
  <r>
    <x v="1264"/>
    <s v="Lisa Jones DVM"/>
    <x v="57"/>
    <x v="0"/>
    <x v="3"/>
    <x v="1253"/>
    <x v="336"/>
    <x v="154"/>
    <x v="1"/>
    <x v="5"/>
    <n v="77869.77"/>
    <x v="1"/>
    <x v="3"/>
  </r>
  <r>
    <x v="1265"/>
    <s v="Robert Graham"/>
    <x v="13"/>
    <x v="0"/>
    <x v="1"/>
    <x v="1254"/>
    <x v="347"/>
    <x v="51"/>
    <x v="3"/>
    <x v="2"/>
    <n v="34009.47"/>
    <x v="1"/>
    <x v="5"/>
  </r>
  <r>
    <x v="1266"/>
    <s v="David Barnes"/>
    <x v="89"/>
    <x v="0"/>
    <x v="1"/>
    <x v="1255"/>
    <x v="299"/>
    <x v="337"/>
    <x v="5"/>
    <x v="4"/>
    <n v="276864.93"/>
    <x v="1"/>
    <x v="1"/>
  </r>
  <r>
    <x v="1267"/>
    <s v="Dylan Brown"/>
    <x v="39"/>
    <x v="1"/>
    <x v="5"/>
    <x v="1256"/>
    <x v="331"/>
    <x v="246"/>
    <x v="4"/>
    <x v="5"/>
    <n v="307795.81"/>
    <x v="1"/>
    <x v="5"/>
  </r>
  <r>
    <x v="1268"/>
    <s v="April Campbell"/>
    <x v="36"/>
    <x v="0"/>
    <x v="0"/>
    <x v="1257"/>
    <x v="112"/>
    <x v="271"/>
    <x v="1"/>
    <x v="0"/>
    <n v="488653.02"/>
    <x v="2"/>
    <x v="12"/>
  </r>
  <r>
    <x v="1269"/>
    <s v="Stephen Fernandez Jr."/>
    <x v="21"/>
    <x v="0"/>
    <x v="4"/>
    <x v="1258"/>
    <x v="339"/>
    <x v="364"/>
    <x v="8"/>
    <x v="5"/>
    <n v="98208.05"/>
    <x v="2"/>
    <x v="5"/>
  </r>
  <r>
    <x v="1270"/>
    <s v="Emily Branch"/>
    <x v="35"/>
    <x v="0"/>
    <x v="1"/>
    <x v="68"/>
    <x v="260"/>
    <x v="362"/>
    <x v="1"/>
    <x v="5"/>
    <n v="164377.25"/>
    <x v="1"/>
    <x v="1"/>
  </r>
  <r>
    <x v="1271"/>
    <s v="Allison Bell"/>
    <x v="37"/>
    <x v="0"/>
    <x v="4"/>
    <x v="1259"/>
    <x v="173"/>
    <x v="365"/>
    <x v="4"/>
    <x v="4"/>
    <n v="41793.730000000003"/>
    <x v="1"/>
    <x v="9"/>
  </r>
  <r>
    <x v="1272"/>
    <s v="Mrs. Michelle Martin"/>
    <x v="18"/>
    <x v="1"/>
    <x v="2"/>
    <x v="1260"/>
    <x v="30"/>
    <x v="151"/>
    <x v="8"/>
    <x v="0"/>
    <n v="491338.28"/>
    <x v="0"/>
    <x v="7"/>
  </r>
  <r>
    <x v="1273"/>
    <s v="Jeffery Owens"/>
    <x v="48"/>
    <x v="1"/>
    <x v="4"/>
    <x v="1261"/>
    <x v="175"/>
    <x v="37"/>
    <x v="0"/>
    <x v="1"/>
    <n v="481248.21"/>
    <x v="1"/>
    <x v="13"/>
  </r>
  <r>
    <x v="1274"/>
    <s v="Matthew Mitchell"/>
    <x v="48"/>
    <x v="1"/>
    <x v="5"/>
    <x v="1262"/>
    <x v="322"/>
    <x v="214"/>
    <x v="4"/>
    <x v="1"/>
    <n v="322468.61"/>
    <x v="1"/>
    <x v="5"/>
  </r>
  <r>
    <x v="1275"/>
    <s v="Martha Allen"/>
    <x v="87"/>
    <x v="1"/>
    <x v="6"/>
    <x v="1263"/>
    <x v="126"/>
    <x v="275"/>
    <x v="1"/>
    <x v="4"/>
    <n v="75443.520000000004"/>
    <x v="1"/>
    <x v="8"/>
  </r>
  <r>
    <x v="1276"/>
    <s v="Cynthia Smith"/>
    <x v="62"/>
    <x v="1"/>
    <x v="3"/>
    <x v="1264"/>
    <x v="98"/>
    <x v="256"/>
    <x v="3"/>
    <x v="5"/>
    <n v="414345.93"/>
    <x v="0"/>
    <x v="13"/>
  </r>
  <r>
    <x v="1277"/>
    <s v="Doris Smith"/>
    <x v="40"/>
    <x v="1"/>
    <x v="3"/>
    <x v="1265"/>
    <x v="153"/>
    <x v="27"/>
    <x v="6"/>
    <x v="1"/>
    <n v="494768.95"/>
    <x v="2"/>
    <x v="7"/>
  </r>
  <r>
    <x v="1278"/>
    <s v="Ricky Gray"/>
    <x v="56"/>
    <x v="1"/>
    <x v="3"/>
    <x v="1266"/>
    <x v="94"/>
    <x v="307"/>
    <x v="6"/>
    <x v="0"/>
    <n v="358076.65"/>
    <x v="1"/>
    <x v="5"/>
  </r>
  <r>
    <x v="1279"/>
    <s v="David Garcia"/>
    <x v="63"/>
    <x v="0"/>
    <x v="1"/>
    <x v="1267"/>
    <x v="70"/>
    <x v="73"/>
    <x v="1"/>
    <x v="5"/>
    <n v="366335.12"/>
    <x v="0"/>
    <x v="11"/>
  </r>
  <r>
    <x v="1280"/>
    <s v="Megan Everett"/>
    <x v="79"/>
    <x v="0"/>
    <x v="6"/>
    <x v="1268"/>
    <x v="18"/>
    <x v="320"/>
    <x v="8"/>
    <x v="1"/>
    <n v="96313.03"/>
    <x v="2"/>
    <x v="2"/>
  </r>
  <r>
    <x v="1281"/>
    <s v="Kevin Nelson"/>
    <x v="79"/>
    <x v="0"/>
    <x v="5"/>
    <x v="1269"/>
    <x v="254"/>
    <x v="288"/>
    <x v="8"/>
    <x v="1"/>
    <n v="384933.28"/>
    <x v="0"/>
    <x v="13"/>
  </r>
  <r>
    <x v="1282"/>
    <s v="Victoria Guzman"/>
    <x v="80"/>
    <x v="0"/>
    <x v="1"/>
    <x v="1270"/>
    <x v="258"/>
    <x v="300"/>
    <x v="4"/>
    <x v="2"/>
    <n v="249793.09"/>
    <x v="1"/>
    <x v="14"/>
  </r>
  <r>
    <x v="1283"/>
    <s v="John Moss"/>
    <x v="81"/>
    <x v="1"/>
    <x v="2"/>
    <x v="1271"/>
    <x v="182"/>
    <x v="291"/>
    <x v="5"/>
    <x v="4"/>
    <n v="471060.3"/>
    <x v="0"/>
    <x v="3"/>
  </r>
  <r>
    <x v="1284"/>
    <s v="Chris Tanner"/>
    <x v="44"/>
    <x v="0"/>
    <x v="5"/>
    <x v="1272"/>
    <x v="210"/>
    <x v="362"/>
    <x v="8"/>
    <x v="5"/>
    <n v="350602.63"/>
    <x v="1"/>
    <x v="4"/>
  </r>
  <r>
    <x v="1285"/>
    <s v="Veronica Dean"/>
    <x v="23"/>
    <x v="0"/>
    <x v="3"/>
    <x v="1273"/>
    <x v="150"/>
    <x v="100"/>
    <x v="3"/>
    <x v="1"/>
    <n v="164426.81"/>
    <x v="0"/>
    <x v="10"/>
  </r>
  <r>
    <x v="1286"/>
    <s v="Meghan Delacruz"/>
    <x v="44"/>
    <x v="0"/>
    <x v="2"/>
    <x v="1274"/>
    <x v="77"/>
    <x v="245"/>
    <x v="4"/>
    <x v="0"/>
    <n v="326621.84000000003"/>
    <x v="0"/>
    <x v="6"/>
  </r>
  <r>
    <x v="1287"/>
    <s v="Kevin Nash"/>
    <x v="19"/>
    <x v="0"/>
    <x v="1"/>
    <x v="1275"/>
    <x v="97"/>
    <x v="96"/>
    <x v="4"/>
    <x v="3"/>
    <n v="103519.73"/>
    <x v="1"/>
    <x v="13"/>
  </r>
  <r>
    <x v="1288"/>
    <s v="Jessica Garcia"/>
    <x v="30"/>
    <x v="1"/>
    <x v="4"/>
    <x v="1276"/>
    <x v="325"/>
    <x v="105"/>
    <x v="0"/>
    <x v="0"/>
    <n v="191419.95"/>
    <x v="1"/>
    <x v="0"/>
  </r>
  <r>
    <x v="1289"/>
    <s v="Ashley Carlson"/>
    <x v="27"/>
    <x v="1"/>
    <x v="2"/>
    <x v="1277"/>
    <x v="104"/>
    <x v="366"/>
    <x v="1"/>
    <x v="5"/>
    <n v="474070.13"/>
    <x v="2"/>
    <x v="1"/>
  </r>
  <r>
    <x v="1290"/>
    <s v="Steve Salazar"/>
    <x v="19"/>
    <x v="0"/>
    <x v="6"/>
    <x v="1278"/>
    <x v="335"/>
    <x v="18"/>
    <x v="4"/>
    <x v="4"/>
    <n v="245237.88"/>
    <x v="2"/>
    <x v="13"/>
  </r>
  <r>
    <x v="1291"/>
    <s v="Danielle Mcneil"/>
    <x v="60"/>
    <x v="1"/>
    <x v="4"/>
    <x v="1279"/>
    <x v="228"/>
    <x v="351"/>
    <x v="9"/>
    <x v="1"/>
    <n v="196302.73"/>
    <x v="2"/>
    <x v="1"/>
  </r>
  <r>
    <x v="1292"/>
    <s v="James Fleming"/>
    <x v="77"/>
    <x v="1"/>
    <x v="1"/>
    <x v="1280"/>
    <x v="352"/>
    <x v="41"/>
    <x v="8"/>
    <x v="1"/>
    <n v="161083.93"/>
    <x v="0"/>
    <x v="14"/>
  </r>
  <r>
    <x v="1293"/>
    <s v="Mark Cole"/>
    <x v="32"/>
    <x v="0"/>
    <x v="5"/>
    <x v="1281"/>
    <x v="198"/>
    <x v="327"/>
    <x v="8"/>
    <x v="4"/>
    <n v="394975.73"/>
    <x v="1"/>
    <x v="7"/>
  </r>
  <r>
    <x v="1294"/>
    <s v="Ashley Jackson"/>
    <x v="72"/>
    <x v="0"/>
    <x v="4"/>
    <x v="1282"/>
    <x v="297"/>
    <x v="241"/>
    <x v="6"/>
    <x v="3"/>
    <n v="64575.22"/>
    <x v="0"/>
    <x v="1"/>
  </r>
  <r>
    <x v="1295"/>
    <s v="Lauren Cunningham"/>
    <x v="27"/>
    <x v="1"/>
    <x v="0"/>
    <x v="1283"/>
    <x v="193"/>
    <x v="277"/>
    <x v="9"/>
    <x v="4"/>
    <n v="442372.81"/>
    <x v="0"/>
    <x v="9"/>
  </r>
  <r>
    <x v="1296"/>
    <s v="Amanda Hahn"/>
    <x v="81"/>
    <x v="1"/>
    <x v="2"/>
    <x v="1284"/>
    <x v="237"/>
    <x v="337"/>
    <x v="2"/>
    <x v="4"/>
    <n v="491234.65"/>
    <x v="2"/>
    <x v="13"/>
  </r>
  <r>
    <x v="1297"/>
    <s v="Lisa Stone"/>
    <x v="30"/>
    <x v="1"/>
    <x v="6"/>
    <x v="1285"/>
    <x v="116"/>
    <x v="355"/>
    <x v="4"/>
    <x v="1"/>
    <n v="498819.17"/>
    <x v="1"/>
    <x v="0"/>
  </r>
  <r>
    <x v="1298"/>
    <s v="Marilyn David"/>
    <x v="63"/>
    <x v="0"/>
    <x v="3"/>
    <x v="1286"/>
    <x v="80"/>
    <x v="83"/>
    <x v="0"/>
    <x v="3"/>
    <n v="245596.58"/>
    <x v="2"/>
    <x v="14"/>
  </r>
  <r>
    <x v="1299"/>
    <s v="Keith Pitts"/>
    <x v="42"/>
    <x v="0"/>
    <x v="4"/>
    <x v="1287"/>
    <x v="200"/>
    <x v="84"/>
    <x v="8"/>
    <x v="3"/>
    <n v="358175.05"/>
    <x v="1"/>
    <x v="12"/>
  </r>
  <r>
    <x v="1300"/>
    <s v="Bryce Newton"/>
    <x v="62"/>
    <x v="1"/>
    <x v="6"/>
    <x v="1288"/>
    <x v="217"/>
    <x v="220"/>
    <x v="2"/>
    <x v="5"/>
    <n v="52557.79"/>
    <x v="0"/>
    <x v="11"/>
  </r>
  <r>
    <x v="1301"/>
    <s v="Brian Barton"/>
    <x v="82"/>
    <x v="1"/>
    <x v="0"/>
    <x v="1289"/>
    <x v="353"/>
    <x v="367"/>
    <x v="9"/>
    <x v="4"/>
    <n v="41112.589999999997"/>
    <x v="0"/>
    <x v="3"/>
  </r>
  <r>
    <x v="1302"/>
    <s v="Jennifer Barton"/>
    <x v="16"/>
    <x v="0"/>
    <x v="1"/>
    <x v="1290"/>
    <x v="169"/>
    <x v="130"/>
    <x v="8"/>
    <x v="2"/>
    <n v="210659.83"/>
    <x v="0"/>
    <x v="0"/>
  </r>
  <r>
    <x v="1303"/>
    <s v="Ann Reeves"/>
    <x v="27"/>
    <x v="0"/>
    <x v="5"/>
    <x v="1291"/>
    <x v="186"/>
    <x v="190"/>
    <x v="0"/>
    <x v="0"/>
    <n v="293693.93"/>
    <x v="2"/>
    <x v="14"/>
  </r>
  <r>
    <x v="1304"/>
    <s v="Andrea Lewis"/>
    <x v="74"/>
    <x v="0"/>
    <x v="2"/>
    <x v="1292"/>
    <x v="168"/>
    <x v="83"/>
    <x v="9"/>
    <x v="1"/>
    <n v="139154.84"/>
    <x v="1"/>
    <x v="3"/>
  </r>
  <r>
    <x v="1305"/>
    <s v="William Martin"/>
    <x v="63"/>
    <x v="0"/>
    <x v="4"/>
    <x v="1293"/>
    <x v="122"/>
    <x v="191"/>
    <x v="9"/>
    <x v="0"/>
    <n v="64253.3"/>
    <x v="1"/>
    <x v="14"/>
  </r>
  <r>
    <x v="1306"/>
    <s v="Katie Miller"/>
    <x v="68"/>
    <x v="1"/>
    <x v="6"/>
    <x v="1294"/>
    <x v="354"/>
    <x v="34"/>
    <x v="2"/>
    <x v="4"/>
    <n v="422010.05"/>
    <x v="1"/>
    <x v="9"/>
  </r>
  <r>
    <x v="1307"/>
    <s v="Craig Ballard"/>
    <x v="7"/>
    <x v="0"/>
    <x v="5"/>
    <x v="1295"/>
    <x v="306"/>
    <x v="210"/>
    <x v="1"/>
    <x v="3"/>
    <n v="337354.07"/>
    <x v="2"/>
    <x v="10"/>
  </r>
  <r>
    <x v="1308"/>
    <s v="Patty Morris"/>
    <x v="2"/>
    <x v="0"/>
    <x v="3"/>
    <x v="1296"/>
    <x v="107"/>
    <x v="308"/>
    <x v="2"/>
    <x v="5"/>
    <n v="425902.18"/>
    <x v="1"/>
    <x v="1"/>
  </r>
  <r>
    <x v="1309"/>
    <s v="Grace Simmons"/>
    <x v="15"/>
    <x v="0"/>
    <x v="4"/>
    <x v="1297"/>
    <x v="121"/>
    <x v="165"/>
    <x v="0"/>
    <x v="0"/>
    <n v="5501.57"/>
    <x v="1"/>
    <x v="11"/>
  </r>
  <r>
    <x v="1310"/>
    <s v="Michelle Williams"/>
    <x v="78"/>
    <x v="1"/>
    <x v="1"/>
    <x v="1298"/>
    <x v="221"/>
    <x v="234"/>
    <x v="9"/>
    <x v="3"/>
    <n v="54623.51"/>
    <x v="1"/>
    <x v="6"/>
  </r>
  <r>
    <x v="1311"/>
    <s v="Dan Jones"/>
    <x v="73"/>
    <x v="1"/>
    <x v="6"/>
    <x v="894"/>
    <x v="341"/>
    <x v="313"/>
    <x v="5"/>
    <x v="1"/>
    <n v="311605.43"/>
    <x v="1"/>
    <x v="1"/>
  </r>
  <r>
    <x v="1312"/>
    <s v="Richard Arellano"/>
    <x v="5"/>
    <x v="1"/>
    <x v="5"/>
    <x v="1202"/>
    <x v="33"/>
    <x v="24"/>
    <x v="4"/>
    <x v="3"/>
    <n v="378286.42"/>
    <x v="2"/>
    <x v="1"/>
  </r>
  <r>
    <x v="1313"/>
    <s v="Mrs. Kathleen Anderson DDS"/>
    <x v="38"/>
    <x v="0"/>
    <x v="6"/>
    <x v="1299"/>
    <x v="86"/>
    <x v="41"/>
    <x v="1"/>
    <x v="3"/>
    <n v="135541.21"/>
    <x v="1"/>
    <x v="8"/>
  </r>
  <r>
    <x v="1314"/>
    <s v="Michelle Stewart"/>
    <x v="56"/>
    <x v="0"/>
    <x v="6"/>
    <x v="1300"/>
    <x v="82"/>
    <x v="332"/>
    <x v="2"/>
    <x v="0"/>
    <n v="64830.05"/>
    <x v="1"/>
    <x v="3"/>
  </r>
  <r>
    <x v="1315"/>
    <s v="Cathy Gardner"/>
    <x v="84"/>
    <x v="0"/>
    <x v="5"/>
    <x v="1301"/>
    <x v="337"/>
    <x v="49"/>
    <x v="9"/>
    <x v="1"/>
    <n v="444079.2"/>
    <x v="2"/>
    <x v="14"/>
  </r>
  <r>
    <x v="1316"/>
    <s v="Mark Mcintosh"/>
    <x v="12"/>
    <x v="0"/>
    <x v="6"/>
    <x v="642"/>
    <x v="261"/>
    <x v="132"/>
    <x v="3"/>
    <x v="0"/>
    <n v="33504.93"/>
    <x v="1"/>
    <x v="6"/>
  </r>
  <r>
    <x v="1317"/>
    <s v="Shirley Hood"/>
    <x v="12"/>
    <x v="1"/>
    <x v="0"/>
    <x v="1302"/>
    <x v="82"/>
    <x v="85"/>
    <x v="2"/>
    <x v="5"/>
    <n v="35422.089999999997"/>
    <x v="1"/>
    <x v="8"/>
  </r>
  <r>
    <x v="1318"/>
    <s v="Dillon Grant"/>
    <x v="31"/>
    <x v="1"/>
    <x v="1"/>
    <x v="1303"/>
    <x v="59"/>
    <x v="16"/>
    <x v="9"/>
    <x v="5"/>
    <n v="179680.51"/>
    <x v="1"/>
    <x v="7"/>
  </r>
  <r>
    <x v="1319"/>
    <s v="Debbie Wallace"/>
    <x v="48"/>
    <x v="0"/>
    <x v="1"/>
    <x v="1304"/>
    <x v="138"/>
    <x v="361"/>
    <x v="1"/>
    <x v="0"/>
    <n v="414134.04"/>
    <x v="1"/>
    <x v="1"/>
  </r>
  <r>
    <x v="1320"/>
    <s v="Gregory Edwards"/>
    <x v="0"/>
    <x v="0"/>
    <x v="1"/>
    <x v="1305"/>
    <x v="64"/>
    <x v="206"/>
    <x v="6"/>
    <x v="1"/>
    <n v="392841"/>
    <x v="0"/>
    <x v="10"/>
  </r>
  <r>
    <x v="1321"/>
    <s v="Joseph Mays"/>
    <x v="77"/>
    <x v="0"/>
    <x v="0"/>
    <x v="1306"/>
    <x v="326"/>
    <x v="125"/>
    <x v="3"/>
    <x v="5"/>
    <n v="221631.49"/>
    <x v="1"/>
    <x v="10"/>
  </r>
  <r>
    <x v="1322"/>
    <s v="Jessica Bowers"/>
    <x v="39"/>
    <x v="0"/>
    <x v="0"/>
    <x v="1307"/>
    <x v="266"/>
    <x v="28"/>
    <x v="1"/>
    <x v="1"/>
    <n v="85870.02"/>
    <x v="0"/>
    <x v="0"/>
  </r>
  <r>
    <x v="1323"/>
    <s v="Timothy Gonzalez"/>
    <x v="86"/>
    <x v="1"/>
    <x v="1"/>
    <x v="1308"/>
    <x v="230"/>
    <x v="12"/>
    <x v="6"/>
    <x v="4"/>
    <n v="305835.57"/>
    <x v="1"/>
    <x v="12"/>
  </r>
  <r>
    <x v="1324"/>
    <s v="Christina Rogers"/>
    <x v="8"/>
    <x v="1"/>
    <x v="5"/>
    <x v="1309"/>
    <x v="282"/>
    <x v="318"/>
    <x v="8"/>
    <x v="4"/>
    <n v="485052.48"/>
    <x v="0"/>
    <x v="11"/>
  </r>
  <r>
    <x v="1325"/>
    <s v="Matthew Collins"/>
    <x v="18"/>
    <x v="0"/>
    <x v="5"/>
    <x v="1310"/>
    <x v="68"/>
    <x v="199"/>
    <x v="6"/>
    <x v="0"/>
    <n v="358197.84"/>
    <x v="2"/>
    <x v="8"/>
  </r>
  <r>
    <x v="1326"/>
    <s v="Teresa Robinson DVM"/>
    <x v="11"/>
    <x v="1"/>
    <x v="0"/>
    <x v="1311"/>
    <x v="210"/>
    <x v="146"/>
    <x v="5"/>
    <x v="1"/>
    <n v="438689.71"/>
    <x v="2"/>
    <x v="8"/>
  </r>
  <r>
    <x v="1327"/>
    <s v="Tammy Smith"/>
    <x v="38"/>
    <x v="0"/>
    <x v="2"/>
    <x v="1312"/>
    <x v="120"/>
    <x v="211"/>
    <x v="9"/>
    <x v="0"/>
    <n v="251166.24"/>
    <x v="0"/>
    <x v="3"/>
  </r>
  <r>
    <x v="1328"/>
    <s v="Sean Sutton"/>
    <x v="46"/>
    <x v="0"/>
    <x v="1"/>
    <x v="1313"/>
    <x v="146"/>
    <x v="228"/>
    <x v="5"/>
    <x v="4"/>
    <n v="33355.64"/>
    <x v="2"/>
    <x v="7"/>
  </r>
  <r>
    <x v="1329"/>
    <s v="Sharon Brewer"/>
    <x v="43"/>
    <x v="0"/>
    <x v="2"/>
    <x v="694"/>
    <x v="321"/>
    <x v="316"/>
    <x v="4"/>
    <x v="4"/>
    <n v="229194.6"/>
    <x v="2"/>
    <x v="2"/>
  </r>
  <r>
    <x v="1330"/>
    <s v="Mary Rogers"/>
    <x v="16"/>
    <x v="0"/>
    <x v="6"/>
    <x v="1314"/>
    <x v="334"/>
    <x v="159"/>
    <x v="3"/>
    <x v="4"/>
    <n v="172350.72"/>
    <x v="0"/>
    <x v="11"/>
  </r>
  <r>
    <x v="1331"/>
    <s v="Robin Baldwin"/>
    <x v="37"/>
    <x v="1"/>
    <x v="4"/>
    <x v="1315"/>
    <x v="61"/>
    <x v="34"/>
    <x v="2"/>
    <x v="3"/>
    <n v="427334.38"/>
    <x v="2"/>
    <x v="5"/>
  </r>
  <r>
    <x v="1332"/>
    <s v="Cathy Rogers"/>
    <x v="52"/>
    <x v="1"/>
    <x v="3"/>
    <x v="1316"/>
    <x v="220"/>
    <x v="83"/>
    <x v="9"/>
    <x v="3"/>
    <n v="473423.59"/>
    <x v="1"/>
    <x v="8"/>
  </r>
  <r>
    <x v="1333"/>
    <s v="Mrs. Carla Martin MD"/>
    <x v="50"/>
    <x v="0"/>
    <x v="6"/>
    <x v="1317"/>
    <x v="6"/>
    <x v="333"/>
    <x v="2"/>
    <x v="1"/>
    <n v="452702.05"/>
    <x v="0"/>
    <x v="0"/>
  </r>
  <r>
    <x v="1334"/>
    <s v="Tiffany Kirk"/>
    <x v="59"/>
    <x v="1"/>
    <x v="4"/>
    <x v="1318"/>
    <x v="176"/>
    <x v="178"/>
    <x v="2"/>
    <x v="0"/>
    <n v="438648.88"/>
    <x v="2"/>
    <x v="5"/>
  </r>
  <r>
    <x v="1335"/>
    <s v="Sarah Morris"/>
    <x v="37"/>
    <x v="1"/>
    <x v="6"/>
    <x v="1319"/>
    <x v="182"/>
    <x v="285"/>
    <x v="8"/>
    <x v="2"/>
    <n v="371754.04"/>
    <x v="2"/>
    <x v="0"/>
  </r>
  <r>
    <x v="1336"/>
    <s v="Christine Silva"/>
    <x v="45"/>
    <x v="0"/>
    <x v="1"/>
    <x v="1320"/>
    <x v="156"/>
    <x v="151"/>
    <x v="3"/>
    <x v="4"/>
    <n v="92724.44"/>
    <x v="2"/>
    <x v="9"/>
  </r>
  <r>
    <x v="1337"/>
    <s v="Steven Barrera"/>
    <x v="13"/>
    <x v="0"/>
    <x v="6"/>
    <x v="1321"/>
    <x v="37"/>
    <x v="280"/>
    <x v="5"/>
    <x v="3"/>
    <n v="218893.65"/>
    <x v="2"/>
    <x v="11"/>
  </r>
  <r>
    <x v="1338"/>
    <s v="Leah Jones"/>
    <x v="4"/>
    <x v="0"/>
    <x v="1"/>
    <x v="1322"/>
    <x v="69"/>
    <x v="299"/>
    <x v="4"/>
    <x v="0"/>
    <n v="243961.18"/>
    <x v="2"/>
    <x v="7"/>
  </r>
  <r>
    <x v="1339"/>
    <s v="Sarah Cox"/>
    <x v="51"/>
    <x v="0"/>
    <x v="3"/>
    <x v="1323"/>
    <x v="89"/>
    <x v="222"/>
    <x v="8"/>
    <x v="2"/>
    <n v="442772.38"/>
    <x v="1"/>
    <x v="3"/>
  </r>
  <r>
    <x v="1340"/>
    <s v="Carlos Welch"/>
    <x v="66"/>
    <x v="0"/>
    <x v="2"/>
    <x v="1324"/>
    <x v="165"/>
    <x v="339"/>
    <x v="2"/>
    <x v="3"/>
    <n v="372853.67"/>
    <x v="2"/>
    <x v="7"/>
  </r>
  <r>
    <x v="1341"/>
    <s v="Edward Murray"/>
    <x v="35"/>
    <x v="1"/>
    <x v="1"/>
    <x v="1325"/>
    <x v="282"/>
    <x v="268"/>
    <x v="0"/>
    <x v="5"/>
    <n v="410132.49"/>
    <x v="2"/>
    <x v="7"/>
  </r>
  <r>
    <x v="1342"/>
    <s v="Donna Clark"/>
    <x v="50"/>
    <x v="0"/>
    <x v="1"/>
    <x v="1326"/>
    <x v="315"/>
    <x v="245"/>
    <x v="7"/>
    <x v="5"/>
    <n v="354699.38"/>
    <x v="2"/>
    <x v="14"/>
  </r>
  <r>
    <x v="1343"/>
    <s v="Douglas Townsend"/>
    <x v="14"/>
    <x v="1"/>
    <x v="3"/>
    <x v="1327"/>
    <x v="287"/>
    <x v="348"/>
    <x v="2"/>
    <x v="1"/>
    <n v="424042.63"/>
    <x v="1"/>
    <x v="1"/>
  </r>
  <r>
    <x v="1344"/>
    <s v="Laurie Porter"/>
    <x v="27"/>
    <x v="0"/>
    <x v="0"/>
    <x v="1328"/>
    <x v="183"/>
    <x v="160"/>
    <x v="2"/>
    <x v="1"/>
    <n v="313597.56"/>
    <x v="2"/>
    <x v="0"/>
  </r>
  <r>
    <x v="1345"/>
    <s v="Mr. Douglas Reyes"/>
    <x v="53"/>
    <x v="0"/>
    <x v="5"/>
    <x v="1329"/>
    <x v="9"/>
    <x v="189"/>
    <x v="5"/>
    <x v="1"/>
    <n v="353237.19"/>
    <x v="1"/>
    <x v="14"/>
  </r>
  <r>
    <x v="1346"/>
    <s v="Christopher Knapp"/>
    <x v="8"/>
    <x v="1"/>
    <x v="6"/>
    <x v="1330"/>
    <x v="140"/>
    <x v="146"/>
    <x v="3"/>
    <x v="2"/>
    <n v="54578.92"/>
    <x v="0"/>
    <x v="5"/>
  </r>
  <r>
    <x v="1347"/>
    <s v="Wayne Martinez"/>
    <x v="80"/>
    <x v="0"/>
    <x v="5"/>
    <x v="1331"/>
    <x v="330"/>
    <x v="300"/>
    <x v="6"/>
    <x v="1"/>
    <n v="469882.05"/>
    <x v="1"/>
    <x v="13"/>
  </r>
  <r>
    <x v="1348"/>
    <s v="Christina Patterson"/>
    <x v="85"/>
    <x v="1"/>
    <x v="2"/>
    <x v="1332"/>
    <x v="104"/>
    <x v="69"/>
    <x v="8"/>
    <x v="3"/>
    <n v="493178.7"/>
    <x v="1"/>
    <x v="10"/>
  </r>
  <r>
    <x v="1349"/>
    <s v="Andrew Strickland"/>
    <x v="63"/>
    <x v="1"/>
    <x v="2"/>
    <x v="1333"/>
    <x v="197"/>
    <x v="115"/>
    <x v="0"/>
    <x v="3"/>
    <n v="418188.37"/>
    <x v="0"/>
    <x v="0"/>
  </r>
  <r>
    <x v="1350"/>
    <s v="Michael Martinez"/>
    <x v="30"/>
    <x v="0"/>
    <x v="5"/>
    <x v="1334"/>
    <x v="108"/>
    <x v="305"/>
    <x v="9"/>
    <x v="4"/>
    <n v="282939.42"/>
    <x v="2"/>
    <x v="12"/>
  </r>
  <r>
    <x v="1351"/>
    <s v="Lindsay Newton"/>
    <x v="77"/>
    <x v="0"/>
    <x v="1"/>
    <x v="1335"/>
    <x v="355"/>
    <x v="135"/>
    <x v="4"/>
    <x v="4"/>
    <n v="169108.44"/>
    <x v="0"/>
    <x v="11"/>
  </r>
  <r>
    <x v="1352"/>
    <s v="Dylan Newton"/>
    <x v="20"/>
    <x v="1"/>
    <x v="2"/>
    <x v="1336"/>
    <x v="77"/>
    <x v="26"/>
    <x v="8"/>
    <x v="2"/>
    <n v="456240.02"/>
    <x v="0"/>
    <x v="4"/>
  </r>
  <r>
    <x v="1353"/>
    <s v="Adam Price"/>
    <x v="49"/>
    <x v="1"/>
    <x v="5"/>
    <x v="1337"/>
    <x v="119"/>
    <x v="220"/>
    <x v="1"/>
    <x v="5"/>
    <n v="297502.57"/>
    <x v="1"/>
    <x v="13"/>
  </r>
  <r>
    <x v="1354"/>
    <s v="David Boyd"/>
    <x v="11"/>
    <x v="1"/>
    <x v="0"/>
    <x v="1338"/>
    <x v="81"/>
    <x v="172"/>
    <x v="9"/>
    <x v="4"/>
    <n v="223290.26"/>
    <x v="2"/>
    <x v="10"/>
  </r>
  <r>
    <x v="1355"/>
    <s v="Travis Coleman"/>
    <x v="64"/>
    <x v="0"/>
    <x v="4"/>
    <x v="1339"/>
    <x v="255"/>
    <x v="161"/>
    <x v="4"/>
    <x v="5"/>
    <n v="489678.18"/>
    <x v="2"/>
    <x v="13"/>
  </r>
  <r>
    <x v="1356"/>
    <s v="Marie Greer"/>
    <x v="58"/>
    <x v="0"/>
    <x v="4"/>
    <x v="1340"/>
    <x v="143"/>
    <x v="95"/>
    <x v="6"/>
    <x v="2"/>
    <n v="198450.16"/>
    <x v="2"/>
    <x v="0"/>
  </r>
  <r>
    <x v="1357"/>
    <s v="Jessica Hughes"/>
    <x v="9"/>
    <x v="1"/>
    <x v="1"/>
    <x v="1341"/>
    <x v="81"/>
    <x v="196"/>
    <x v="5"/>
    <x v="1"/>
    <n v="398312.79"/>
    <x v="0"/>
    <x v="5"/>
  </r>
  <r>
    <x v="1358"/>
    <s v="Matthew Peters"/>
    <x v="16"/>
    <x v="0"/>
    <x v="2"/>
    <x v="1342"/>
    <x v="138"/>
    <x v="331"/>
    <x v="1"/>
    <x v="2"/>
    <n v="146071.01"/>
    <x v="0"/>
    <x v="13"/>
  </r>
  <r>
    <x v="1359"/>
    <s v="Patricia Russell"/>
    <x v="81"/>
    <x v="0"/>
    <x v="1"/>
    <x v="1343"/>
    <x v="72"/>
    <x v="266"/>
    <x v="5"/>
    <x v="0"/>
    <n v="402783.91"/>
    <x v="2"/>
    <x v="3"/>
  </r>
  <r>
    <x v="1360"/>
    <s v="Richard Berg"/>
    <x v="48"/>
    <x v="1"/>
    <x v="6"/>
    <x v="1344"/>
    <x v="16"/>
    <x v="331"/>
    <x v="2"/>
    <x v="1"/>
    <n v="77393.210000000006"/>
    <x v="2"/>
    <x v="11"/>
  </r>
  <r>
    <x v="1361"/>
    <s v="Amanda Francis"/>
    <x v="62"/>
    <x v="1"/>
    <x v="5"/>
    <x v="1345"/>
    <x v="196"/>
    <x v="261"/>
    <x v="4"/>
    <x v="2"/>
    <n v="215651.73"/>
    <x v="0"/>
    <x v="5"/>
  </r>
  <r>
    <x v="1362"/>
    <s v="Albert Ward"/>
    <x v="15"/>
    <x v="0"/>
    <x v="0"/>
    <x v="1346"/>
    <x v="257"/>
    <x v="61"/>
    <x v="4"/>
    <x v="5"/>
    <n v="488693.98"/>
    <x v="1"/>
    <x v="5"/>
  </r>
  <r>
    <x v="1363"/>
    <s v="Jennifer Beck"/>
    <x v="15"/>
    <x v="1"/>
    <x v="6"/>
    <x v="540"/>
    <x v="301"/>
    <x v="339"/>
    <x v="5"/>
    <x v="1"/>
    <n v="95146.68"/>
    <x v="0"/>
    <x v="0"/>
  </r>
  <r>
    <x v="1364"/>
    <s v="John Stewart"/>
    <x v="23"/>
    <x v="1"/>
    <x v="2"/>
    <x v="1347"/>
    <x v="70"/>
    <x v="73"/>
    <x v="0"/>
    <x v="0"/>
    <n v="288457.43"/>
    <x v="1"/>
    <x v="11"/>
  </r>
  <r>
    <x v="1365"/>
    <s v="James Randall"/>
    <x v="76"/>
    <x v="1"/>
    <x v="3"/>
    <x v="1348"/>
    <x v="150"/>
    <x v="242"/>
    <x v="0"/>
    <x v="3"/>
    <n v="484524.27"/>
    <x v="2"/>
    <x v="12"/>
  </r>
  <r>
    <x v="1366"/>
    <s v="Mrs. Stacey Miller DDS"/>
    <x v="29"/>
    <x v="0"/>
    <x v="2"/>
    <x v="1349"/>
    <x v="277"/>
    <x v="121"/>
    <x v="4"/>
    <x v="2"/>
    <n v="53908.26"/>
    <x v="2"/>
    <x v="5"/>
  </r>
  <r>
    <x v="1367"/>
    <s v="Mark Smith"/>
    <x v="87"/>
    <x v="0"/>
    <x v="1"/>
    <x v="1350"/>
    <x v="287"/>
    <x v="307"/>
    <x v="0"/>
    <x v="0"/>
    <n v="275294.99"/>
    <x v="2"/>
    <x v="0"/>
  </r>
  <r>
    <x v="1368"/>
    <s v="Scott Conner"/>
    <x v="84"/>
    <x v="0"/>
    <x v="5"/>
    <x v="1351"/>
    <x v="111"/>
    <x v="55"/>
    <x v="2"/>
    <x v="3"/>
    <n v="151649.98000000001"/>
    <x v="2"/>
    <x v="2"/>
  </r>
  <r>
    <x v="1369"/>
    <s v="Zachary Coffey"/>
    <x v="45"/>
    <x v="0"/>
    <x v="3"/>
    <x v="1352"/>
    <x v="48"/>
    <x v="107"/>
    <x v="2"/>
    <x v="3"/>
    <n v="346390.89"/>
    <x v="2"/>
    <x v="1"/>
  </r>
  <r>
    <x v="1370"/>
    <s v="Nichole Brady"/>
    <x v="51"/>
    <x v="1"/>
    <x v="2"/>
    <x v="1353"/>
    <x v="13"/>
    <x v="53"/>
    <x v="1"/>
    <x v="0"/>
    <n v="238952.88"/>
    <x v="1"/>
    <x v="5"/>
  </r>
  <r>
    <x v="1371"/>
    <s v="Chad Padilla"/>
    <x v="81"/>
    <x v="0"/>
    <x v="0"/>
    <x v="1354"/>
    <x v="288"/>
    <x v="229"/>
    <x v="7"/>
    <x v="4"/>
    <n v="190404.58"/>
    <x v="2"/>
    <x v="12"/>
  </r>
  <r>
    <x v="1372"/>
    <s v="Matthew Jackson"/>
    <x v="33"/>
    <x v="1"/>
    <x v="1"/>
    <x v="1355"/>
    <x v="78"/>
    <x v="177"/>
    <x v="6"/>
    <x v="3"/>
    <n v="157914.68"/>
    <x v="2"/>
    <x v="12"/>
  </r>
  <r>
    <x v="1373"/>
    <s v="Kelly Fitzgerald"/>
    <x v="52"/>
    <x v="1"/>
    <x v="1"/>
    <x v="1356"/>
    <x v="348"/>
    <x v="198"/>
    <x v="7"/>
    <x v="5"/>
    <n v="130272.19"/>
    <x v="2"/>
    <x v="11"/>
  </r>
  <r>
    <x v="1374"/>
    <s v="James Combs"/>
    <x v="43"/>
    <x v="0"/>
    <x v="3"/>
    <x v="1357"/>
    <x v="157"/>
    <x v="118"/>
    <x v="8"/>
    <x v="2"/>
    <n v="313694.67"/>
    <x v="1"/>
    <x v="5"/>
  </r>
  <r>
    <x v="1375"/>
    <s v="Anthony Ibarra"/>
    <x v="66"/>
    <x v="1"/>
    <x v="4"/>
    <x v="1358"/>
    <x v="319"/>
    <x v="270"/>
    <x v="7"/>
    <x v="3"/>
    <n v="493619.59"/>
    <x v="0"/>
    <x v="11"/>
  </r>
  <r>
    <x v="1376"/>
    <s v="Luis Hudson"/>
    <x v="59"/>
    <x v="0"/>
    <x v="2"/>
    <x v="1359"/>
    <x v="82"/>
    <x v="106"/>
    <x v="1"/>
    <x v="2"/>
    <n v="265760.74"/>
    <x v="2"/>
    <x v="7"/>
  </r>
  <r>
    <x v="1377"/>
    <s v="Gwendolyn Schwartz"/>
    <x v="42"/>
    <x v="1"/>
    <x v="4"/>
    <x v="1360"/>
    <x v="242"/>
    <x v="269"/>
    <x v="7"/>
    <x v="3"/>
    <n v="133387.69"/>
    <x v="0"/>
    <x v="9"/>
  </r>
  <r>
    <x v="1378"/>
    <s v="Michael Woods"/>
    <x v="69"/>
    <x v="0"/>
    <x v="1"/>
    <x v="1361"/>
    <x v="69"/>
    <x v="72"/>
    <x v="3"/>
    <x v="1"/>
    <n v="75184.27"/>
    <x v="2"/>
    <x v="4"/>
  </r>
  <r>
    <x v="1379"/>
    <s v="Brandon Baldwin"/>
    <x v="87"/>
    <x v="1"/>
    <x v="3"/>
    <x v="1362"/>
    <x v="314"/>
    <x v="140"/>
    <x v="5"/>
    <x v="4"/>
    <n v="274795.43"/>
    <x v="0"/>
    <x v="9"/>
  </r>
  <r>
    <x v="1380"/>
    <s v="Lisa Martinez"/>
    <x v="58"/>
    <x v="0"/>
    <x v="3"/>
    <x v="1363"/>
    <x v="299"/>
    <x v="36"/>
    <x v="1"/>
    <x v="2"/>
    <n v="415527.83"/>
    <x v="2"/>
    <x v="10"/>
  </r>
  <r>
    <x v="1381"/>
    <s v="Amber Owens"/>
    <x v="59"/>
    <x v="1"/>
    <x v="6"/>
    <x v="1364"/>
    <x v="247"/>
    <x v="306"/>
    <x v="8"/>
    <x v="5"/>
    <n v="336635.26"/>
    <x v="2"/>
    <x v="6"/>
  </r>
  <r>
    <x v="1382"/>
    <s v="Brenda Reyes"/>
    <x v="46"/>
    <x v="1"/>
    <x v="2"/>
    <x v="1365"/>
    <x v="35"/>
    <x v="95"/>
    <x v="8"/>
    <x v="0"/>
    <n v="465882.32"/>
    <x v="2"/>
    <x v="13"/>
  </r>
  <r>
    <x v="1383"/>
    <s v="Elizabeth Flores"/>
    <x v="13"/>
    <x v="1"/>
    <x v="1"/>
    <x v="1366"/>
    <x v="103"/>
    <x v="316"/>
    <x v="1"/>
    <x v="5"/>
    <n v="138973.87"/>
    <x v="1"/>
    <x v="12"/>
  </r>
  <r>
    <x v="1384"/>
    <s v="Mary Norris"/>
    <x v="32"/>
    <x v="0"/>
    <x v="4"/>
    <x v="1367"/>
    <x v="148"/>
    <x v="96"/>
    <x v="2"/>
    <x v="3"/>
    <n v="265354.21999999997"/>
    <x v="0"/>
    <x v="2"/>
  </r>
  <r>
    <x v="1385"/>
    <s v="Heather Flynn"/>
    <x v="85"/>
    <x v="0"/>
    <x v="2"/>
    <x v="1368"/>
    <x v="224"/>
    <x v="116"/>
    <x v="4"/>
    <x v="2"/>
    <n v="465931.7"/>
    <x v="0"/>
    <x v="4"/>
  </r>
  <r>
    <x v="1386"/>
    <s v="Mark Knight"/>
    <x v="76"/>
    <x v="1"/>
    <x v="2"/>
    <x v="1369"/>
    <x v="183"/>
    <x v="361"/>
    <x v="6"/>
    <x v="3"/>
    <n v="37245.46"/>
    <x v="2"/>
    <x v="5"/>
  </r>
  <r>
    <x v="1387"/>
    <s v="Joshua Brown"/>
    <x v="60"/>
    <x v="0"/>
    <x v="5"/>
    <x v="1370"/>
    <x v="133"/>
    <x v="236"/>
    <x v="3"/>
    <x v="1"/>
    <n v="227808.45"/>
    <x v="0"/>
    <x v="14"/>
  </r>
  <r>
    <x v="1388"/>
    <s v="Linda Lewis"/>
    <x v="55"/>
    <x v="0"/>
    <x v="6"/>
    <x v="1371"/>
    <x v="235"/>
    <x v="110"/>
    <x v="8"/>
    <x v="4"/>
    <n v="223806.29"/>
    <x v="1"/>
    <x v="5"/>
  </r>
  <r>
    <x v="1389"/>
    <s v="Joyce Carr"/>
    <x v="20"/>
    <x v="1"/>
    <x v="0"/>
    <x v="1372"/>
    <x v="17"/>
    <x v="130"/>
    <x v="6"/>
    <x v="1"/>
    <n v="308177.09000000003"/>
    <x v="0"/>
    <x v="13"/>
  </r>
  <r>
    <x v="1390"/>
    <s v="Russell Yates"/>
    <x v="23"/>
    <x v="1"/>
    <x v="2"/>
    <x v="1373"/>
    <x v="308"/>
    <x v="267"/>
    <x v="0"/>
    <x v="4"/>
    <n v="199794.73"/>
    <x v="1"/>
    <x v="6"/>
  </r>
  <r>
    <x v="1391"/>
    <s v="Cheyenne Jennings"/>
    <x v="70"/>
    <x v="1"/>
    <x v="5"/>
    <x v="1374"/>
    <x v="157"/>
    <x v="66"/>
    <x v="5"/>
    <x v="5"/>
    <n v="169243.07"/>
    <x v="0"/>
    <x v="2"/>
  </r>
  <r>
    <x v="1392"/>
    <s v="Scott Davis"/>
    <x v="49"/>
    <x v="1"/>
    <x v="1"/>
    <x v="516"/>
    <x v="335"/>
    <x v="260"/>
    <x v="3"/>
    <x v="3"/>
    <n v="78760.98"/>
    <x v="1"/>
    <x v="1"/>
  </r>
  <r>
    <x v="1393"/>
    <s v="Gabriel Gilbert"/>
    <x v="85"/>
    <x v="1"/>
    <x v="4"/>
    <x v="1375"/>
    <x v="152"/>
    <x v="26"/>
    <x v="3"/>
    <x v="2"/>
    <n v="303251.38"/>
    <x v="1"/>
    <x v="9"/>
  </r>
  <r>
    <x v="1394"/>
    <s v="Julia Foster"/>
    <x v="6"/>
    <x v="1"/>
    <x v="1"/>
    <x v="1376"/>
    <x v="272"/>
    <x v="272"/>
    <x v="6"/>
    <x v="4"/>
    <n v="127566.18"/>
    <x v="2"/>
    <x v="3"/>
  </r>
  <r>
    <x v="1395"/>
    <s v="Alexis Martinez"/>
    <x v="27"/>
    <x v="0"/>
    <x v="4"/>
    <x v="249"/>
    <x v="155"/>
    <x v="159"/>
    <x v="3"/>
    <x v="2"/>
    <n v="488847.21"/>
    <x v="2"/>
    <x v="5"/>
  </r>
  <r>
    <x v="1396"/>
    <s v="Tiffany Bryant"/>
    <x v="63"/>
    <x v="0"/>
    <x v="2"/>
    <x v="1377"/>
    <x v="340"/>
    <x v="230"/>
    <x v="2"/>
    <x v="3"/>
    <n v="281822.82"/>
    <x v="0"/>
    <x v="3"/>
  </r>
  <r>
    <x v="1397"/>
    <s v="James Bowen MD"/>
    <x v="64"/>
    <x v="0"/>
    <x v="6"/>
    <x v="1378"/>
    <x v="160"/>
    <x v="151"/>
    <x v="3"/>
    <x v="1"/>
    <n v="160459.49"/>
    <x v="2"/>
    <x v="3"/>
  </r>
  <r>
    <x v="1398"/>
    <s v="Danielle Smith"/>
    <x v="53"/>
    <x v="1"/>
    <x v="4"/>
    <x v="1379"/>
    <x v="235"/>
    <x v="95"/>
    <x v="5"/>
    <x v="5"/>
    <n v="139913.49"/>
    <x v="2"/>
    <x v="10"/>
  </r>
  <r>
    <x v="1399"/>
    <s v="Amy Foley"/>
    <x v="24"/>
    <x v="0"/>
    <x v="1"/>
    <x v="1380"/>
    <x v="74"/>
    <x v="36"/>
    <x v="6"/>
    <x v="2"/>
    <n v="11946.26"/>
    <x v="2"/>
    <x v="14"/>
  </r>
  <r>
    <x v="1400"/>
    <s v="Wanda Guerra"/>
    <x v="40"/>
    <x v="0"/>
    <x v="3"/>
    <x v="1381"/>
    <x v="252"/>
    <x v="133"/>
    <x v="6"/>
    <x v="2"/>
    <n v="74301.009999999995"/>
    <x v="1"/>
    <x v="3"/>
  </r>
  <r>
    <x v="1401"/>
    <s v="Amanda Goodman"/>
    <x v="19"/>
    <x v="0"/>
    <x v="4"/>
    <x v="1382"/>
    <x v="115"/>
    <x v="341"/>
    <x v="4"/>
    <x v="2"/>
    <n v="32422.14"/>
    <x v="2"/>
    <x v="9"/>
  </r>
  <r>
    <x v="1402"/>
    <s v="Kimberly Jones"/>
    <x v="74"/>
    <x v="0"/>
    <x v="3"/>
    <x v="1383"/>
    <x v="40"/>
    <x v="304"/>
    <x v="5"/>
    <x v="1"/>
    <n v="492594.93"/>
    <x v="0"/>
    <x v="5"/>
  </r>
  <r>
    <x v="1403"/>
    <s v="Jay Fowler"/>
    <x v="60"/>
    <x v="0"/>
    <x v="6"/>
    <x v="1384"/>
    <x v="260"/>
    <x v="59"/>
    <x v="5"/>
    <x v="1"/>
    <n v="429096.34"/>
    <x v="1"/>
    <x v="0"/>
  </r>
  <r>
    <x v="1404"/>
    <s v="Christine Singh"/>
    <x v="41"/>
    <x v="1"/>
    <x v="2"/>
    <x v="1385"/>
    <x v="346"/>
    <x v="293"/>
    <x v="8"/>
    <x v="2"/>
    <n v="313485.42"/>
    <x v="2"/>
    <x v="2"/>
  </r>
  <r>
    <x v="1405"/>
    <s v="Lance Cabrera"/>
    <x v="14"/>
    <x v="0"/>
    <x v="3"/>
    <x v="1386"/>
    <x v="1"/>
    <x v="96"/>
    <x v="1"/>
    <x v="5"/>
    <n v="230643.64"/>
    <x v="2"/>
    <x v="10"/>
  </r>
  <r>
    <x v="1406"/>
    <s v="Jacob Baker"/>
    <x v="85"/>
    <x v="1"/>
    <x v="2"/>
    <x v="1387"/>
    <x v="52"/>
    <x v="71"/>
    <x v="0"/>
    <x v="1"/>
    <n v="159118.32999999999"/>
    <x v="0"/>
    <x v="1"/>
  </r>
  <r>
    <x v="1407"/>
    <s v="Melissa Wheeler"/>
    <x v="46"/>
    <x v="1"/>
    <x v="2"/>
    <x v="1388"/>
    <x v="174"/>
    <x v="140"/>
    <x v="2"/>
    <x v="2"/>
    <n v="411293.69"/>
    <x v="0"/>
    <x v="5"/>
  </r>
  <r>
    <x v="1408"/>
    <s v="Christina Vincent"/>
    <x v="40"/>
    <x v="0"/>
    <x v="4"/>
    <x v="1389"/>
    <x v="133"/>
    <x v="141"/>
    <x v="1"/>
    <x v="1"/>
    <n v="47846.79"/>
    <x v="1"/>
    <x v="3"/>
  </r>
  <r>
    <x v="1409"/>
    <s v="Nathan West"/>
    <x v="27"/>
    <x v="1"/>
    <x v="6"/>
    <x v="1390"/>
    <x v="301"/>
    <x v="309"/>
    <x v="5"/>
    <x v="3"/>
    <n v="111388.16"/>
    <x v="1"/>
    <x v="5"/>
  </r>
  <r>
    <x v="1410"/>
    <s v="Rachel Flynn DVM"/>
    <x v="45"/>
    <x v="0"/>
    <x v="3"/>
    <x v="1391"/>
    <x v="53"/>
    <x v="334"/>
    <x v="9"/>
    <x v="4"/>
    <n v="268945.32"/>
    <x v="0"/>
    <x v="3"/>
  </r>
  <r>
    <x v="1411"/>
    <s v="Maria Taylor"/>
    <x v="23"/>
    <x v="1"/>
    <x v="3"/>
    <x v="1392"/>
    <x v="311"/>
    <x v="233"/>
    <x v="7"/>
    <x v="0"/>
    <n v="367779.98"/>
    <x v="1"/>
    <x v="3"/>
  </r>
  <r>
    <x v="1412"/>
    <s v="Brandy Dunn"/>
    <x v="75"/>
    <x v="0"/>
    <x v="6"/>
    <x v="1393"/>
    <x v="87"/>
    <x v="266"/>
    <x v="9"/>
    <x v="4"/>
    <n v="482330.64"/>
    <x v="2"/>
    <x v="4"/>
  </r>
  <r>
    <x v="1413"/>
    <s v="Michael Rose"/>
    <x v="61"/>
    <x v="1"/>
    <x v="3"/>
    <x v="1394"/>
    <x v="73"/>
    <x v="30"/>
    <x v="3"/>
    <x v="1"/>
    <n v="151023.6"/>
    <x v="0"/>
    <x v="13"/>
  </r>
  <r>
    <x v="1414"/>
    <s v="Stephen Flores"/>
    <x v="56"/>
    <x v="0"/>
    <x v="0"/>
    <x v="563"/>
    <x v="219"/>
    <x v="319"/>
    <x v="2"/>
    <x v="5"/>
    <n v="357328.11"/>
    <x v="2"/>
    <x v="14"/>
  </r>
  <r>
    <x v="1415"/>
    <s v="Jerry Browning"/>
    <x v="80"/>
    <x v="0"/>
    <x v="2"/>
    <x v="1395"/>
    <x v="69"/>
    <x v="292"/>
    <x v="2"/>
    <x v="3"/>
    <n v="11088.02"/>
    <x v="2"/>
    <x v="1"/>
  </r>
  <r>
    <x v="1416"/>
    <s v="Benjamin Graves"/>
    <x v="36"/>
    <x v="1"/>
    <x v="3"/>
    <x v="1396"/>
    <x v="208"/>
    <x v="340"/>
    <x v="4"/>
    <x v="5"/>
    <n v="132837.28"/>
    <x v="1"/>
    <x v="3"/>
  </r>
  <r>
    <x v="1417"/>
    <s v="Matthew Wallace"/>
    <x v="49"/>
    <x v="1"/>
    <x v="2"/>
    <x v="1397"/>
    <x v="131"/>
    <x v="274"/>
    <x v="2"/>
    <x v="2"/>
    <n v="248120.24"/>
    <x v="1"/>
    <x v="8"/>
  </r>
  <r>
    <x v="1418"/>
    <s v="Amanda Allen"/>
    <x v="39"/>
    <x v="1"/>
    <x v="0"/>
    <x v="1398"/>
    <x v="356"/>
    <x v="337"/>
    <x v="2"/>
    <x v="5"/>
    <n v="119316.38"/>
    <x v="0"/>
    <x v="2"/>
  </r>
  <r>
    <x v="1419"/>
    <s v="Nathan Rogers"/>
    <x v="84"/>
    <x v="1"/>
    <x v="2"/>
    <x v="1399"/>
    <x v="176"/>
    <x v="105"/>
    <x v="9"/>
    <x v="3"/>
    <n v="239011.39"/>
    <x v="0"/>
    <x v="10"/>
  </r>
  <r>
    <x v="1420"/>
    <s v="Matthew Schmidt"/>
    <x v="88"/>
    <x v="1"/>
    <x v="3"/>
    <x v="1400"/>
    <x v="165"/>
    <x v="339"/>
    <x v="0"/>
    <x v="5"/>
    <n v="135915.19"/>
    <x v="2"/>
    <x v="7"/>
  </r>
  <r>
    <x v="1421"/>
    <s v="Karen Wright"/>
    <x v="2"/>
    <x v="0"/>
    <x v="5"/>
    <x v="1401"/>
    <x v="182"/>
    <x v="262"/>
    <x v="0"/>
    <x v="3"/>
    <n v="315179.21000000002"/>
    <x v="0"/>
    <x v="1"/>
  </r>
  <r>
    <x v="1422"/>
    <s v="Carlos Vazquez"/>
    <x v="50"/>
    <x v="0"/>
    <x v="6"/>
    <x v="1402"/>
    <x v="1"/>
    <x v="171"/>
    <x v="6"/>
    <x v="2"/>
    <n v="325806.99"/>
    <x v="1"/>
    <x v="8"/>
  </r>
  <r>
    <x v="1423"/>
    <s v="Anita Brock"/>
    <x v="21"/>
    <x v="0"/>
    <x v="1"/>
    <x v="1403"/>
    <x v="139"/>
    <x v="249"/>
    <x v="0"/>
    <x v="3"/>
    <n v="312384.28000000003"/>
    <x v="1"/>
    <x v="12"/>
  </r>
  <r>
    <x v="1424"/>
    <s v="Heather Wagner"/>
    <x v="53"/>
    <x v="1"/>
    <x v="1"/>
    <x v="1404"/>
    <x v="342"/>
    <x v="249"/>
    <x v="6"/>
    <x v="0"/>
    <n v="15500.44"/>
    <x v="0"/>
    <x v="2"/>
  </r>
  <r>
    <x v="1425"/>
    <s v="Steve Smith"/>
    <x v="0"/>
    <x v="0"/>
    <x v="5"/>
    <x v="1405"/>
    <x v="329"/>
    <x v="254"/>
    <x v="7"/>
    <x v="1"/>
    <n v="164768.82"/>
    <x v="1"/>
    <x v="2"/>
  </r>
  <r>
    <x v="1426"/>
    <s v="Jeremy Davis"/>
    <x v="35"/>
    <x v="0"/>
    <x v="4"/>
    <x v="1406"/>
    <x v="128"/>
    <x v="0"/>
    <x v="7"/>
    <x v="4"/>
    <n v="246801.37"/>
    <x v="0"/>
    <x v="3"/>
  </r>
  <r>
    <x v="1427"/>
    <s v="Hannah Brown"/>
    <x v="20"/>
    <x v="1"/>
    <x v="4"/>
    <x v="1407"/>
    <x v="78"/>
    <x v="350"/>
    <x v="4"/>
    <x v="2"/>
    <n v="140073.94"/>
    <x v="2"/>
    <x v="9"/>
  </r>
  <r>
    <x v="1428"/>
    <s v="Wanda Anderson"/>
    <x v="46"/>
    <x v="1"/>
    <x v="4"/>
    <x v="1408"/>
    <x v="330"/>
    <x v="346"/>
    <x v="5"/>
    <x v="5"/>
    <n v="249457.82"/>
    <x v="2"/>
    <x v="12"/>
  </r>
  <r>
    <x v="1429"/>
    <s v="Alex Kelley"/>
    <x v="88"/>
    <x v="1"/>
    <x v="2"/>
    <x v="1409"/>
    <x v="86"/>
    <x v="188"/>
    <x v="0"/>
    <x v="2"/>
    <n v="338639.04"/>
    <x v="2"/>
    <x v="12"/>
  </r>
  <r>
    <x v="1430"/>
    <s v="Omar Montgomery"/>
    <x v="74"/>
    <x v="0"/>
    <x v="6"/>
    <x v="1410"/>
    <x v="128"/>
    <x v="165"/>
    <x v="8"/>
    <x v="5"/>
    <n v="289736.56"/>
    <x v="1"/>
    <x v="2"/>
  </r>
  <r>
    <x v="1431"/>
    <s v="Julie Evans"/>
    <x v="80"/>
    <x v="1"/>
    <x v="5"/>
    <x v="1411"/>
    <x v="185"/>
    <x v="283"/>
    <x v="9"/>
    <x v="0"/>
    <n v="227670.24"/>
    <x v="1"/>
    <x v="12"/>
  </r>
  <r>
    <x v="1432"/>
    <s v="Brent Cross"/>
    <x v="41"/>
    <x v="0"/>
    <x v="1"/>
    <x v="1412"/>
    <x v="239"/>
    <x v="291"/>
    <x v="5"/>
    <x v="3"/>
    <n v="415557.13"/>
    <x v="1"/>
    <x v="11"/>
  </r>
  <r>
    <x v="1433"/>
    <s v="Mr. Zachary Hunter MD"/>
    <x v="62"/>
    <x v="1"/>
    <x v="1"/>
    <x v="1413"/>
    <x v="16"/>
    <x v="16"/>
    <x v="8"/>
    <x v="0"/>
    <n v="33508.94"/>
    <x v="1"/>
    <x v="4"/>
  </r>
  <r>
    <x v="1434"/>
    <s v="Larry Miller"/>
    <x v="73"/>
    <x v="0"/>
    <x v="3"/>
    <x v="1414"/>
    <x v="115"/>
    <x v="246"/>
    <x v="3"/>
    <x v="1"/>
    <n v="197576.85"/>
    <x v="0"/>
    <x v="11"/>
  </r>
  <r>
    <x v="1435"/>
    <s v="Marcus Johnson"/>
    <x v="18"/>
    <x v="0"/>
    <x v="0"/>
    <x v="1415"/>
    <x v="303"/>
    <x v="72"/>
    <x v="7"/>
    <x v="1"/>
    <n v="167772.44"/>
    <x v="1"/>
    <x v="8"/>
  </r>
  <r>
    <x v="1436"/>
    <s v="Savannah Larson"/>
    <x v="61"/>
    <x v="1"/>
    <x v="4"/>
    <x v="1416"/>
    <x v="72"/>
    <x v="90"/>
    <x v="6"/>
    <x v="0"/>
    <n v="185240.56"/>
    <x v="0"/>
    <x v="1"/>
  </r>
  <r>
    <x v="1437"/>
    <s v="Sherri Yang"/>
    <x v="37"/>
    <x v="0"/>
    <x v="4"/>
    <x v="1417"/>
    <x v="122"/>
    <x v="10"/>
    <x v="7"/>
    <x v="0"/>
    <n v="487960.49"/>
    <x v="2"/>
    <x v="3"/>
  </r>
  <r>
    <x v="1438"/>
    <s v="Susan Lewis"/>
    <x v="29"/>
    <x v="1"/>
    <x v="4"/>
    <x v="1418"/>
    <x v="104"/>
    <x v="36"/>
    <x v="6"/>
    <x v="5"/>
    <n v="376600.41"/>
    <x v="1"/>
    <x v="6"/>
  </r>
  <r>
    <x v="1439"/>
    <s v="Lisa Taylor"/>
    <x v="55"/>
    <x v="1"/>
    <x v="0"/>
    <x v="1419"/>
    <x v="188"/>
    <x v="228"/>
    <x v="2"/>
    <x v="4"/>
    <n v="103870.29"/>
    <x v="1"/>
    <x v="12"/>
  </r>
  <r>
    <x v="1440"/>
    <s v="Nathan Medina"/>
    <x v="25"/>
    <x v="1"/>
    <x v="2"/>
    <x v="1420"/>
    <x v="144"/>
    <x v="232"/>
    <x v="5"/>
    <x v="3"/>
    <n v="95517.53"/>
    <x v="0"/>
    <x v="4"/>
  </r>
  <r>
    <x v="1441"/>
    <s v="William Jones"/>
    <x v="73"/>
    <x v="1"/>
    <x v="0"/>
    <x v="1421"/>
    <x v="25"/>
    <x v="161"/>
    <x v="2"/>
    <x v="0"/>
    <n v="98902.399999999994"/>
    <x v="1"/>
    <x v="5"/>
  </r>
  <r>
    <x v="1442"/>
    <s v="Cheryl Robertson"/>
    <x v="59"/>
    <x v="0"/>
    <x v="5"/>
    <x v="1422"/>
    <x v="273"/>
    <x v="80"/>
    <x v="9"/>
    <x v="4"/>
    <n v="208364.81"/>
    <x v="1"/>
    <x v="2"/>
  </r>
  <r>
    <x v="1443"/>
    <s v="Maria Thomas"/>
    <x v="86"/>
    <x v="1"/>
    <x v="2"/>
    <x v="1423"/>
    <x v="268"/>
    <x v="125"/>
    <x v="0"/>
    <x v="4"/>
    <n v="484759.62"/>
    <x v="0"/>
    <x v="12"/>
  </r>
  <r>
    <x v="1444"/>
    <s v="Dorothy Tate"/>
    <x v="20"/>
    <x v="0"/>
    <x v="3"/>
    <x v="1424"/>
    <x v="30"/>
    <x v="19"/>
    <x v="5"/>
    <x v="5"/>
    <n v="322445.5"/>
    <x v="1"/>
    <x v="3"/>
  </r>
  <r>
    <x v="1445"/>
    <s v="Kim Clark"/>
    <x v="19"/>
    <x v="0"/>
    <x v="3"/>
    <x v="1425"/>
    <x v="224"/>
    <x v="83"/>
    <x v="1"/>
    <x v="0"/>
    <n v="182445.62"/>
    <x v="2"/>
    <x v="10"/>
  </r>
  <r>
    <x v="1446"/>
    <s v="Erin Phillips"/>
    <x v="10"/>
    <x v="1"/>
    <x v="0"/>
    <x v="1426"/>
    <x v="133"/>
    <x v="296"/>
    <x v="6"/>
    <x v="5"/>
    <n v="119530.37"/>
    <x v="1"/>
    <x v="2"/>
  </r>
  <r>
    <x v="1447"/>
    <s v="Brandy Johnson"/>
    <x v="64"/>
    <x v="1"/>
    <x v="4"/>
    <x v="1427"/>
    <x v="143"/>
    <x v="228"/>
    <x v="0"/>
    <x v="2"/>
    <n v="59961.07"/>
    <x v="0"/>
    <x v="3"/>
  </r>
  <r>
    <x v="1448"/>
    <s v="Emma Taylor"/>
    <x v="46"/>
    <x v="0"/>
    <x v="1"/>
    <x v="1428"/>
    <x v="95"/>
    <x v="98"/>
    <x v="9"/>
    <x v="4"/>
    <n v="125234.82"/>
    <x v="2"/>
    <x v="1"/>
  </r>
  <r>
    <x v="1449"/>
    <s v="Terri Jackson"/>
    <x v="25"/>
    <x v="1"/>
    <x v="4"/>
    <x v="1429"/>
    <x v="25"/>
    <x v="250"/>
    <x v="4"/>
    <x v="5"/>
    <n v="428979.71"/>
    <x v="2"/>
    <x v="11"/>
  </r>
  <r>
    <x v="1450"/>
    <s v="Mitchell Levine"/>
    <x v="28"/>
    <x v="1"/>
    <x v="1"/>
    <x v="1430"/>
    <x v="23"/>
    <x v="230"/>
    <x v="3"/>
    <x v="5"/>
    <n v="84024.14"/>
    <x v="0"/>
    <x v="2"/>
  </r>
  <r>
    <x v="1451"/>
    <s v="Chelsea Reed"/>
    <x v="75"/>
    <x v="1"/>
    <x v="0"/>
    <x v="1431"/>
    <x v="64"/>
    <x v="201"/>
    <x v="6"/>
    <x v="1"/>
    <n v="238210.61"/>
    <x v="1"/>
    <x v="5"/>
  </r>
  <r>
    <x v="1452"/>
    <s v="Richard Kennedy"/>
    <x v="69"/>
    <x v="0"/>
    <x v="2"/>
    <x v="1432"/>
    <x v="27"/>
    <x v="240"/>
    <x v="9"/>
    <x v="4"/>
    <n v="120566.14"/>
    <x v="0"/>
    <x v="10"/>
  </r>
  <r>
    <x v="1453"/>
    <s v="Richard Webb"/>
    <x v="13"/>
    <x v="1"/>
    <x v="0"/>
    <x v="1433"/>
    <x v="217"/>
    <x v="357"/>
    <x v="2"/>
    <x v="1"/>
    <n v="456971.67"/>
    <x v="2"/>
    <x v="14"/>
  </r>
  <r>
    <x v="1454"/>
    <s v="Nathan Odom"/>
    <x v="79"/>
    <x v="1"/>
    <x v="1"/>
    <x v="1434"/>
    <x v="164"/>
    <x v="102"/>
    <x v="6"/>
    <x v="2"/>
    <n v="422803.07"/>
    <x v="0"/>
    <x v="10"/>
  </r>
  <r>
    <x v="1455"/>
    <s v="Melissa Evans"/>
    <x v="76"/>
    <x v="1"/>
    <x v="4"/>
    <x v="1435"/>
    <x v="340"/>
    <x v="298"/>
    <x v="1"/>
    <x v="2"/>
    <n v="181538.8"/>
    <x v="1"/>
    <x v="1"/>
  </r>
  <r>
    <x v="1456"/>
    <s v="Russell Wilson"/>
    <x v="71"/>
    <x v="0"/>
    <x v="2"/>
    <x v="1436"/>
    <x v="147"/>
    <x v="5"/>
    <x v="1"/>
    <x v="3"/>
    <n v="10215.74"/>
    <x v="1"/>
    <x v="2"/>
  </r>
  <r>
    <x v="1457"/>
    <s v="Megan Smith"/>
    <x v="14"/>
    <x v="0"/>
    <x v="1"/>
    <x v="1437"/>
    <x v="9"/>
    <x v="256"/>
    <x v="7"/>
    <x v="1"/>
    <n v="6951.79"/>
    <x v="0"/>
    <x v="5"/>
  </r>
  <r>
    <x v="1458"/>
    <s v="Brian Shaw"/>
    <x v="23"/>
    <x v="0"/>
    <x v="1"/>
    <x v="1438"/>
    <x v="166"/>
    <x v="231"/>
    <x v="3"/>
    <x v="4"/>
    <n v="258899.18"/>
    <x v="0"/>
    <x v="0"/>
  </r>
  <r>
    <x v="1459"/>
    <s v="David Parker"/>
    <x v="70"/>
    <x v="0"/>
    <x v="5"/>
    <x v="1439"/>
    <x v="357"/>
    <x v="233"/>
    <x v="3"/>
    <x v="1"/>
    <n v="383942.47"/>
    <x v="1"/>
    <x v="6"/>
  </r>
  <r>
    <x v="1460"/>
    <s v="Kevin Mosley"/>
    <x v="30"/>
    <x v="0"/>
    <x v="1"/>
    <x v="1440"/>
    <x v="84"/>
    <x v="6"/>
    <x v="0"/>
    <x v="3"/>
    <n v="112917.37"/>
    <x v="2"/>
    <x v="4"/>
  </r>
  <r>
    <x v="1461"/>
    <s v="Susan Lowe"/>
    <x v="41"/>
    <x v="1"/>
    <x v="5"/>
    <x v="1441"/>
    <x v="54"/>
    <x v="256"/>
    <x v="3"/>
    <x v="5"/>
    <n v="437377.61"/>
    <x v="1"/>
    <x v="3"/>
  </r>
  <r>
    <x v="1462"/>
    <s v="Brianna Ramirez"/>
    <x v="62"/>
    <x v="1"/>
    <x v="0"/>
    <x v="1442"/>
    <x v="77"/>
    <x v="155"/>
    <x v="1"/>
    <x v="3"/>
    <n v="413662.85"/>
    <x v="2"/>
    <x v="5"/>
  </r>
  <r>
    <x v="1463"/>
    <s v="Larry Davis"/>
    <x v="68"/>
    <x v="1"/>
    <x v="5"/>
    <x v="1443"/>
    <x v="338"/>
    <x v="340"/>
    <x v="4"/>
    <x v="5"/>
    <n v="479032.77"/>
    <x v="2"/>
    <x v="9"/>
  </r>
  <r>
    <x v="1464"/>
    <s v="Ashley Ortega"/>
    <x v="54"/>
    <x v="1"/>
    <x v="4"/>
    <x v="1444"/>
    <x v="143"/>
    <x v="142"/>
    <x v="0"/>
    <x v="4"/>
    <n v="430938.51"/>
    <x v="1"/>
    <x v="10"/>
  </r>
  <r>
    <x v="1465"/>
    <s v="Christine Harris"/>
    <x v="13"/>
    <x v="0"/>
    <x v="1"/>
    <x v="1445"/>
    <x v="216"/>
    <x v="294"/>
    <x v="5"/>
    <x v="4"/>
    <n v="317294.48"/>
    <x v="1"/>
    <x v="13"/>
  </r>
  <r>
    <x v="1466"/>
    <s v="Morgan Fox"/>
    <x v="78"/>
    <x v="0"/>
    <x v="6"/>
    <x v="1446"/>
    <x v="358"/>
    <x v="83"/>
    <x v="6"/>
    <x v="3"/>
    <n v="428635.22"/>
    <x v="0"/>
    <x v="5"/>
  </r>
  <r>
    <x v="1467"/>
    <s v="David Warren"/>
    <x v="52"/>
    <x v="0"/>
    <x v="3"/>
    <x v="1447"/>
    <x v="27"/>
    <x v="267"/>
    <x v="7"/>
    <x v="4"/>
    <n v="317143.93"/>
    <x v="1"/>
    <x v="7"/>
  </r>
  <r>
    <x v="1468"/>
    <s v="Gary Williams"/>
    <x v="41"/>
    <x v="1"/>
    <x v="1"/>
    <x v="1448"/>
    <x v="330"/>
    <x v="345"/>
    <x v="6"/>
    <x v="5"/>
    <n v="413024.32"/>
    <x v="0"/>
    <x v="0"/>
  </r>
  <r>
    <x v="1469"/>
    <s v="Ashley Becker"/>
    <x v="15"/>
    <x v="1"/>
    <x v="6"/>
    <x v="1449"/>
    <x v="333"/>
    <x v="233"/>
    <x v="7"/>
    <x v="2"/>
    <n v="170385.73"/>
    <x v="0"/>
    <x v="4"/>
  </r>
  <r>
    <x v="1470"/>
    <s v="Johnathan Oliver"/>
    <x v="79"/>
    <x v="0"/>
    <x v="2"/>
    <x v="1450"/>
    <x v="71"/>
    <x v="209"/>
    <x v="1"/>
    <x v="0"/>
    <n v="130782.28"/>
    <x v="2"/>
    <x v="7"/>
  </r>
  <r>
    <x v="1471"/>
    <s v="Alexis Sanchez"/>
    <x v="58"/>
    <x v="0"/>
    <x v="2"/>
    <x v="1451"/>
    <x v="106"/>
    <x v="336"/>
    <x v="4"/>
    <x v="2"/>
    <n v="216236.84"/>
    <x v="2"/>
    <x v="0"/>
  </r>
  <r>
    <x v="1472"/>
    <s v="Dennis Miller"/>
    <x v="46"/>
    <x v="1"/>
    <x v="5"/>
    <x v="866"/>
    <x v="344"/>
    <x v="105"/>
    <x v="2"/>
    <x v="1"/>
    <n v="21042.66"/>
    <x v="2"/>
    <x v="4"/>
  </r>
  <r>
    <x v="1473"/>
    <s v="Christine Cohen"/>
    <x v="85"/>
    <x v="0"/>
    <x v="0"/>
    <x v="1452"/>
    <x v="150"/>
    <x v="362"/>
    <x v="7"/>
    <x v="0"/>
    <n v="79895.78"/>
    <x v="0"/>
    <x v="13"/>
  </r>
  <r>
    <x v="1474"/>
    <s v="Joyce Fuller"/>
    <x v="4"/>
    <x v="0"/>
    <x v="2"/>
    <x v="65"/>
    <x v="290"/>
    <x v="366"/>
    <x v="1"/>
    <x v="1"/>
    <n v="238181.21"/>
    <x v="1"/>
    <x v="13"/>
  </r>
  <r>
    <x v="1475"/>
    <s v="Jeremy Brown"/>
    <x v="78"/>
    <x v="0"/>
    <x v="3"/>
    <x v="1453"/>
    <x v="267"/>
    <x v="114"/>
    <x v="2"/>
    <x v="1"/>
    <n v="225185.27"/>
    <x v="2"/>
    <x v="0"/>
  </r>
  <r>
    <x v="1476"/>
    <s v="David Gilbert"/>
    <x v="9"/>
    <x v="1"/>
    <x v="6"/>
    <x v="1454"/>
    <x v="229"/>
    <x v="200"/>
    <x v="5"/>
    <x v="3"/>
    <n v="191623.31"/>
    <x v="0"/>
    <x v="5"/>
  </r>
  <r>
    <x v="1477"/>
    <s v="Jeremy Thompson"/>
    <x v="16"/>
    <x v="0"/>
    <x v="2"/>
    <x v="1455"/>
    <x v="95"/>
    <x v="351"/>
    <x v="3"/>
    <x v="0"/>
    <n v="430252.32"/>
    <x v="0"/>
    <x v="10"/>
  </r>
  <r>
    <x v="1478"/>
    <s v="Karen Hale"/>
    <x v="88"/>
    <x v="1"/>
    <x v="6"/>
    <x v="1456"/>
    <x v="107"/>
    <x v="12"/>
    <x v="6"/>
    <x v="5"/>
    <n v="377452.15"/>
    <x v="0"/>
    <x v="7"/>
  </r>
  <r>
    <x v="1479"/>
    <s v="Wesley Jones"/>
    <x v="74"/>
    <x v="0"/>
    <x v="1"/>
    <x v="1457"/>
    <x v="2"/>
    <x v="368"/>
    <x v="6"/>
    <x v="2"/>
    <n v="165099.37"/>
    <x v="1"/>
    <x v="0"/>
  </r>
  <r>
    <x v="1480"/>
    <s v="Francisco Wagner"/>
    <x v="47"/>
    <x v="1"/>
    <x v="0"/>
    <x v="1458"/>
    <x v="93"/>
    <x v="103"/>
    <x v="9"/>
    <x v="1"/>
    <n v="270480.3"/>
    <x v="1"/>
    <x v="4"/>
  </r>
  <r>
    <x v="1481"/>
    <s v="Jeremy Williamson"/>
    <x v="20"/>
    <x v="0"/>
    <x v="6"/>
    <x v="1459"/>
    <x v="234"/>
    <x v="366"/>
    <x v="0"/>
    <x v="2"/>
    <n v="20095.099999999999"/>
    <x v="2"/>
    <x v="2"/>
  </r>
  <r>
    <x v="1482"/>
    <s v="Tonya Moore"/>
    <x v="59"/>
    <x v="0"/>
    <x v="0"/>
    <x v="1460"/>
    <x v="337"/>
    <x v="129"/>
    <x v="3"/>
    <x v="4"/>
    <n v="89754.98"/>
    <x v="2"/>
    <x v="0"/>
  </r>
  <r>
    <x v="1483"/>
    <s v="Todd Odonnell"/>
    <x v="33"/>
    <x v="0"/>
    <x v="5"/>
    <x v="1461"/>
    <x v="313"/>
    <x v="4"/>
    <x v="9"/>
    <x v="3"/>
    <n v="297063.25"/>
    <x v="2"/>
    <x v="12"/>
  </r>
  <r>
    <x v="1484"/>
    <s v="Jennifer Wheeler"/>
    <x v="32"/>
    <x v="0"/>
    <x v="5"/>
    <x v="1462"/>
    <x v="343"/>
    <x v="272"/>
    <x v="4"/>
    <x v="1"/>
    <n v="79067.460000000006"/>
    <x v="1"/>
    <x v="4"/>
  </r>
  <r>
    <x v="1485"/>
    <s v="David Brown"/>
    <x v="5"/>
    <x v="1"/>
    <x v="0"/>
    <x v="1463"/>
    <x v="19"/>
    <x v="369"/>
    <x v="0"/>
    <x v="4"/>
    <n v="6881.51"/>
    <x v="1"/>
    <x v="10"/>
  </r>
  <r>
    <x v="1486"/>
    <s v="Michele Weaver"/>
    <x v="73"/>
    <x v="0"/>
    <x v="2"/>
    <x v="1464"/>
    <x v="194"/>
    <x v="343"/>
    <x v="1"/>
    <x v="1"/>
    <n v="5472.46"/>
    <x v="0"/>
    <x v="12"/>
  </r>
  <r>
    <x v="1487"/>
    <s v="Tiffany Benitez"/>
    <x v="16"/>
    <x v="0"/>
    <x v="4"/>
    <x v="1465"/>
    <x v="273"/>
    <x v="266"/>
    <x v="5"/>
    <x v="5"/>
    <n v="282493.64"/>
    <x v="0"/>
    <x v="14"/>
  </r>
  <r>
    <x v="1488"/>
    <s v="Michael Gordon"/>
    <x v="67"/>
    <x v="0"/>
    <x v="3"/>
    <x v="1466"/>
    <x v="139"/>
    <x v="228"/>
    <x v="0"/>
    <x v="2"/>
    <n v="88384.98"/>
    <x v="1"/>
    <x v="13"/>
  </r>
  <r>
    <x v="1489"/>
    <s v="Ashley Blake"/>
    <x v="89"/>
    <x v="1"/>
    <x v="5"/>
    <x v="1467"/>
    <x v="188"/>
    <x v="137"/>
    <x v="4"/>
    <x v="3"/>
    <n v="5372.09"/>
    <x v="1"/>
    <x v="13"/>
  </r>
  <r>
    <x v="1490"/>
    <s v="Michael Castro"/>
    <x v="59"/>
    <x v="1"/>
    <x v="6"/>
    <x v="1468"/>
    <x v="320"/>
    <x v="228"/>
    <x v="3"/>
    <x v="3"/>
    <n v="332074.64"/>
    <x v="0"/>
    <x v="8"/>
  </r>
  <r>
    <x v="1491"/>
    <s v="Antonio Nelson"/>
    <x v="37"/>
    <x v="1"/>
    <x v="4"/>
    <x v="1469"/>
    <x v="143"/>
    <x v="112"/>
    <x v="8"/>
    <x v="0"/>
    <n v="121458.52"/>
    <x v="1"/>
    <x v="5"/>
  </r>
  <r>
    <x v="1492"/>
    <s v="Jason Stewart"/>
    <x v="8"/>
    <x v="1"/>
    <x v="2"/>
    <x v="1470"/>
    <x v="328"/>
    <x v="55"/>
    <x v="0"/>
    <x v="3"/>
    <n v="267540.65999999997"/>
    <x v="2"/>
    <x v="9"/>
  </r>
  <r>
    <x v="1493"/>
    <s v="Pamela Morris"/>
    <x v="56"/>
    <x v="0"/>
    <x v="1"/>
    <x v="1471"/>
    <x v="55"/>
    <x v="362"/>
    <x v="2"/>
    <x v="2"/>
    <n v="476503.26"/>
    <x v="1"/>
    <x v="5"/>
  </r>
  <r>
    <x v="1494"/>
    <s v="Madison Schmidt"/>
    <x v="80"/>
    <x v="1"/>
    <x v="6"/>
    <x v="1472"/>
    <x v="330"/>
    <x v="187"/>
    <x v="0"/>
    <x v="2"/>
    <n v="429306.05"/>
    <x v="2"/>
    <x v="5"/>
  </r>
  <r>
    <x v="1495"/>
    <s v="Eric Tate"/>
    <x v="50"/>
    <x v="1"/>
    <x v="6"/>
    <x v="1473"/>
    <x v="104"/>
    <x v="309"/>
    <x v="9"/>
    <x v="1"/>
    <n v="86722.18"/>
    <x v="1"/>
    <x v="11"/>
  </r>
  <r>
    <x v="1496"/>
    <s v="Nicholas Crawford"/>
    <x v="4"/>
    <x v="1"/>
    <x v="0"/>
    <x v="1474"/>
    <x v="247"/>
    <x v="119"/>
    <x v="5"/>
    <x v="2"/>
    <n v="244576.01"/>
    <x v="0"/>
    <x v="14"/>
  </r>
  <r>
    <x v="1497"/>
    <s v="Amanda Hughes"/>
    <x v="17"/>
    <x v="0"/>
    <x v="4"/>
    <x v="1475"/>
    <x v="105"/>
    <x v="67"/>
    <x v="1"/>
    <x v="4"/>
    <n v="116639.71"/>
    <x v="2"/>
    <x v="14"/>
  </r>
  <r>
    <x v="1498"/>
    <s v="Bailey Hale"/>
    <x v="54"/>
    <x v="0"/>
    <x v="6"/>
    <x v="1476"/>
    <x v="358"/>
    <x v="220"/>
    <x v="0"/>
    <x v="1"/>
    <n v="258774.94"/>
    <x v="0"/>
    <x v="7"/>
  </r>
  <r>
    <x v="1499"/>
    <s v="George Duncan"/>
    <x v="41"/>
    <x v="0"/>
    <x v="5"/>
    <x v="1477"/>
    <x v="119"/>
    <x v="166"/>
    <x v="8"/>
    <x v="5"/>
    <n v="413410.94"/>
    <x v="1"/>
    <x v="8"/>
  </r>
  <r>
    <x v="1500"/>
    <s v="Ronald Martin"/>
    <x v="10"/>
    <x v="0"/>
    <x v="6"/>
    <x v="1478"/>
    <x v="6"/>
    <x v="6"/>
    <x v="4"/>
    <x v="1"/>
    <n v="157470.95000000001"/>
    <x v="0"/>
    <x v="5"/>
  </r>
  <r>
    <x v="1501"/>
    <s v="Brenda Esparza"/>
    <x v="86"/>
    <x v="0"/>
    <x v="6"/>
    <x v="1479"/>
    <x v="47"/>
    <x v="300"/>
    <x v="9"/>
    <x v="4"/>
    <n v="117065.7"/>
    <x v="2"/>
    <x v="0"/>
  </r>
  <r>
    <x v="1502"/>
    <s v="John Nelson"/>
    <x v="11"/>
    <x v="1"/>
    <x v="1"/>
    <x v="1480"/>
    <x v="239"/>
    <x v="262"/>
    <x v="6"/>
    <x v="5"/>
    <n v="78154.48"/>
    <x v="0"/>
    <x v="14"/>
  </r>
  <r>
    <x v="1503"/>
    <s v="Makayla Cook MD"/>
    <x v="82"/>
    <x v="0"/>
    <x v="5"/>
    <x v="1481"/>
    <x v="50"/>
    <x v="364"/>
    <x v="9"/>
    <x v="3"/>
    <n v="169113.73"/>
    <x v="1"/>
    <x v="1"/>
  </r>
  <r>
    <x v="1504"/>
    <s v="Anne Gordon"/>
    <x v="18"/>
    <x v="1"/>
    <x v="5"/>
    <x v="1482"/>
    <x v="41"/>
    <x v="12"/>
    <x v="1"/>
    <x v="4"/>
    <n v="132655.23000000001"/>
    <x v="0"/>
    <x v="5"/>
  </r>
  <r>
    <x v="1505"/>
    <s v="Mr. Jorge Roberts"/>
    <x v="64"/>
    <x v="0"/>
    <x v="1"/>
    <x v="1483"/>
    <x v="189"/>
    <x v="128"/>
    <x v="7"/>
    <x v="2"/>
    <n v="333582.58"/>
    <x v="1"/>
    <x v="0"/>
  </r>
  <r>
    <x v="1506"/>
    <s v="Allen Hernandez"/>
    <x v="0"/>
    <x v="0"/>
    <x v="3"/>
    <x v="1484"/>
    <x v="158"/>
    <x v="334"/>
    <x v="5"/>
    <x v="0"/>
    <n v="128664.36"/>
    <x v="0"/>
    <x v="6"/>
  </r>
  <r>
    <x v="1507"/>
    <s v="Brittney Hanson"/>
    <x v="75"/>
    <x v="1"/>
    <x v="2"/>
    <x v="1485"/>
    <x v="136"/>
    <x v="108"/>
    <x v="1"/>
    <x v="1"/>
    <n v="344915.86"/>
    <x v="0"/>
    <x v="10"/>
  </r>
  <r>
    <x v="1508"/>
    <s v="Matthew Scott"/>
    <x v="64"/>
    <x v="0"/>
    <x v="5"/>
    <x v="1486"/>
    <x v="41"/>
    <x v="145"/>
    <x v="2"/>
    <x v="1"/>
    <n v="455229.81"/>
    <x v="1"/>
    <x v="13"/>
  </r>
  <r>
    <x v="1509"/>
    <s v="Alex Bell"/>
    <x v="43"/>
    <x v="1"/>
    <x v="4"/>
    <x v="1487"/>
    <x v="81"/>
    <x v="251"/>
    <x v="9"/>
    <x v="2"/>
    <n v="142340.26"/>
    <x v="1"/>
    <x v="3"/>
  </r>
  <r>
    <x v="1510"/>
    <s v="Isabel Liu"/>
    <x v="1"/>
    <x v="0"/>
    <x v="3"/>
    <x v="1488"/>
    <x v="173"/>
    <x v="67"/>
    <x v="0"/>
    <x v="4"/>
    <n v="443722.22"/>
    <x v="1"/>
    <x v="5"/>
  </r>
  <r>
    <x v="1511"/>
    <s v="Zachary Simpson"/>
    <x v="18"/>
    <x v="0"/>
    <x v="1"/>
    <x v="1489"/>
    <x v="113"/>
    <x v="160"/>
    <x v="9"/>
    <x v="2"/>
    <n v="452763.52"/>
    <x v="2"/>
    <x v="10"/>
  </r>
  <r>
    <x v="1512"/>
    <s v="Justin Peters"/>
    <x v="72"/>
    <x v="0"/>
    <x v="2"/>
    <x v="1490"/>
    <x v="64"/>
    <x v="201"/>
    <x v="6"/>
    <x v="0"/>
    <n v="385565.63"/>
    <x v="0"/>
    <x v="5"/>
  </r>
  <r>
    <x v="1513"/>
    <s v="Christopher Gonzalez"/>
    <x v="73"/>
    <x v="0"/>
    <x v="4"/>
    <x v="1491"/>
    <x v="145"/>
    <x v="5"/>
    <x v="4"/>
    <x v="1"/>
    <n v="211771.81"/>
    <x v="1"/>
    <x v="7"/>
  </r>
  <r>
    <x v="1514"/>
    <s v="Jennifer Johnson"/>
    <x v="4"/>
    <x v="1"/>
    <x v="2"/>
    <x v="1492"/>
    <x v="259"/>
    <x v="195"/>
    <x v="3"/>
    <x v="2"/>
    <n v="34948.74"/>
    <x v="1"/>
    <x v="12"/>
  </r>
  <r>
    <x v="1515"/>
    <s v="Judy Fuller"/>
    <x v="27"/>
    <x v="1"/>
    <x v="2"/>
    <x v="1493"/>
    <x v="205"/>
    <x v="272"/>
    <x v="4"/>
    <x v="5"/>
    <n v="14155.4"/>
    <x v="2"/>
    <x v="13"/>
  </r>
  <r>
    <x v="1516"/>
    <s v="Chelsea Phillips"/>
    <x v="2"/>
    <x v="0"/>
    <x v="5"/>
    <x v="1494"/>
    <x v="17"/>
    <x v="251"/>
    <x v="7"/>
    <x v="5"/>
    <n v="170367.1"/>
    <x v="1"/>
    <x v="2"/>
  </r>
  <r>
    <x v="1517"/>
    <s v="Hunter Cantrell"/>
    <x v="39"/>
    <x v="0"/>
    <x v="1"/>
    <x v="1495"/>
    <x v="82"/>
    <x v="13"/>
    <x v="1"/>
    <x v="3"/>
    <n v="118997.07"/>
    <x v="0"/>
    <x v="6"/>
  </r>
  <r>
    <x v="1518"/>
    <s v="Zachary Davis"/>
    <x v="73"/>
    <x v="1"/>
    <x v="2"/>
    <x v="1496"/>
    <x v="211"/>
    <x v="9"/>
    <x v="2"/>
    <x v="0"/>
    <n v="405409.12"/>
    <x v="0"/>
    <x v="13"/>
  </r>
  <r>
    <x v="1519"/>
    <s v="Catherine Soto"/>
    <x v="14"/>
    <x v="1"/>
    <x v="5"/>
    <x v="1497"/>
    <x v="288"/>
    <x v="61"/>
    <x v="4"/>
    <x v="2"/>
    <n v="332779.90000000002"/>
    <x v="0"/>
    <x v="14"/>
  </r>
  <r>
    <x v="1520"/>
    <s v="Amanda Martinez"/>
    <x v="35"/>
    <x v="0"/>
    <x v="5"/>
    <x v="1498"/>
    <x v="353"/>
    <x v="243"/>
    <x v="2"/>
    <x v="1"/>
    <n v="303081.83"/>
    <x v="1"/>
    <x v="12"/>
  </r>
  <r>
    <x v="1521"/>
    <s v="Kaitlyn Mathews"/>
    <x v="7"/>
    <x v="0"/>
    <x v="4"/>
    <x v="1499"/>
    <x v="311"/>
    <x v="233"/>
    <x v="2"/>
    <x v="2"/>
    <n v="322074.23999999999"/>
    <x v="0"/>
    <x v="3"/>
  </r>
  <r>
    <x v="1522"/>
    <s v="Jeremy Silva"/>
    <x v="14"/>
    <x v="1"/>
    <x v="0"/>
    <x v="1500"/>
    <x v="269"/>
    <x v="347"/>
    <x v="6"/>
    <x v="0"/>
    <n v="65513.95"/>
    <x v="2"/>
    <x v="4"/>
  </r>
  <r>
    <x v="1523"/>
    <s v="Victoria Murray"/>
    <x v="12"/>
    <x v="0"/>
    <x v="5"/>
    <x v="1501"/>
    <x v="247"/>
    <x v="277"/>
    <x v="8"/>
    <x v="3"/>
    <n v="483435.35"/>
    <x v="1"/>
    <x v="0"/>
  </r>
  <r>
    <x v="1524"/>
    <s v="Zachary Young"/>
    <x v="25"/>
    <x v="0"/>
    <x v="3"/>
    <x v="1502"/>
    <x v="1"/>
    <x v="96"/>
    <x v="0"/>
    <x v="4"/>
    <n v="146420.45000000001"/>
    <x v="1"/>
    <x v="10"/>
  </r>
  <r>
    <x v="1525"/>
    <s v="Breanna Perry"/>
    <x v="47"/>
    <x v="0"/>
    <x v="1"/>
    <x v="1503"/>
    <x v="236"/>
    <x v="335"/>
    <x v="1"/>
    <x v="1"/>
    <n v="82810.14"/>
    <x v="0"/>
    <x v="10"/>
  </r>
  <r>
    <x v="1526"/>
    <s v="Joshua Day"/>
    <x v="37"/>
    <x v="1"/>
    <x v="6"/>
    <x v="1504"/>
    <x v="359"/>
    <x v="131"/>
    <x v="7"/>
    <x v="0"/>
    <n v="240810.67"/>
    <x v="2"/>
    <x v="3"/>
  </r>
  <r>
    <x v="1527"/>
    <s v="Cole Dunlap"/>
    <x v="75"/>
    <x v="0"/>
    <x v="2"/>
    <x v="1505"/>
    <x v="130"/>
    <x v="210"/>
    <x v="2"/>
    <x v="3"/>
    <n v="222379.12"/>
    <x v="1"/>
    <x v="6"/>
  </r>
  <r>
    <x v="1528"/>
    <s v="April Bates"/>
    <x v="58"/>
    <x v="0"/>
    <x v="6"/>
    <x v="1506"/>
    <x v="67"/>
    <x v="310"/>
    <x v="2"/>
    <x v="5"/>
    <n v="420368.53"/>
    <x v="0"/>
    <x v="0"/>
  </r>
  <r>
    <x v="1529"/>
    <s v="Lydia Camacho"/>
    <x v="7"/>
    <x v="1"/>
    <x v="3"/>
    <x v="1507"/>
    <x v="358"/>
    <x v="126"/>
    <x v="4"/>
    <x v="3"/>
    <n v="47912.72"/>
    <x v="1"/>
    <x v="0"/>
  </r>
  <r>
    <x v="1530"/>
    <s v="Luis Dixon"/>
    <x v="65"/>
    <x v="0"/>
    <x v="5"/>
    <x v="1508"/>
    <x v="259"/>
    <x v="332"/>
    <x v="1"/>
    <x v="4"/>
    <n v="261329.47"/>
    <x v="2"/>
    <x v="0"/>
  </r>
  <r>
    <x v="1531"/>
    <s v="Elizabeth Meyer"/>
    <x v="80"/>
    <x v="1"/>
    <x v="3"/>
    <x v="1509"/>
    <x v="312"/>
    <x v="100"/>
    <x v="1"/>
    <x v="3"/>
    <n v="222080.94"/>
    <x v="1"/>
    <x v="11"/>
  </r>
  <r>
    <x v="1532"/>
    <s v="Karen Ramirez"/>
    <x v="54"/>
    <x v="1"/>
    <x v="4"/>
    <x v="1510"/>
    <x v="185"/>
    <x v="4"/>
    <x v="2"/>
    <x v="5"/>
    <n v="474938.53"/>
    <x v="2"/>
    <x v="5"/>
  </r>
  <r>
    <x v="1533"/>
    <s v="Olivia Horton"/>
    <x v="52"/>
    <x v="1"/>
    <x v="1"/>
    <x v="1511"/>
    <x v="358"/>
    <x v="293"/>
    <x v="4"/>
    <x v="4"/>
    <n v="419108.73"/>
    <x v="2"/>
    <x v="14"/>
  </r>
  <r>
    <x v="1534"/>
    <s v="Janet Sanders"/>
    <x v="72"/>
    <x v="1"/>
    <x v="5"/>
    <x v="1368"/>
    <x v="187"/>
    <x v="128"/>
    <x v="0"/>
    <x v="1"/>
    <n v="373925.31"/>
    <x v="2"/>
    <x v="6"/>
  </r>
  <r>
    <x v="1535"/>
    <s v="Elizabeth Moreno"/>
    <x v="27"/>
    <x v="0"/>
    <x v="5"/>
    <x v="1512"/>
    <x v="162"/>
    <x v="139"/>
    <x v="8"/>
    <x v="1"/>
    <n v="261896.4"/>
    <x v="0"/>
    <x v="3"/>
  </r>
  <r>
    <x v="1536"/>
    <s v="Bruce Mclaughlin"/>
    <x v="16"/>
    <x v="1"/>
    <x v="6"/>
    <x v="1513"/>
    <x v="171"/>
    <x v="295"/>
    <x v="4"/>
    <x v="4"/>
    <n v="418984.2"/>
    <x v="2"/>
    <x v="10"/>
  </r>
  <r>
    <x v="1537"/>
    <s v="Christopher Johnson"/>
    <x v="19"/>
    <x v="0"/>
    <x v="2"/>
    <x v="1514"/>
    <x v="263"/>
    <x v="85"/>
    <x v="6"/>
    <x v="5"/>
    <n v="182347"/>
    <x v="2"/>
    <x v="3"/>
  </r>
  <r>
    <x v="1538"/>
    <s v="Kevin Wong"/>
    <x v="25"/>
    <x v="1"/>
    <x v="1"/>
    <x v="1515"/>
    <x v="24"/>
    <x v="303"/>
    <x v="6"/>
    <x v="2"/>
    <n v="186525.44"/>
    <x v="2"/>
    <x v="7"/>
  </r>
  <r>
    <x v="1539"/>
    <s v="Denise Warner"/>
    <x v="74"/>
    <x v="1"/>
    <x v="5"/>
    <x v="1516"/>
    <x v="6"/>
    <x v="6"/>
    <x v="1"/>
    <x v="1"/>
    <n v="384211.20000000001"/>
    <x v="0"/>
    <x v="5"/>
  </r>
  <r>
    <x v="1540"/>
    <s v="Isaiah Gaines"/>
    <x v="53"/>
    <x v="0"/>
    <x v="0"/>
    <x v="1517"/>
    <x v="32"/>
    <x v="321"/>
    <x v="8"/>
    <x v="4"/>
    <n v="189862.2"/>
    <x v="2"/>
    <x v="0"/>
  </r>
  <r>
    <x v="1541"/>
    <s v="Tanya Morris"/>
    <x v="86"/>
    <x v="0"/>
    <x v="0"/>
    <x v="1518"/>
    <x v="289"/>
    <x v="202"/>
    <x v="3"/>
    <x v="3"/>
    <n v="123116.61"/>
    <x v="1"/>
    <x v="1"/>
  </r>
  <r>
    <x v="1542"/>
    <s v="James Hobbs"/>
    <x v="35"/>
    <x v="0"/>
    <x v="4"/>
    <x v="1519"/>
    <x v="151"/>
    <x v="58"/>
    <x v="5"/>
    <x v="4"/>
    <n v="404027.61"/>
    <x v="0"/>
    <x v="0"/>
  </r>
  <r>
    <x v="1543"/>
    <s v="Kimberly Parks"/>
    <x v="7"/>
    <x v="1"/>
    <x v="2"/>
    <x v="1520"/>
    <x v="96"/>
    <x v="220"/>
    <x v="2"/>
    <x v="0"/>
    <n v="246881.35"/>
    <x v="1"/>
    <x v="4"/>
  </r>
  <r>
    <x v="1544"/>
    <s v="Kayla Schultz"/>
    <x v="64"/>
    <x v="0"/>
    <x v="0"/>
    <x v="1521"/>
    <x v="326"/>
    <x v="314"/>
    <x v="0"/>
    <x v="4"/>
    <n v="324903.65999999997"/>
    <x v="2"/>
    <x v="4"/>
  </r>
  <r>
    <x v="1545"/>
    <s v="Kenneth Mendoza"/>
    <x v="89"/>
    <x v="0"/>
    <x v="0"/>
    <x v="1522"/>
    <x v="333"/>
    <x v="39"/>
    <x v="0"/>
    <x v="2"/>
    <n v="202190.97"/>
    <x v="2"/>
    <x v="3"/>
  </r>
  <r>
    <x v="1546"/>
    <s v="Jerry Berry"/>
    <x v="49"/>
    <x v="0"/>
    <x v="6"/>
    <x v="1523"/>
    <x v="325"/>
    <x v="201"/>
    <x v="1"/>
    <x v="1"/>
    <n v="47320.06"/>
    <x v="1"/>
    <x v="12"/>
  </r>
  <r>
    <x v="1547"/>
    <s v="Caitlin Brown"/>
    <x v="56"/>
    <x v="0"/>
    <x v="6"/>
    <x v="1524"/>
    <x v="75"/>
    <x v="135"/>
    <x v="2"/>
    <x v="0"/>
    <n v="50513.27"/>
    <x v="2"/>
    <x v="4"/>
  </r>
  <r>
    <x v="1548"/>
    <s v="Ms. Crystal Martinez"/>
    <x v="54"/>
    <x v="1"/>
    <x v="1"/>
    <x v="1525"/>
    <x v="189"/>
    <x v="358"/>
    <x v="6"/>
    <x v="1"/>
    <n v="128267.83"/>
    <x v="2"/>
    <x v="14"/>
  </r>
  <r>
    <x v="1549"/>
    <s v="Laura Garrett"/>
    <x v="34"/>
    <x v="1"/>
    <x v="2"/>
    <x v="1526"/>
    <x v="14"/>
    <x v="282"/>
    <x v="1"/>
    <x v="1"/>
    <n v="121598.14"/>
    <x v="2"/>
    <x v="5"/>
  </r>
  <r>
    <x v="1550"/>
    <s v="Lee Smith"/>
    <x v="3"/>
    <x v="0"/>
    <x v="5"/>
    <x v="1527"/>
    <x v="314"/>
    <x v="195"/>
    <x v="7"/>
    <x v="0"/>
    <n v="89619.7"/>
    <x v="1"/>
    <x v="4"/>
  </r>
  <r>
    <x v="1551"/>
    <s v="Amy Mills"/>
    <x v="21"/>
    <x v="1"/>
    <x v="3"/>
    <x v="1528"/>
    <x v="358"/>
    <x v="83"/>
    <x v="8"/>
    <x v="1"/>
    <n v="242688.61"/>
    <x v="1"/>
    <x v="5"/>
  </r>
  <r>
    <x v="1552"/>
    <s v="Melissa Gallagher"/>
    <x v="82"/>
    <x v="1"/>
    <x v="1"/>
    <x v="1529"/>
    <x v="187"/>
    <x v="0"/>
    <x v="3"/>
    <x v="2"/>
    <n v="169166.37"/>
    <x v="2"/>
    <x v="11"/>
  </r>
  <r>
    <x v="1553"/>
    <s v="Courtney Wiggins"/>
    <x v="72"/>
    <x v="0"/>
    <x v="0"/>
    <x v="1530"/>
    <x v="297"/>
    <x v="215"/>
    <x v="1"/>
    <x v="5"/>
    <n v="60462.67"/>
    <x v="2"/>
    <x v="2"/>
  </r>
  <r>
    <x v="1554"/>
    <s v="Steven Schneider"/>
    <x v="79"/>
    <x v="1"/>
    <x v="3"/>
    <x v="1531"/>
    <x v="254"/>
    <x v="288"/>
    <x v="1"/>
    <x v="3"/>
    <n v="36684.199999999997"/>
    <x v="0"/>
    <x v="13"/>
  </r>
  <r>
    <x v="1555"/>
    <s v="Edward Bryant"/>
    <x v="42"/>
    <x v="0"/>
    <x v="3"/>
    <x v="1532"/>
    <x v="140"/>
    <x v="246"/>
    <x v="8"/>
    <x v="5"/>
    <n v="63680.66"/>
    <x v="2"/>
    <x v="6"/>
  </r>
  <r>
    <x v="1556"/>
    <s v="Jeffery Koch"/>
    <x v="7"/>
    <x v="1"/>
    <x v="4"/>
    <x v="1533"/>
    <x v="333"/>
    <x v="336"/>
    <x v="9"/>
    <x v="0"/>
    <n v="372546.74"/>
    <x v="2"/>
    <x v="6"/>
  </r>
  <r>
    <x v="1557"/>
    <s v="Steven Miller"/>
    <x v="33"/>
    <x v="0"/>
    <x v="3"/>
    <x v="1534"/>
    <x v="285"/>
    <x v="129"/>
    <x v="8"/>
    <x v="2"/>
    <n v="27380.85"/>
    <x v="0"/>
    <x v="14"/>
  </r>
  <r>
    <x v="1558"/>
    <s v="Eric Little"/>
    <x v="80"/>
    <x v="1"/>
    <x v="4"/>
    <x v="1535"/>
    <x v="187"/>
    <x v="358"/>
    <x v="1"/>
    <x v="3"/>
    <n v="42335.24"/>
    <x v="1"/>
    <x v="1"/>
  </r>
  <r>
    <x v="1559"/>
    <s v="Steven Gilbert"/>
    <x v="35"/>
    <x v="1"/>
    <x v="3"/>
    <x v="1536"/>
    <x v="256"/>
    <x v="352"/>
    <x v="8"/>
    <x v="1"/>
    <n v="236121.19"/>
    <x v="1"/>
    <x v="0"/>
  </r>
  <r>
    <x v="1560"/>
    <s v="Maria Jimenez"/>
    <x v="82"/>
    <x v="1"/>
    <x v="3"/>
    <x v="1537"/>
    <x v="120"/>
    <x v="191"/>
    <x v="1"/>
    <x v="3"/>
    <n v="283722.11"/>
    <x v="0"/>
    <x v="4"/>
  </r>
  <r>
    <x v="1561"/>
    <s v="Joseph Wolfe"/>
    <x v="28"/>
    <x v="0"/>
    <x v="2"/>
    <x v="1538"/>
    <x v="145"/>
    <x v="14"/>
    <x v="6"/>
    <x v="3"/>
    <n v="322545.57"/>
    <x v="2"/>
    <x v="8"/>
  </r>
  <r>
    <x v="1562"/>
    <s v="Crystal Johnson"/>
    <x v="68"/>
    <x v="1"/>
    <x v="4"/>
    <x v="1539"/>
    <x v="167"/>
    <x v="351"/>
    <x v="3"/>
    <x v="4"/>
    <n v="445573.24"/>
    <x v="2"/>
    <x v="13"/>
  </r>
  <r>
    <x v="1563"/>
    <s v="Bianca Perry"/>
    <x v="77"/>
    <x v="0"/>
    <x v="1"/>
    <x v="1540"/>
    <x v="131"/>
    <x v="202"/>
    <x v="4"/>
    <x v="2"/>
    <n v="66935.839999999997"/>
    <x v="2"/>
    <x v="9"/>
  </r>
  <r>
    <x v="1564"/>
    <s v="Barbara Kennedy"/>
    <x v="57"/>
    <x v="1"/>
    <x v="0"/>
    <x v="1541"/>
    <x v="9"/>
    <x v="152"/>
    <x v="1"/>
    <x v="5"/>
    <n v="101553.07"/>
    <x v="2"/>
    <x v="0"/>
  </r>
  <r>
    <x v="1565"/>
    <s v="Lisa Phillips"/>
    <x v="61"/>
    <x v="1"/>
    <x v="6"/>
    <x v="1542"/>
    <x v="215"/>
    <x v="1"/>
    <x v="4"/>
    <x v="3"/>
    <n v="121199.45"/>
    <x v="1"/>
    <x v="14"/>
  </r>
  <r>
    <x v="1566"/>
    <s v="Michael Oconnor"/>
    <x v="88"/>
    <x v="1"/>
    <x v="3"/>
    <x v="1543"/>
    <x v="86"/>
    <x v="365"/>
    <x v="5"/>
    <x v="5"/>
    <n v="125896.22"/>
    <x v="0"/>
    <x v="1"/>
  </r>
  <r>
    <x v="1567"/>
    <s v="James Mccann"/>
    <x v="58"/>
    <x v="0"/>
    <x v="4"/>
    <x v="1544"/>
    <x v="75"/>
    <x v="313"/>
    <x v="9"/>
    <x v="5"/>
    <n v="258578.82"/>
    <x v="2"/>
    <x v="7"/>
  </r>
  <r>
    <x v="1568"/>
    <s v="Carolyn Hartman"/>
    <x v="20"/>
    <x v="0"/>
    <x v="1"/>
    <x v="1545"/>
    <x v="124"/>
    <x v="224"/>
    <x v="0"/>
    <x v="3"/>
    <n v="80196.44"/>
    <x v="0"/>
    <x v="14"/>
  </r>
  <r>
    <x v="1569"/>
    <s v="James Glenn"/>
    <x v="6"/>
    <x v="1"/>
    <x v="6"/>
    <x v="1546"/>
    <x v="66"/>
    <x v="119"/>
    <x v="1"/>
    <x v="4"/>
    <n v="105811.23"/>
    <x v="1"/>
    <x v="8"/>
  </r>
  <r>
    <x v="1570"/>
    <s v="Stephanie Green"/>
    <x v="2"/>
    <x v="1"/>
    <x v="4"/>
    <x v="1547"/>
    <x v="237"/>
    <x v="309"/>
    <x v="7"/>
    <x v="3"/>
    <n v="469862.25"/>
    <x v="0"/>
    <x v="7"/>
  </r>
  <r>
    <x v="1571"/>
    <s v="Brittany Boyer"/>
    <x v="14"/>
    <x v="0"/>
    <x v="2"/>
    <x v="1548"/>
    <x v="29"/>
    <x v="97"/>
    <x v="0"/>
    <x v="2"/>
    <n v="154658.37"/>
    <x v="0"/>
    <x v="10"/>
  </r>
  <r>
    <x v="1572"/>
    <s v="Valerie Payne"/>
    <x v="12"/>
    <x v="1"/>
    <x v="1"/>
    <x v="1549"/>
    <x v="8"/>
    <x v="37"/>
    <x v="2"/>
    <x v="5"/>
    <n v="303280.5"/>
    <x v="0"/>
    <x v="0"/>
  </r>
  <r>
    <x v="1573"/>
    <s v="John Rogers"/>
    <x v="68"/>
    <x v="1"/>
    <x v="3"/>
    <x v="1550"/>
    <x v="10"/>
    <x v="49"/>
    <x v="5"/>
    <x v="3"/>
    <n v="382011"/>
    <x v="0"/>
    <x v="4"/>
  </r>
  <r>
    <x v="1574"/>
    <s v="Lori Pearson"/>
    <x v="84"/>
    <x v="0"/>
    <x v="3"/>
    <x v="1551"/>
    <x v="142"/>
    <x v="200"/>
    <x v="5"/>
    <x v="4"/>
    <n v="95332.71"/>
    <x v="1"/>
    <x v="14"/>
  </r>
  <r>
    <x v="1575"/>
    <s v="Vickie Wood"/>
    <x v="80"/>
    <x v="0"/>
    <x v="2"/>
    <x v="1552"/>
    <x v="204"/>
    <x v="156"/>
    <x v="9"/>
    <x v="1"/>
    <n v="61851.53"/>
    <x v="2"/>
    <x v="12"/>
  </r>
  <r>
    <x v="1576"/>
    <s v="Timothy Owens"/>
    <x v="84"/>
    <x v="0"/>
    <x v="2"/>
    <x v="1553"/>
    <x v="261"/>
    <x v="118"/>
    <x v="1"/>
    <x v="2"/>
    <n v="453934.21"/>
    <x v="1"/>
    <x v="3"/>
  </r>
  <r>
    <x v="1577"/>
    <s v="Miguel Hayes"/>
    <x v="57"/>
    <x v="0"/>
    <x v="3"/>
    <x v="1554"/>
    <x v="304"/>
    <x v="357"/>
    <x v="2"/>
    <x v="0"/>
    <n v="383189.22"/>
    <x v="0"/>
    <x v="1"/>
  </r>
  <r>
    <x v="1578"/>
    <s v="Natalie Reyes"/>
    <x v="45"/>
    <x v="0"/>
    <x v="3"/>
    <x v="1555"/>
    <x v="127"/>
    <x v="321"/>
    <x v="1"/>
    <x v="5"/>
    <n v="126686.64"/>
    <x v="2"/>
    <x v="6"/>
  </r>
  <r>
    <x v="1579"/>
    <s v="Kelly Evans"/>
    <x v="86"/>
    <x v="1"/>
    <x v="6"/>
    <x v="1556"/>
    <x v="243"/>
    <x v="331"/>
    <x v="2"/>
    <x v="1"/>
    <n v="446169.07"/>
    <x v="0"/>
    <x v="5"/>
  </r>
  <r>
    <x v="1580"/>
    <s v="David Jackson"/>
    <x v="37"/>
    <x v="1"/>
    <x v="1"/>
    <x v="1557"/>
    <x v="157"/>
    <x v="236"/>
    <x v="5"/>
    <x v="5"/>
    <n v="56309.29"/>
    <x v="0"/>
    <x v="9"/>
  </r>
  <r>
    <x v="1581"/>
    <s v="Ann Williams"/>
    <x v="87"/>
    <x v="0"/>
    <x v="3"/>
    <x v="1558"/>
    <x v="53"/>
    <x v="330"/>
    <x v="2"/>
    <x v="0"/>
    <n v="480924.29"/>
    <x v="2"/>
    <x v="2"/>
  </r>
  <r>
    <x v="1582"/>
    <s v="Justin Anderson"/>
    <x v="52"/>
    <x v="0"/>
    <x v="1"/>
    <x v="1559"/>
    <x v="113"/>
    <x v="283"/>
    <x v="9"/>
    <x v="2"/>
    <n v="494662.34"/>
    <x v="2"/>
    <x v="6"/>
  </r>
  <r>
    <x v="1583"/>
    <s v="Ariana Hall"/>
    <x v="30"/>
    <x v="0"/>
    <x v="2"/>
    <x v="1560"/>
    <x v="191"/>
    <x v="318"/>
    <x v="4"/>
    <x v="5"/>
    <n v="363100.92"/>
    <x v="2"/>
    <x v="14"/>
  </r>
  <r>
    <x v="1584"/>
    <s v="Mark Schmidt"/>
    <x v="3"/>
    <x v="1"/>
    <x v="3"/>
    <x v="1561"/>
    <x v="211"/>
    <x v="34"/>
    <x v="2"/>
    <x v="4"/>
    <n v="6561.05"/>
    <x v="1"/>
    <x v="6"/>
  </r>
  <r>
    <x v="1585"/>
    <s v="Erika Navarro"/>
    <x v="10"/>
    <x v="1"/>
    <x v="6"/>
    <x v="1562"/>
    <x v="46"/>
    <x v="109"/>
    <x v="3"/>
    <x v="0"/>
    <n v="24907.29"/>
    <x v="1"/>
    <x v="13"/>
  </r>
  <r>
    <x v="1586"/>
    <s v="Dylan Bowers"/>
    <x v="73"/>
    <x v="1"/>
    <x v="0"/>
    <x v="1563"/>
    <x v="113"/>
    <x v="52"/>
    <x v="3"/>
    <x v="2"/>
    <n v="61321.35"/>
    <x v="0"/>
    <x v="2"/>
  </r>
  <r>
    <x v="1587"/>
    <s v="Miranda Evans"/>
    <x v="8"/>
    <x v="0"/>
    <x v="5"/>
    <x v="1564"/>
    <x v="84"/>
    <x v="246"/>
    <x v="1"/>
    <x v="1"/>
    <n v="104386.72"/>
    <x v="1"/>
    <x v="12"/>
  </r>
  <r>
    <x v="1588"/>
    <s v="Charles Petersen"/>
    <x v="66"/>
    <x v="0"/>
    <x v="5"/>
    <x v="1565"/>
    <x v="299"/>
    <x v="163"/>
    <x v="0"/>
    <x v="4"/>
    <n v="18210.740000000002"/>
    <x v="2"/>
    <x v="9"/>
  </r>
  <r>
    <x v="1589"/>
    <s v="Ashley Murray"/>
    <x v="77"/>
    <x v="0"/>
    <x v="4"/>
    <x v="1566"/>
    <x v="347"/>
    <x v="270"/>
    <x v="1"/>
    <x v="0"/>
    <n v="434277.3"/>
    <x v="0"/>
    <x v="14"/>
  </r>
  <r>
    <x v="1590"/>
    <s v="Robert Murphy"/>
    <x v="84"/>
    <x v="0"/>
    <x v="6"/>
    <x v="1567"/>
    <x v="142"/>
    <x v="139"/>
    <x v="2"/>
    <x v="4"/>
    <n v="33931.11"/>
    <x v="0"/>
    <x v="2"/>
  </r>
  <r>
    <x v="1591"/>
    <s v="Cindy French"/>
    <x v="20"/>
    <x v="1"/>
    <x v="5"/>
    <x v="1568"/>
    <x v="3"/>
    <x v="131"/>
    <x v="4"/>
    <x v="0"/>
    <n v="208882.61"/>
    <x v="1"/>
    <x v="1"/>
  </r>
  <r>
    <x v="1592"/>
    <s v="Belinda Browning"/>
    <x v="32"/>
    <x v="0"/>
    <x v="0"/>
    <x v="1569"/>
    <x v="150"/>
    <x v="362"/>
    <x v="7"/>
    <x v="3"/>
    <n v="102341.1"/>
    <x v="0"/>
    <x v="13"/>
  </r>
  <r>
    <x v="1593"/>
    <s v="Gregg Hansen"/>
    <x v="11"/>
    <x v="0"/>
    <x v="2"/>
    <x v="1570"/>
    <x v="143"/>
    <x v="110"/>
    <x v="7"/>
    <x v="5"/>
    <n v="233154.73"/>
    <x v="0"/>
    <x v="9"/>
  </r>
  <r>
    <x v="1594"/>
    <s v="Jason Paul"/>
    <x v="83"/>
    <x v="1"/>
    <x v="6"/>
    <x v="774"/>
    <x v="78"/>
    <x v="37"/>
    <x v="2"/>
    <x v="1"/>
    <n v="9112.2800000000007"/>
    <x v="1"/>
    <x v="8"/>
  </r>
  <r>
    <x v="1595"/>
    <s v="Brent Benton"/>
    <x v="81"/>
    <x v="1"/>
    <x v="5"/>
    <x v="1571"/>
    <x v="224"/>
    <x v="116"/>
    <x v="1"/>
    <x v="3"/>
    <n v="355468.14"/>
    <x v="2"/>
    <x v="4"/>
  </r>
  <r>
    <x v="1596"/>
    <s v="Brianna Yu"/>
    <x v="78"/>
    <x v="0"/>
    <x v="5"/>
    <x v="1572"/>
    <x v="342"/>
    <x v="144"/>
    <x v="3"/>
    <x v="1"/>
    <n v="174371.83"/>
    <x v="2"/>
    <x v="9"/>
  </r>
  <r>
    <x v="1597"/>
    <s v="Christopher Simpson"/>
    <x v="48"/>
    <x v="0"/>
    <x v="3"/>
    <x v="1573"/>
    <x v="352"/>
    <x v="254"/>
    <x v="2"/>
    <x v="3"/>
    <n v="124289.55"/>
    <x v="0"/>
    <x v="7"/>
  </r>
  <r>
    <x v="1598"/>
    <s v="April Richardson"/>
    <x v="59"/>
    <x v="0"/>
    <x v="6"/>
    <x v="1574"/>
    <x v="283"/>
    <x v="302"/>
    <x v="8"/>
    <x v="5"/>
    <n v="149076.64000000001"/>
    <x v="1"/>
    <x v="10"/>
  </r>
  <r>
    <x v="1599"/>
    <s v="Kristen Taylor"/>
    <x v="76"/>
    <x v="1"/>
    <x v="5"/>
    <x v="1575"/>
    <x v="246"/>
    <x v="21"/>
    <x v="2"/>
    <x v="4"/>
    <n v="364993.71"/>
    <x v="2"/>
    <x v="8"/>
  </r>
  <r>
    <x v="1600"/>
    <s v="Terry Jones"/>
    <x v="50"/>
    <x v="1"/>
    <x v="6"/>
    <x v="1576"/>
    <x v="268"/>
    <x v="298"/>
    <x v="0"/>
    <x v="3"/>
    <n v="330329.45"/>
    <x v="2"/>
    <x v="2"/>
  </r>
  <r>
    <x v="1601"/>
    <s v="Christopher Graham"/>
    <x v="45"/>
    <x v="0"/>
    <x v="0"/>
    <x v="1577"/>
    <x v="325"/>
    <x v="67"/>
    <x v="6"/>
    <x v="4"/>
    <n v="498965.96"/>
    <x v="0"/>
    <x v="8"/>
  </r>
  <r>
    <x v="1602"/>
    <s v="Nicholas Navarro"/>
    <x v="8"/>
    <x v="1"/>
    <x v="3"/>
    <x v="1578"/>
    <x v="185"/>
    <x v="331"/>
    <x v="5"/>
    <x v="3"/>
    <n v="387502.61"/>
    <x v="1"/>
    <x v="1"/>
  </r>
  <r>
    <x v="1603"/>
    <s v="Brandon Williamson"/>
    <x v="23"/>
    <x v="0"/>
    <x v="4"/>
    <x v="1579"/>
    <x v="32"/>
    <x v="39"/>
    <x v="7"/>
    <x v="1"/>
    <n v="371624.98"/>
    <x v="0"/>
    <x v="12"/>
  </r>
  <r>
    <x v="1604"/>
    <s v="Erika Cole"/>
    <x v="40"/>
    <x v="1"/>
    <x v="4"/>
    <x v="1580"/>
    <x v="20"/>
    <x v="6"/>
    <x v="7"/>
    <x v="1"/>
    <n v="60488.07"/>
    <x v="0"/>
    <x v="6"/>
  </r>
  <r>
    <x v="1605"/>
    <s v="Theresa Tyler"/>
    <x v="82"/>
    <x v="0"/>
    <x v="3"/>
    <x v="1581"/>
    <x v="71"/>
    <x v="365"/>
    <x v="3"/>
    <x v="0"/>
    <n v="292222.01"/>
    <x v="0"/>
    <x v="11"/>
  </r>
  <r>
    <x v="1606"/>
    <s v="Keith Miller"/>
    <x v="5"/>
    <x v="1"/>
    <x v="4"/>
    <x v="1582"/>
    <x v="73"/>
    <x v="114"/>
    <x v="2"/>
    <x v="3"/>
    <n v="490745.36"/>
    <x v="0"/>
    <x v="12"/>
  </r>
  <r>
    <x v="1607"/>
    <s v="Michael Mann"/>
    <x v="45"/>
    <x v="0"/>
    <x v="4"/>
    <x v="1583"/>
    <x v="38"/>
    <x v="6"/>
    <x v="1"/>
    <x v="3"/>
    <n v="185177.58"/>
    <x v="0"/>
    <x v="3"/>
  </r>
  <r>
    <x v="1608"/>
    <s v="Sandra Carter"/>
    <x v="48"/>
    <x v="1"/>
    <x v="0"/>
    <x v="1584"/>
    <x v="55"/>
    <x v="74"/>
    <x v="1"/>
    <x v="5"/>
    <n v="368943.85"/>
    <x v="2"/>
    <x v="8"/>
  </r>
  <r>
    <x v="1609"/>
    <s v="Christine Miles"/>
    <x v="9"/>
    <x v="0"/>
    <x v="0"/>
    <x v="1585"/>
    <x v="202"/>
    <x v="94"/>
    <x v="0"/>
    <x v="2"/>
    <n v="371660.78"/>
    <x v="2"/>
    <x v="3"/>
  </r>
  <r>
    <x v="1610"/>
    <s v="Joshua Adams"/>
    <x v="5"/>
    <x v="1"/>
    <x v="6"/>
    <x v="1586"/>
    <x v="60"/>
    <x v="26"/>
    <x v="9"/>
    <x v="5"/>
    <n v="135180.03"/>
    <x v="2"/>
    <x v="3"/>
  </r>
  <r>
    <x v="1611"/>
    <s v="Courtney Carter"/>
    <x v="70"/>
    <x v="1"/>
    <x v="0"/>
    <x v="1587"/>
    <x v="1"/>
    <x v="156"/>
    <x v="5"/>
    <x v="5"/>
    <n v="159744.62"/>
    <x v="1"/>
    <x v="2"/>
  </r>
  <r>
    <x v="1612"/>
    <s v="Judith Wells"/>
    <x v="41"/>
    <x v="1"/>
    <x v="2"/>
    <x v="1588"/>
    <x v="237"/>
    <x v="309"/>
    <x v="6"/>
    <x v="0"/>
    <n v="384244.16"/>
    <x v="1"/>
    <x v="7"/>
  </r>
  <r>
    <x v="1613"/>
    <s v="Todd Williams"/>
    <x v="54"/>
    <x v="0"/>
    <x v="4"/>
    <x v="1589"/>
    <x v="249"/>
    <x v="299"/>
    <x v="5"/>
    <x v="1"/>
    <n v="296519.90999999997"/>
    <x v="1"/>
    <x v="9"/>
  </r>
  <r>
    <x v="1614"/>
    <s v="Roger Blackwell"/>
    <x v="22"/>
    <x v="1"/>
    <x v="5"/>
    <x v="1590"/>
    <x v="287"/>
    <x v="102"/>
    <x v="4"/>
    <x v="3"/>
    <n v="91148.92"/>
    <x v="1"/>
    <x v="6"/>
  </r>
  <r>
    <x v="1615"/>
    <s v="David Roman"/>
    <x v="33"/>
    <x v="1"/>
    <x v="3"/>
    <x v="1591"/>
    <x v="311"/>
    <x v="78"/>
    <x v="8"/>
    <x v="3"/>
    <n v="452123.96"/>
    <x v="2"/>
    <x v="0"/>
  </r>
  <r>
    <x v="1616"/>
    <s v="Cassandra Johnson"/>
    <x v="86"/>
    <x v="0"/>
    <x v="3"/>
    <x v="1592"/>
    <x v="17"/>
    <x v="182"/>
    <x v="2"/>
    <x v="0"/>
    <n v="19015.57"/>
    <x v="1"/>
    <x v="3"/>
  </r>
  <r>
    <x v="1617"/>
    <s v="Cody Rivera"/>
    <x v="46"/>
    <x v="0"/>
    <x v="0"/>
    <x v="1593"/>
    <x v="326"/>
    <x v="216"/>
    <x v="9"/>
    <x v="3"/>
    <n v="219268.12"/>
    <x v="0"/>
    <x v="2"/>
  </r>
  <r>
    <x v="1618"/>
    <s v="Martha Garcia"/>
    <x v="54"/>
    <x v="1"/>
    <x v="1"/>
    <x v="355"/>
    <x v="113"/>
    <x v="199"/>
    <x v="8"/>
    <x v="4"/>
    <n v="218604.66"/>
    <x v="1"/>
    <x v="14"/>
  </r>
  <r>
    <x v="1619"/>
    <s v="Thomas Pena"/>
    <x v="70"/>
    <x v="1"/>
    <x v="3"/>
    <x v="1594"/>
    <x v="199"/>
    <x v="180"/>
    <x v="9"/>
    <x v="4"/>
    <n v="240947.32"/>
    <x v="1"/>
    <x v="8"/>
  </r>
  <r>
    <x v="1620"/>
    <s v="Christine Gonzalez"/>
    <x v="38"/>
    <x v="1"/>
    <x v="3"/>
    <x v="1595"/>
    <x v="93"/>
    <x v="203"/>
    <x v="9"/>
    <x v="1"/>
    <n v="169455.14"/>
    <x v="0"/>
    <x v="8"/>
  </r>
  <r>
    <x v="1621"/>
    <s v="Travis Clark"/>
    <x v="65"/>
    <x v="1"/>
    <x v="4"/>
    <x v="1596"/>
    <x v="92"/>
    <x v="71"/>
    <x v="0"/>
    <x v="1"/>
    <n v="487209.79"/>
    <x v="1"/>
    <x v="7"/>
  </r>
  <r>
    <x v="1622"/>
    <s v="Robert Moyer"/>
    <x v="88"/>
    <x v="0"/>
    <x v="5"/>
    <x v="1597"/>
    <x v="343"/>
    <x v="329"/>
    <x v="8"/>
    <x v="3"/>
    <n v="260733.26"/>
    <x v="1"/>
    <x v="13"/>
  </r>
  <r>
    <x v="1623"/>
    <s v="Kathy Quinn"/>
    <x v="56"/>
    <x v="0"/>
    <x v="3"/>
    <x v="1598"/>
    <x v="194"/>
    <x v="323"/>
    <x v="5"/>
    <x v="3"/>
    <n v="467559.65"/>
    <x v="1"/>
    <x v="10"/>
  </r>
  <r>
    <x v="1624"/>
    <s v="Hayley Clark"/>
    <x v="78"/>
    <x v="1"/>
    <x v="5"/>
    <x v="1599"/>
    <x v="131"/>
    <x v="140"/>
    <x v="2"/>
    <x v="0"/>
    <n v="137718"/>
    <x v="1"/>
    <x v="0"/>
  </r>
  <r>
    <x v="1625"/>
    <s v="Samuel Davis"/>
    <x v="36"/>
    <x v="0"/>
    <x v="6"/>
    <x v="1600"/>
    <x v="242"/>
    <x v="207"/>
    <x v="1"/>
    <x v="4"/>
    <n v="265707.63"/>
    <x v="1"/>
    <x v="5"/>
  </r>
  <r>
    <x v="1626"/>
    <s v="Diamond Durham"/>
    <x v="12"/>
    <x v="1"/>
    <x v="2"/>
    <x v="1601"/>
    <x v="9"/>
    <x v="152"/>
    <x v="1"/>
    <x v="0"/>
    <n v="97939.51"/>
    <x v="2"/>
    <x v="0"/>
  </r>
  <r>
    <x v="1627"/>
    <s v="Daniel Page"/>
    <x v="7"/>
    <x v="1"/>
    <x v="1"/>
    <x v="1602"/>
    <x v="145"/>
    <x v="211"/>
    <x v="5"/>
    <x v="2"/>
    <n v="459165.35"/>
    <x v="1"/>
    <x v="14"/>
  </r>
  <r>
    <x v="1628"/>
    <s v="James Lee"/>
    <x v="76"/>
    <x v="1"/>
    <x v="3"/>
    <x v="1603"/>
    <x v="74"/>
    <x v="309"/>
    <x v="7"/>
    <x v="3"/>
    <n v="442149.18"/>
    <x v="2"/>
    <x v="1"/>
  </r>
  <r>
    <x v="1629"/>
    <s v="Sherry Neal"/>
    <x v="42"/>
    <x v="0"/>
    <x v="0"/>
    <x v="1604"/>
    <x v="10"/>
    <x v="49"/>
    <x v="3"/>
    <x v="4"/>
    <n v="142800.31"/>
    <x v="1"/>
    <x v="4"/>
  </r>
  <r>
    <x v="1630"/>
    <s v="Dana Vasquez"/>
    <x v="77"/>
    <x v="0"/>
    <x v="4"/>
    <x v="1605"/>
    <x v="198"/>
    <x v="143"/>
    <x v="0"/>
    <x v="3"/>
    <n v="11647.67"/>
    <x v="0"/>
    <x v="4"/>
  </r>
  <r>
    <x v="1631"/>
    <s v="Gregory Berg"/>
    <x v="63"/>
    <x v="1"/>
    <x v="2"/>
    <x v="1606"/>
    <x v="47"/>
    <x v="345"/>
    <x v="2"/>
    <x v="0"/>
    <n v="142808.97"/>
    <x v="0"/>
    <x v="2"/>
  </r>
  <r>
    <x v="1632"/>
    <s v="Robert Green"/>
    <x v="76"/>
    <x v="1"/>
    <x v="4"/>
    <x v="1607"/>
    <x v="218"/>
    <x v="324"/>
    <x v="9"/>
    <x v="1"/>
    <n v="399626.84"/>
    <x v="1"/>
    <x v="2"/>
  </r>
  <r>
    <x v="1633"/>
    <s v="Angela Ho"/>
    <x v="83"/>
    <x v="0"/>
    <x v="2"/>
    <x v="1608"/>
    <x v="247"/>
    <x v="119"/>
    <x v="1"/>
    <x v="2"/>
    <n v="78644.75"/>
    <x v="0"/>
    <x v="14"/>
  </r>
  <r>
    <x v="1634"/>
    <s v="Francisco Knox"/>
    <x v="6"/>
    <x v="0"/>
    <x v="2"/>
    <x v="1609"/>
    <x v="351"/>
    <x v="104"/>
    <x v="2"/>
    <x v="2"/>
    <n v="192283.99"/>
    <x v="0"/>
    <x v="3"/>
  </r>
  <r>
    <x v="1635"/>
    <s v="Leah Wade"/>
    <x v="58"/>
    <x v="0"/>
    <x v="3"/>
    <x v="574"/>
    <x v="344"/>
    <x v="11"/>
    <x v="5"/>
    <x v="4"/>
    <n v="301956.86"/>
    <x v="0"/>
    <x v="10"/>
  </r>
  <r>
    <x v="1636"/>
    <s v="Valerie Hayes"/>
    <x v="3"/>
    <x v="1"/>
    <x v="4"/>
    <x v="1610"/>
    <x v="11"/>
    <x v="97"/>
    <x v="5"/>
    <x v="0"/>
    <n v="59228.18"/>
    <x v="2"/>
    <x v="5"/>
  </r>
  <r>
    <x v="1637"/>
    <s v="Henry Bishop MD"/>
    <x v="67"/>
    <x v="0"/>
    <x v="3"/>
    <x v="1611"/>
    <x v="69"/>
    <x v="193"/>
    <x v="3"/>
    <x v="4"/>
    <n v="116311.35"/>
    <x v="0"/>
    <x v="3"/>
  </r>
  <r>
    <x v="1638"/>
    <s v="Cody Powers"/>
    <x v="38"/>
    <x v="1"/>
    <x v="3"/>
    <x v="1612"/>
    <x v="225"/>
    <x v="141"/>
    <x v="7"/>
    <x v="4"/>
    <n v="287566.03999999998"/>
    <x v="2"/>
    <x v="14"/>
  </r>
  <r>
    <x v="1639"/>
    <s v="Randall Steele"/>
    <x v="81"/>
    <x v="1"/>
    <x v="4"/>
    <x v="1613"/>
    <x v="148"/>
    <x v="3"/>
    <x v="7"/>
    <x v="3"/>
    <n v="258937.60000000001"/>
    <x v="2"/>
    <x v="8"/>
  </r>
  <r>
    <x v="1640"/>
    <s v="Jonathan Garrett"/>
    <x v="39"/>
    <x v="1"/>
    <x v="5"/>
    <x v="1614"/>
    <x v="127"/>
    <x v="135"/>
    <x v="7"/>
    <x v="4"/>
    <n v="377935.67"/>
    <x v="1"/>
    <x v="0"/>
  </r>
  <r>
    <x v="1641"/>
    <s v="James Williamson"/>
    <x v="31"/>
    <x v="0"/>
    <x v="6"/>
    <x v="1615"/>
    <x v="117"/>
    <x v="315"/>
    <x v="8"/>
    <x v="2"/>
    <n v="412569.89"/>
    <x v="1"/>
    <x v="13"/>
  </r>
  <r>
    <x v="1642"/>
    <s v="Stacy Myers"/>
    <x v="49"/>
    <x v="0"/>
    <x v="0"/>
    <x v="1616"/>
    <x v="23"/>
    <x v="227"/>
    <x v="8"/>
    <x v="0"/>
    <n v="436633.9"/>
    <x v="1"/>
    <x v="6"/>
  </r>
  <r>
    <x v="1643"/>
    <s v="John Jones"/>
    <x v="86"/>
    <x v="1"/>
    <x v="1"/>
    <x v="1617"/>
    <x v="319"/>
    <x v="61"/>
    <x v="5"/>
    <x v="1"/>
    <n v="310355.74"/>
    <x v="2"/>
    <x v="10"/>
  </r>
  <r>
    <x v="1644"/>
    <s v="Jennifer Baker"/>
    <x v="0"/>
    <x v="1"/>
    <x v="5"/>
    <x v="1618"/>
    <x v="57"/>
    <x v="281"/>
    <x v="2"/>
    <x v="5"/>
    <n v="182683.11"/>
    <x v="0"/>
    <x v="4"/>
  </r>
  <r>
    <x v="1645"/>
    <s v="Alec Meza"/>
    <x v="60"/>
    <x v="1"/>
    <x v="6"/>
    <x v="1619"/>
    <x v="237"/>
    <x v="216"/>
    <x v="3"/>
    <x v="5"/>
    <n v="319665.31"/>
    <x v="0"/>
    <x v="12"/>
  </r>
  <r>
    <x v="1646"/>
    <s v="Amanda Obrien"/>
    <x v="22"/>
    <x v="0"/>
    <x v="6"/>
    <x v="1620"/>
    <x v="343"/>
    <x v="222"/>
    <x v="5"/>
    <x v="5"/>
    <n v="433045.35"/>
    <x v="0"/>
    <x v="14"/>
  </r>
  <r>
    <x v="1647"/>
    <s v="Stephanie Williams"/>
    <x v="77"/>
    <x v="1"/>
    <x v="2"/>
    <x v="1621"/>
    <x v="343"/>
    <x v="92"/>
    <x v="7"/>
    <x v="4"/>
    <n v="277823.78999999998"/>
    <x v="0"/>
    <x v="0"/>
  </r>
  <r>
    <x v="1648"/>
    <s v="Anna Chang"/>
    <x v="15"/>
    <x v="0"/>
    <x v="0"/>
    <x v="1622"/>
    <x v="314"/>
    <x v="332"/>
    <x v="1"/>
    <x v="1"/>
    <n v="445850.1"/>
    <x v="2"/>
    <x v="7"/>
  </r>
  <r>
    <x v="1649"/>
    <s v="Joseph Welch"/>
    <x v="28"/>
    <x v="0"/>
    <x v="0"/>
    <x v="1623"/>
    <x v="0"/>
    <x v="28"/>
    <x v="0"/>
    <x v="2"/>
    <n v="337746.57"/>
    <x v="0"/>
    <x v="2"/>
  </r>
  <r>
    <x v="1650"/>
    <s v="Philip Watson"/>
    <x v="8"/>
    <x v="0"/>
    <x v="2"/>
    <x v="1624"/>
    <x v="35"/>
    <x v="292"/>
    <x v="7"/>
    <x v="2"/>
    <n v="308591.19"/>
    <x v="0"/>
    <x v="0"/>
  </r>
  <r>
    <x v="1651"/>
    <s v="Jared Dudley"/>
    <x v="67"/>
    <x v="0"/>
    <x v="3"/>
    <x v="1625"/>
    <x v="231"/>
    <x v="132"/>
    <x v="0"/>
    <x v="2"/>
    <n v="495674.93"/>
    <x v="0"/>
    <x v="7"/>
  </r>
  <r>
    <x v="1652"/>
    <s v="Trevor Anderson"/>
    <x v="79"/>
    <x v="1"/>
    <x v="0"/>
    <x v="1626"/>
    <x v="349"/>
    <x v="294"/>
    <x v="5"/>
    <x v="3"/>
    <n v="60934.81"/>
    <x v="2"/>
    <x v="14"/>
  </r>
  <r>
    <x v="1653"/>
    <s v="Stacy Boyd"/>
    <x v="74"/>
    <x v="1"/>
    <x v="4"/>
    <x v="1627"/>
    <x v="62"/>
    <x v="285"/>
    <x v="8"/>
    <x v="4"/>
    <n v="48439.17"/>
    <x v="0"/>
    <x v="13"/>
  </r>
  <r>
    <x v="1654"/>
    <s v="Curtis Schmidt"/>
    <x v="87"/>
    <x v="1"/>
    <x v="2"/>
    <x v="1628"/>
    <x v="0"/>
    <x v="185"/>
    <x v="0"/>
    <x v="0"/>
    <n v="333389.86"/>
    <x v="0"/>
    <x v="14"/>
  </r>
  <r>
    <x v="1655"/>
    <s v="Brittany West"/>
    <x v="64"/>
    <x v="0"/>
    <x v="1"/>
    <x v="1629"/>
    <x v="207"/>
    <x v="39"/>
    <x v="6"/>
    <x v="2"/>
    <n v="193889.81"/>
    <x v="1"/>
    <x v="1"/>
  </r>
  <r>
    <x v="1656"/>
    <s v="Olivia Cooper"/>
    <x v="87"/>
    <x v="0"/>
    <x v="0"/>
    <x v="1630"/>
    <x v="332"/>
    <x v="233"/>
    <x v="8"/>
    <x v="2"/>
    <n v="413199.91"/>
    <x v="0"/>
    <x v="7"/>
  </r>
  <r>
    <x v="1657"/>
    <s v="Jason Stevenson"/>
    <x v="80"/>
    <x v="0"/>
    <x v="6"/>
    <x v="1631"/>
    <x v="15"/>
    <x v="356"/>
    <x v="5"/>
    <x v="0"/>
    <n v="252521.85"/>
    <x v="2"/>
    <x v="3"/>
  </r>
  <r>
    <x v="1658"/>
    <s v="Julia Wilson"/>
    <x v="87"/>
    <x v="0"/>
    <x v="0"/>
    <x v="1632"/>
    <x v="321"/>
    <x v="235"/>
    <x v="6"/>
    <x v="5"/>
    <n v="454998.98"/>
    <x v="1"/>
    <x v="10"/>
  </r>
  <r>
    <x v="1659"/>
    <s v="Andrew Kane"/>
    <x v="64"/>
    <x v="1"/>
    <x v="1"/>
    <x v="1633"/>
    <x v="120"/>
    <x v="225"/>
    <x v="4"/>
    <x v="4"/>
    <n v="39104.33"/>
    <x v="2"/>
    <x v="9"/>
  </r>
  <r>
    <x v="1660"/>
    <s v="Joshua Lewis"/>
    <x v="21"/>
    <x v="1"/>
    <x v="1"/>
    <x v="1634"/>
    <x v="323"/>
    <x v="186"/>
    <x v="9"/>
    <x v="5"/>
    <n v="71265.7"/>
    <x v="1"/>
    <x v="5"/>
  </r>
  <r>
    <x v="1661"/>
    <s v="Julie Briggs"/>
    <x v="30"/>
    <x v="1"/>
    <x v="4"/>
    <x v="1635"/>
    <x v="154"/>
    <x v="227"/>
    <x v="7"/>
    <x v="4"/>
    <n v="64971.65"/>
    <x v="2"/>
    <x v="12"/>
  </r>
  <r>
    <x v="1662"/>
    <s v="Christine Clark"/>
    <x v="20"/>
    <x v="1"/>
    <x v="0"/>
    <x v="1636"/>
    <x v="169"/>
    <x v="45"/>
    <x v="9"/>
    <x v="0"/>
    <n v="84435.62"/>
    <x v="2"/>
    <x v="13"/>
  </r>
  <r>
    <x v="1663"/>
    <s v="Donna Rodriguez"/>
    <x v="89"/>
    <x v="0"/>
    <x v="4"/>
    <x v="1637"/>
    <x v="360"/>
    <x v="143"/>
    <x v="7"/>
    <x v="2"/>
    <n v="100430.73"/>
    <x v="2"/>
    <x v="3"/>
  </r>
  <r>
    <x v="1664"/>
    <s v="Darren Bennett DVM"/>
    <x v="34"/>
    <x v="0"/>
    <x v="3"/>
    <x v="1638"/>
    <x v="47"/>
    <x v="211"/>
    <x v="9"/>
    <x v="3"/>
    <n v="424102.13"/>
    <x v="0"/>
    <x v="13"/>
  </r>
  <r>
    <x v="1665"/>
    <s v="Larry Russell"/>
    <x v="32"/>
    <x v="0"/>
    <x v="6"/>
    <x v="1639"/>
    <x v="156"/>
    <x v="151"/>
    <x v="1"/>
    <x v="0"/>
    <n v="111119.21"/>
    <x v="0"/>
    <x v="9"/>
  </r>
  <r>
    <x v="1666"/>
    <s v="John Newman"/>
    <x v="31"/>
    <x v="1"/>
    <x v="0"/>
    <x v="1640"/>
    <x v="213"/>
    <x v="322"/>
    <x v="6"/>
    <x v="2"/>
    <n v="417516.46"/>
    <x v="2"/>
    <x v="14"/>
  </r>
  <r>
    <x v="1667"/>
    <s v="Natasha Caldwell"/>
    <x v="74"/>
    <x v="1"/>
    <x v="2"/>
    <x v="1641"/>
    <x v="18"/>
    <x v="250"/>
    <x v="9"/>
    <x v="2"/>
    <n v="105947.11"/>
    <x v="0"/>
    <x v="8"/>
  </r>
  <r>
    <x v="1668"/>
    <s v="Peter Dunlap"/>
    <x v="68"/>
    <x v="0"/>
    <x v="5"/>
    <x v="1642"/>
    <x v="193"/>
    <x v="248"/>
    <x v="8"/>
    <x v="0"/>
    <n v="307953.88"/>
    <x v="1"/>
    <x v="3"/>
  </r>
  <r>
    <x v="1669"/>
    <s v="Brian Guzman"/>
    <x v="80"/>
    <x v="0"/>
    <x v="5"/>
    <x v="1643"/>
    <x v="337"/>
    <x v="191"/>
    <x v="2"/>
    <x v="4"/>
    <n v="99985.89"/>
    <x v="2"/>
    <x v="11"/>
  </r>
  <r>
    <x v="1670"/>
    <s v="Mallory Rivera"/>
    <x v="50"/>
    <x v="1"/>
    <x v="6"/>
    <x v="1644"/>
    <x v="63"/>
    <x v="258"/>
    <x v="5"/>
    <x v="0"/>
    <n v="489183"/>
    <x v="1"/>
    <x v="3"/>
  </r>
  <r>
    <x v="1671"/>
    <s v="Anna Wells"/>
    <x v="70"/>
    <x v="1"/>
    <x v="0"/>
    <x v="1645"/>
    <x v="93"/>
    <x v="131"/>
    <x v="1"/>
    <x v="1"/>
    <n v="460328.72"/>
    <x v="2"/>
    <x v="12"/>
  </r>
  <r>
    <x v="1672"/>
    <s v="Karen Cannon"/>
    <x v="47"/>
    <x v="1"/>
    <x v="4"/>
    <x v="1646"/>
    <x v="267"/>
    <x v="315"/>
    <x v="0"/>
    <x v="4"/>
    <n v="84382.31"/>
    <x v="2"/>
    <x v="5"/>
  </r>
  <r>
    <x v="1673"/>
    <s v="Richard Coleman"/>
    <x v="88"/>
    <x v="1"/>
    <x v="6"/>
    <x v="1647"/>
    <x v="25"/>
    <x v="322"/>
    <x v="8"/>
    <x v="4"/>
    <n v="489805.41"/>
    <x v="2"/>
    <x v="9"/>
  </r>
  <r>
    <x v="1674"/>
    <s v="Diana Oconnor"/>
    <x v="31"/>
    <x v="1"/>
    <x v="4"/>
    <x v="1648"/>
    <x v="109"/>
    <x v="279"/>
    <x v="1"/>
    <x v="0"/>
    <n v="443040.02"/>
    <x v="2"/>
    <x v="5"/>
  </r>
  <r>
    <x v="1675"/>
    <s v="Richard Washington"/>
    <x v="68"/>
    <x v="0"/>
    <x v="5"/>
    <x v="1649"/>
    <x v="265"/>
    <x v="32"/>
    <x v="3"/>
    <x v="1"/>
    <n v="26599.24"/>
    <x v="1"/>
    <x v="3"/>
  </r>
  <r>
    <x v="1676"/>
    <s v="Brittany Frank"/>
    <x v="2"/>
    <x v="1"/>
    <x v="6"/>
    <x v="1650"/>
    <x v="267"/>
    <x v="233"/>
    <x v="5"/>
    <x v="0"/>
    <n v="333017.62"/>
    <x v="0"/>
    <x v="11"/>
  </r>
  <r>
    <x v="1677"/>
    <s v="Samuel Parrish"/>
    <x v="31"/>
    <x v="0"/>
    <x v="3"/>
    <x v="1651"/>
    <x v="283"/>
    <x v="306"/>
    <x v="3"/>
    <x v="0"/>
    <n v="226088.49"/>
    <x v="1"/>
    <x v="1"/>
  </r>
  <r>
    <x v="1678"/>
    <s v="Valerie Lee"/>
    <x v="55"/>
    <x v="1"/>
    <x v="1"/>
    <x v="1652"/>
    <x v="57"/>
    <x v="229"/>
    <x v="2"/>
    <x v="0"/>
    <n v="449068.47"/>
    <x v="0"/>
    <x v="9"/>
  </r>
  <r>
    <x v="1679"/>
    <s v="Gregory Miller"/>
    <x v="40"/>
    <x v="1"/>
    <x v="0"/>
    <x v="1653"/>
    <x v="75"/>
    <x v="147"/>
    <x v="0"/>
    <x v="2"/>
    <n v="264997.09000000003"/>
    <x v="2"/>
    <x v="3"/>
  </r>
  <r>
    <x v="1680"/>
    <s v="Donna Lopez"/>
    <x v="0"/>
    <x v="1"/>
    <x v="1"/>
    <x v="1654"/>
    <x v="137"/>
    <x v="240"/>
    <x v="2"/>
    <x v="1"/>
    <n v="98758.51"/>
    <x v="1"/>
    <x v="9"/>
  </r>
  <r>
    <x v="1681"/>
    <s v="Robert Lyons"/>
    <x v="63"/>
    <x v="1"/>
    <x v="5"/>
    <x v="1655"/>
    <x v="198"/>
    <x v="16"/>
    <x v="3"/>
    <x v="0"/>
    <n v="453347.7"/>
    <x v="0"/>
    <x v="12"/>
  </r>
  <r>
    <x v="1682"/>
    <s v="Ann Schmidt"/>
    <x v="2"/>
    <x v="1"/>
    <x v="5"/>
    <x v="1656"/>
    <x v="7"/>
    <x v="171"/>
    <x v="3"/>
    <x v="2"/>
    <n v="166367.76999999999"/>
    <x v="0"/>
    <x v="13"/>
  </r>
  <r>
    <x v="1683"/>
    <s v="Victor Bautista"/>
    <x v="74"/>
    <x v="0"/>
    <x v="3"/>
    <x v="1657"/>
    <x v="297"/>
    <x v="368"/>
    <x v="0"/>
    <x v="4"/>
    <n v="104102.29"/>
    <x v="0"/>
    <x v="10"/>
  </r>
  <r>
    <x v="1684"/>
    <s v="Cynthia Bush"/>
    <x v="72"/>
    <x v="1"/>
    <x v="0"/>
    <x v="1658"/>
    <x v="256"/>
    <x v="352"/>
    <x v="5"/>
    <x v="0"/>
    <n v="103056.77"/>
    <x v="2"/>
    <x v="0"/>
  </r>
  <r>
    <x v="1685"/>
    <s v="Michael Dixon"/>
    <x v="45"/>
    <x v="1"/>
    <x v="5"/>
    <x v="1659"/>
    <x v="155"/>
    <x v="6"/>
    <x v="3"/>
    <x v="4"/>
    <n v="434645.45"/>
    <x v="2"/>
    <x v="7"/>
  </r>
  <r>
    <x v="1686"/>
    <s v="Donna Shaw"/>
    <x v="65"/>
    <x v="0"/>
    <x v="2"/>
    <x v="1660"/>
    <x v="10"/>
    <x v="345"/>
    <x v="3"/>
    <x v="0"/>
    <n v="234851.9"/>
    <x v="2"/>
    <x v="9"/>
  </r>
  <r>
    <x v="1687"/>
    <s v="Natalie Brown"/>
    <x v="40"/>
    <x v="0"/>
    <x v="4"/>
    <x v="1661"/>
    <x v="145"/>
    <x v="10"/>
    <x v="3"/>
    <x v="4"/>
    <n v="222760.99"/>
    <x v="2"/>
    <x v="4"/>
  </r>
  <r>
    <x v="1688"/>
    <s v="Matthew Olson"/>
    <x v="29"/>
    <x v="0"/>
    <x v="4"/>
    <x v="1662"/>
    <x v="238"/>
    <x v="139"/>
    <x v="0"/>
    <x v="1"/>
    <n v="180871.89"/>
    <x v="0"/>
    <x v="4"/>
  </r>
  <r>
    <x v="1689"/>
    <s v="Mr. Philip Sanchez"/>
    <x v="43"/>
    <x v="1"/>
    <x v="6"/>
    <x v="1663"/>
    <x v="287"/>
    <x v="348"/>
    <x v="4"/>
    <x v="4"/>
    <n v="482138.23"/>
    <x v="1"/>
    <x v="1"/>
  </r>
  <r>
    <x v="1690"/>
    <s v="Phyllis Sullivan"/>
    <x v="12"/>
    <x v="0"/>
    <x v="1"/>
    <x v="1664"/>
    <x v="350"/>
    <x v="321"/>
    <x v="7"/>
    <x v="0"/>
    <n v="137286.75"/>
    <x v="1"/>
    <x v="5"/>
  </r>
  <r>
    <x v="1691"/>
    <s v="Amber Baker"/>
    <x v="83"/>
    <x v="1"/>
    <x v="1"/>
    <x v="1665"/>
    <x v="98"/>
    <x v="207"/>
    <x v="4"/>
    <x v="0"/>
    <n v="78210.7"/>
    <x v="0"/>
    <x v="7"/>
  </r>
  <r>
    <x v="1692"/>
    <s v="Melissa Lynch DVM"/>
    <x v="66"/>
    <x v="0"/>
    <x v="5"/>
    <x v="1666"/>
    <x v="23"/>
    <x v="158"/>
    <x v="1"/>
    <x v="5"/>
    <n v="453723.01"/>
    <x v="1"/>
    <x v="4"/>
  </r>
  <r>
    <x v="1693"/>
    <s v="William Fry"/>
    <x v="48"/>
    <x v="0"/>
    <x v="5"/>
    <x v="458"/>
    <x v="340"/>
    <x v="77"/>
    <x v="5"/>
    <x v="0"/>
    <n v="332896.87"/>
    <x v="2"/>
    <x v="7"/>
  </r>
  <r>
    <x v="1694"/>
    <s v="David Russell"/>
    <x v="79"/>
    <x v="0"/>
    <x v="3"/>
    <x v="1667"/>
    <x v="39"/>
    <x v="333"/>
    <x v="6"/>
    <x v="4"/>
    <n v="274630.18"/>
    <x v="1"/>
    <x v="5"/>
  </r>
  <r>
    <x v="1695"/>
    <s v="Anna Walker"/>
    <x v="73"/>
    <x v="1"/>
    <x v="6"/>
    <x v="1668"/>
    <x v="277"/>
    <x v="89"/>
    <x v="1"/>
    <x v="3"/>
    <n v="305615.98"/>
    <x v="0"/>
    <x v="11"/>
  </r>
  <r>
    <x v="1696"/>
    <s v="Stacey Smith"/>
    <x v="55"/>
    <x v="1"/>
    <x v="2"/>
    <x v="1669"/>
    <x v="356"/>
    <x v="227"/>
    <x v="5"/>
    <x v="4"/>
    <n v="494333.61"/>
    <x v="1"/>
    <x v="4"/>
  </r>
  <r>
    <x v="1697"/>
    <s v="Christopher Lopez"/>
    <x v="83"/>
    <x v="1"/>
    <x v="0"/>
    <x v="1670"/>
    <x v="250"/>
    <x v="290"/>
    <x v="7"/>
    <x v="5"/>
    <n v="74201.2"/>
    <x v="0"/>
    <x v="13"/>
  </r>
  <r>
    <x v="1698"/>
    <s v="Marcus Garcia"/>
    <x v="57"/>
    <x v="0"/>
    <x v="6"/>
    <x v="1671"/>
    <x v="79"/>
    <x v="86"/>
    <x v="1"/>
    <x v="2"/>
    <n v="135260.07999999999"/>
    <x v="2"/>
    <x v="11"/>
  </r>
  <r>
    <x v="1699"/>
    <s v="Megan Richardson"/>
    <x v="89"/>
    <x v="1"/>
    <x v="5"/>
    <x v="1672"/>
    <x v="144"/>
    <x v="152"/>
    <x v="6"/>
    <x v="1"/>
    <n v="472910.55"/>
    <x v="1"/>
    <x v="1"/>
  </r>
  <r>
    <x v="1700"/>
    <s v="Dr. Dale Adams MD"/>
    <x v="74"/>
    <x v="0"/>
    <x v="4"/>
    <x v="1673"/>
    <x v="219"/>
    <x v="319"/>
    <x v="5"/>
    <x v="2"/>
    <n v="120111.88"/>
    <x v="0"/>
    <x v="14"/>
  </r>
  <r>
    <x v="1701"/>
    <s v="Jacob Anderson"/>
    <x v="61"/>
    <x v="1"/>
    <x v="3"/>
    <x v="1674"/>
    <x v="68"/>
    <x v="128"/>
    <x v="5"/>
    <x v="5"/>
    <n v="40054.33"/>
    <x v="2"/>
    <x v="12"/>
  </r>
  <r>
    <x v="1702"/>
    <s v="Paul Adams"/>
    <x v="84"/>
    <x v="1"/>
    <x v="4"/>
    <x v="1675"/>
    <x v="146"/>
    <x v="262"/>
    <x v="9"/>
    <x v="5"/>
    <n v="31314.83"/>
    <x v="1"/>
    <x v="11"/>
  </r>
  <r>
    <x v="1703"/>
    <s v="Tommy Miranda"/>
    <x v="77"/>
    <x v="1"/>
    <x v="1"/>
    <x v="1676"/>
    <x v="184"/>
    <x v="122"/>
    <x v="8"/>
    <x v="2"/>
    <n v="47867.63"/>
    <x v="2"/>
    <x v="13"/>
  </r>
  <r>
    <x v="1704"/>
    <s v="David Mcmahon"/>
    <x v="59"/>
    <x v="1"/>
    <x v="2"/>
    <x v="1677"/>
    <x v="130"/>
    <x v="287"/>
    <x v="9"/>
    <x v="1"/>
    <n v="56940.51"/>
    <x v="1"/>
    <x v="9"/>
  </r>
  <r>
    <x v="1705"/>
    <s v="Steven Beck"/>
    <x v="38"/>
    <x v="0"/>
    <x v="4"/>
    <x v="1678"/>
    <x v="238"/>
    <x v="68"/>
    <x v="3"/>
    <x v="0"/>
    <n v="210952.52"/>
    <x v="0"/>
    <x v="14"/>
  </r>
  <r>
    <x v="1706"/>
    <s v="Shaun Watson"/>
    <x v="54"/>
    <x v="1"/>
    <x v="6"/>
    <x v="1679"/>
    <x v="361"/>
    <x v="325"/>
    <x v="7"/>
    <x v="5"/>
    <n v="218971.12"/>
    <x v="0"/>
    <x v="5"/>
  </r>
  <r>
    <x v="1707"/>
    <s v="Laurie Kent"/>
    <x v="10"/>
    <x v="0"/>
    <x v="1"/>
    <x v="1680"/>
    <x v="330"/>
    <x v="184"/>
    <x v="1"/>
    <x v="2"/>
    <n v="134346.9"/>
    <x v="1"/>
    <x v="9"/>
  </r>
  <r>
    <x v="1708"/>
    <s v="Madison Stewart"/>
    <x v="57"/>
    <x v="0"/>
    <x v="6"/>
    <x v="1681"/>
    <x v="243"/>
    <x v="338"/>
    <x v="7"/>
    <x v="0"/>
    <n v="312565.86"/>
    <x v="1"/>
    <x v="6"/>
  </r>
  <r>
    <x v="1709"/>
    <s v="Scott Hawkins"/>
    <x v="41"/>
    <x v="0"/>
    <x v="3"/>
    <x v="1682"/>
    <x v="282"/>
    <x v="126"/>
    <x v="0"/>
    <x v="1"/>
    <n v="397597.68"/>
    <x v="0"/>
    <x v="1"/>
  </r>
  <r>
    <x v="1710"/>
    <s v="Alyssa Salazar"/>
    <x v="25"/>
    <x v="0"/>
    <x v="3"/>
    <x v="1683"/>
    <x v="203"/>
    <x v="248"/>
    <x v="1"/>
    <x v="3"/>
    <n v="187674.7"/>
    <x v="2"/>
    <x v="13"/>
  </r>
  <r>
    <x v="1711"/>
    <s v="Tracey Graham"/>
    <x v="47"/>
    <x v="1"/>
    <x v="3"/>
    <x v="1684"/>
    <x v="146"/>
    <x v="65"/>
    <x v="9"/>
    <x v="3"/>
    <n v="215578.33"/>
    <x v="1"/>
    <x v="6"/>
  </r>
  <r>
    <x v="1712"/>
    <s v="Jasmine Walker"/>
    <x v="24"/>
    <x v="1"/>
    <x v="4"/>
    <x v="1685"/>
    <x v="273"/>
    <x v="210"/>
    <x v="5"/>
    <x v="4"/>
    <n v="354542"/>
    <x v="0"/>
    <x v="9"/>
  </r>
  <r>
    <x v="1713"/>
    <s v="Sean Cortez"/>
    <x v="85"/>
    <x v="0"/>
    <x v="5"/>
    <x v="1686"/>
    <x v="83"/>
    <x v="180"/>
    <x v="2"/>
    <x v="1"/>
    <n v="216951.16"/>
    <x v="1"/>
    <x v="1"/>
  </r>
  <r>
    <x v="1714"/>
    <s v="Rachel Lindsey"/>
    <x v="22"/>
    <x v="0"/>
    <x v="6"/>
    <x v="1687"/>
    <x v="55"/>
    <x v="67"/>
    <x v="4"/>
    <x v="1"/>
    <n v="302160.76"/>
    <x v="0"/>
    <x v="10"/>
  </r>
  <r>
    <x v="1715"/>
    <s v="Jessica Lopez"/>
    <x v="27"/>
    <x v="0"/>
    <x v="0"/>
    <x v="1688"/>
    <x v="105"/>
    <x v="246"/>
    <x v="6"/>
    <x v="4"/>
    <n v="196122.4"/>
    <x v="0"/>
    <x v="7"/>
  </r>
  <r>
    <x v="1716"/>
    <s v="Lisa Baker"/>
    <x v="63"/>
    <x v="0"/>
    <x v="2"/>
    <x v="1689"/>
    <x v="234"/>
    <x v="231"/>
    <x v="4"/>
    <x v="2"/>
    <n v="78573.23"/>
    <x v="1"/>
    <x v="3"/>
  </r>
  <r>
    <x v="1717"/>
    <s v="Scott Foster"/>
    <x v="22"/>
    <x v="0"/>
    <x v="6"/>
    <x v="1690"/>
    <x v="128"/>
    <x v="186"/>
    <x v="6"/>
    <x v="0"/>
    <n v="250568.94"/>
    <x v="1"/>
    <x v="4"/>
  </r>
  <r>
    <x v="1718"/>
    <s v="Shannon Nelson"/>
    <x v="14"/>
    <x v="1"/>
    <x v="6"/>
    <x v="1691"/>
    <x v="199"/>
    <x v="299"/>
    <x v="3"/>
    <x v="5"/>
    <n v="386402.98"/>
    <x v="2"/>
    <x v="3"/>
  </r>
  <r>
    <x v="1719"/>
    <s v="Kyle George"/>
    <x v="26"/>
    <x v="1"/>
    <x v="0"/>
    <x v="1692"/>
    <x v="146"/>
    <x v="12"/>
    <x v="7"/>
    <x v="0"/>
    <n v="317256.12"/>
    <x v="1"/>
    <x v="1"/>
  </r>
  <r>
    <x v="1720"/>
    <s v="Audrey Bridges"/>
    <x v="17"/>
    <x v="1"/>
    <x v="4"/>
    <x v="1693"/>
    <x v="309"/>
    <x v="58"/>
    <x v="4"/>
    <x v="0"/>
    <n v="479314.82"/>
    <x v="2"/>
    <x v="10"/>
  </r>
  <r>
    <x v="1721"/>
    <s v="Kristin Davis"/>
    <x v="8"/>
    <x v="1"/>
    <x v="5"/>
    <x v="1694"/>
    <x v="325"/>
    <x v="347"/>
    <x v="1"/>
    <x v="1"/>
    <n v="459351.88"/>
    <x v="2"/>
    <x v="1"/>
  </r>
  <r>
    <x v="1722"/>
    <s v="Adam Henson"/>
    <x v="52"/>
    <x v="1"/>
    <x v="5"/>
    <x v="1695"/>
    <x v="154"/>
    <x v="337"/>
    <x v="0"/>
    <x v="0"/>
    <n v="394818.85"/>
    <x v="0"/>
    <x v="11"/>
  </r>
  <r>
    <x v="1723"/>
    <s v="John Kelly"/>
    <x v="81"/>
    <x v="1"/>
    <x v="2"/>
    <x v="1696"/>
    <x v="74"/>
    <x v="339"/>
    <x v="0"/>
    <x v="4"/>
    <n v="34681.360000000001"/>
    <x v="1"/>
    <x v="2"/>
  </r>
  <r>
    <x v="1724"/>
    <s v="Ricardo Garcia"/>
    <x v="30"/>
    <x v="0"/>
    <x v="0"/>
    <x v="1697"/>
    <x v="171"/>
    <x v="254"/>
    <x v="5"/>
    <x v="4"/>
    <n v="202946.11"/>
    <x v="0"/>
    <x v="4"/>
  </r>
  <r>
    <x v="1725"/>
    <s v="Alexander Schroeder"/>
    <x v="11"/>
    <x v="0"/>
    <x v="4"/>
    <x v="1698"/>
    <x v="37"/>
    <x v="196"/>
    <x v="6"/>
    <x v="1"/>
    <n v="199049.62"/>
    <x v="0"/>
    <x v="6"/>
  </r>
  <r>
    <x v="1726"/>
    <s v="Shannon Wallace"/>
    <x v="30"/>
    <x v="1"/>
    <x v="6"/>
    <x v="1699"/>
    <x v="217"/>
    <x v="369"/>
    <x v="1"/>
    <x v="4"/>
    <n v="423956.63"/>
    <x v="0"/>
    <x v="1"/>
  </r>
  <r>
    <x v="1727"/>
    <s v="Mary Stephenson"/>
    <x v="10"/>
    <x v="0"/>
    <x v="2"/>
    <x v="1700"/>
    <x v="160"/>
    <x v="33"/>
    <x v="3"/>
    <x v="3"/>
    <n v="316859.81"/>
    <x v="0"/>
    <x v="14"/>
  </r>
  <r>
    <x v="1728"/>
    <s v="Amy Lee"/>
    <x v="54"/>
    <x v="1"/>
    <x v="1"/>
    <x v="1701"/>
    <x v="276"/>
    <x v="95"/>
    <x v="8"/>
    <x v="5"/>
    <n v="486582.35"/>
    <x v="2"/>
    <x v="3"/>
  </r>
  <r>
    <x v="1729"/>
    <s v="Katherine Owens"/>
    <x v="27"/>
    <x v="1"/>
    <x v="3"/>
    <x v="1702"/>
    <x v="56"/>
    <x v="318"/>
    <x v="9"/>
    <x v="5"/>
    <n v="462312.91"/>
    <x v="2"/>
    <x v="5"/>
  </r>
  <r>
    <x v="1730"/>
    <s v="Lucas White"/>
    <x v="12"/>
    <x v="1"/>
    <x v="0"/>
    <x v="1703"/>
    <x v="108"/>
    <x v="83"/>
    <x v="7"/>
    <x v="4"/>
    <n v="172503.79"/>
    <x v="1"/>
    <x v="1"/>
  </r>
  <r>
    <x v="1731"/>
    <s v="Matthew Marquez"/>
    <x v="86"/>
    <x v="1"/>
    <x v="5"/>
    <x v="1704"/>
    <x v="156"/>
    <x v="308"/>
    <x v="1"/>
    <x v="5"/>
    <n v="317528.59999999998"/>
    <x v="0"/>
    <x v="8"/>
  </r>
  <r>
    <x v="1732"/>
    <s v="Jessica Saunders"/>
    <x v="6"/>
    <x v="0"/>
    <x v="1"/>
    <x v="1705"/>
    <x v="59"/>
    <x v="160"/>
    <x v="3"/>
    <x v="0"/>
    <n v="78483.070000000007"/>
    <x v="1"/>
    <x v="8"/>
  </r>
  <r>
    <x v="1733"/>
    <s v="Richard Murphy"/>
    <x v="36"/>
    <x v="1"/>
    <x v="0"/>
    <x v="1706"/>
    <x v="273"/>
    <x v="262"/>
    <x v="2"/>
    <x v="0"/>
    <n v="391746.31"/>
    <x v="0"/>
    <x v="8"/>
  </r>
  <r>
    <x v="1734"/>
    <s v="Lisa Cantrell"/>
    <x v="85"/>
    <x v="0"/>
    <x v="2"/>
    <x v="1707"/>
    <x v="191"/>
    <x v="100"/>
    <x v="9"/>
    <x v="3"/>
    <n v="51177.37"/>
    <x v="2"/>
    <x v="13"/>
  </r>
  <r>
    <x v="1735"/>
    <s v="Jane Guzman"/>
    <x v="67"/>
    <x v="0"/>
    <x v="0"/>
    <x v="1708"/>
    <x v="185"/>
    <x v="99"/>
    <x v="2"/>
    <x v="0"/>
    <n v="386799.14"/>
    <x v="1"/>
    <x v="13"/>
  </r>
  <r>
    <x v="1736"/>
    <s v="Michael Knight"/>
    <x v="32"/>
    <x v="1"/>
    <x v="5"/>
    <x v="1709"/>
    <x v="113"/>
    <x v="283"/>
    <x v="7"/>
    <x v="2"/>
    <n v="256232.84"/>
    <x v="2"/>
    <x v="6"/>
  </r>
  <r>
    <x v="1737"/>
    <s v="Steven Spencer"/>
    <x v="7"/>
    <x v="0"/>
    <x v="6"/>
    <x v="1710"/>
    <x v="272"/>
    <x v="355"/>
    <x v="9"/>
    <x v="5"/>
    <n v="50934.31"/>
    <x v="0"/>
    <x v="4"/>
  </r>
  <r>
    <x v="1738"/>
    <s v="Anthony Robinson MD"/>
    <x v="48"/>
    <x v="1"/>
    <x v="0"/>
    <x v="1711"/>
    <x v="76"/>
    <x v="153"/>
    <x v="7"/>
    <x v="4"/>
    <n v="245193.17"/>
    <x v="2"/>
    <x v="8"/>
  </r>
  <r>
    <x v="1739"/>
    <s v="Tracey Gross"/>
    <x v="66"/>
    <x v="1"/>
    <x v="4"/>
    <x v="1712"/>
    <x v="61"/>
    <x v="232"/>
    <x v="1"/>
    <x v="1"/>
    <n v="418547.36"/>
    <x v="2"/>
    <x v="13"/>
  </r>
  <r>
    <x v="1740"/>
    <s v="Brittany Martinez"/>
    <x v="34"/>
    <x v="1"/>
    <x v="1"/>
    <x v="1713"/>
    <x v="196"/>
    <x v="96"/>
    <x v="4"/>
    <x v="3"/>
    <n v="449231.94"/>
    <x v="1"/>
    <x v="6"/>
  </r>
  <r>
    <x v="1741"/>
    <s v="Michael Morrow"/>
    <x v="41"/>
    <x v="0"/>
    <x v="2"/>
    <x v="1714"/>
    <x v="231"/>
    <x v="29"/>
    <x v="8"/>
    <x v="2"/>
    <n v="449746.47"/>
    <x v="0"/>
    <x v="6"/>
  </r>
  <r>
    <x v="1742"/>
    <s v="Aaron Burch"/>
    <x v="18"/>
    <x v="0"/>
    <x v="2"/>
    <x v="1715"/>
    <x v="213"/>
    <x v="162"/>
    <x v="9"/>
    <x v="5"/>
    <n v="377736.98"/>
    <x v="0"/>
    <x v="7"/>
  </r>
  <r>
    <x v="1743"/>
    <s v="Jennifer Andrews"/>
    <x v="73"/>
    <x v="0"/>
    <x v="6"/>
    <x v="1716"/>
    <x v="247"/>
    <x v="302"/>
    <x v="8"/>
    <x v="0"/>
    <n v="144669.21"/>
    <x v="1"/>
    <x v="8"/>
  </r>
  <r>
    <x v="1744"/>
    <s v="Melissa Kelley"/>
    <x v="26"/>
    <x v="0"/>
    <x v="2"/>
    <x v="1717"/>
    <x v="255"/>
    <x v="173"/>
    <x v="3"/>
    <x v="5"/>
    <n v="191437"/>
    <x v="1"/>
    <x v="6"/>
  </r>
  <r>
    <x v="1745"/>
    <s v="Marcus Diaz"/>
    <x v="75"/>
    <x v="1"/>
    <x v="4"/>
    <x v="1718"/>
    <x v="275"/>
    <x v="108"/>
    <x v="1"/>
    <x v="3"/>
    <n v="494435.43"/>
    <x v="0"/>
    <x v="7"/>
  </r>
  <r>
    <x v="1746"/>
    <s v="Jerome Armstrong"/>
    <x v="27"/>
    <x v="0"/>
    <x v="5"/>
    <x v="1719"/>
    <x v="284"/>
    <x v="270"/>
    <x v="7"/>
    <x v="3"/>
    <n v="409730.75"/>
    <x v="0"/>
    <x v="6"/>
  </r>
  <r>
    <x v="1747"/>
    <s v="Richard Phillips"/>
    <x v="78"/>
    <x v="1"/>
    <x v="5"/>
    <x v="1720"/>
    <x v="262"/>
    <x v="112"/>
    <x v="8"/>
    <x v="1"/>
    <n v="16083.52"/>
    <x v="2"/>
    <x v="1"/>
  </r>
  <r>
    <x v="1748"/>
    <s v="Henry Small"/>
    <x v="11"/>
    <x v="0"/>
    <x v="6"/>
    <x v="1721"/>
    <x v="200"/>
    <x v="234"/>
    <x v="6"/>
    <x v="0"/>
    <n v="92965.46"/>
    <x v="1"/>
    <x v="11"/>
  </r>
  <r>
    <x v="1749"/>
    <s v="Christopher Owen"/>
    <x v="54"/>
    <x v="0"/>
    <x v="3"/>
    <x v="1722"/>
    <x v="294"/>
    <x v="244"/>
    <x v="1"/>
    <x v="2"/>
    <n v="461441.45"/>
    <x v="0"/>
    <x v="12"/>
  </r>
  <r>
    <x v="1750"/>
    <s v="Christine Duncan"/>
    <x v="40"/>
    <x v="1"/>
    <x v="4"/>
    <x v="1723"/>
    <x v="106"/>
    <x v="370"/>
    <x v="7"/>
    <x v="4"/>
    <n v="250063.47"/>
    <x v="2"/>
    <x v="8"/>
  </r>
  <r>
    <x v="1751"/>
    <s v="Evelyn Floyd"/>
    <x v="30"/>
    <x v="1"/>
    <x v="1"/>
    <x v="1724"/>
    <x v="257"/>
    <x v="343"/>
    <x v="9"/>
    <x v="5"/>
    <n v="141557.22"/>
    <x v="2"/>
    <x v="4"/>
  </r>
  <r>
    <x v="1752"/>
    <s v="Thomas Weaver"/>
    <x v="35"/>
    <x v="1"/>
    <x v="2"/>
    <x v="1725"/>
    <x v="185"/>
    <x v="143"/>
    <x v="7"/>
    <x v="5"/>
    <n v="235409.9"/>
    <x v="1"/>
    <x v="14"/>
  </r>
  <r>
    <x v="1753"/>
    <s v="Megan Zavala"/>
    <x v="36"/>
    <x v="0"/>
    <x v="0"/>
    <x v="1726"/>
    <x v="32"/>
    <x v="263"/>
    <x v="4"/>
    <x v="1"/>
    <n v="351231.07"/>
    <x v="1"/>
    <x v="3"/>
  </r>
  <r>
    <x v="1754"/>
    <s v="Elizabeth Hall"/>
    <x v="30"/>
    <x v="0"/>
    <x v="2"/>
    <x v="1727"/>
    <x v="297"/>
    <x v="296"/>
    <x v="9"/>
    <x v="1"/>
    <n v="24207.98"/>
    <x v="2"/>
    <x v="5"/>
  </r>
  <r>
    <x v="1755"/>
    <s v="Tina Harding"/>
    <x v="54"/>
    <x v="1"/>
    <x v="4"/>
    <x v="1728"/>
    <x v="276"/>
    <x v="292"/>
    <x v="1"/>
    <x v="3"/>
    <n v="222139.98"/>
    <x v="0"/>
    <x v="10"/>
  </r>
  <r>
    <x v="1756"/>
    <s v="Crystal Levine"/>
    <x v="6"/>
    <x v="1"/>
    <x v="0"/>
    <x v="1027"/>
    <x v="86"/>
    <x v="188"/>
    <x v="6"/>
    <x v="5"/>
    <n v="113466.77"/>
    <x v="0"/>
    <x v="12"/>
  </r>
  <r>
    <x v="1757"/>
    <s v="Amanda Gill"/>
    <x v="40"/>
    <x v="1"/>
    <x v="0"/>
    <x v="1729"/>
    <x v="168"/>
    <x v="305"/>
    <x v="5"/>
    <x v="4"/>
    <n v="444580.88"/>
    <x v="2"/>
    <x v="9"/>
  </r>
  <r>
    <x v="1758"/>
    <s v="Edward Vincent"/>
    <x v="88"/>
    <x v="0"/>
    <x v="5"/>
    <x v="1730"/>
    <x v="342"/>
    <x v="80"/>
    <x v="3"/>
    <x v="2"/>
    <n v="257098.28"/>
    <x v="1"/>
    <x v="6"/>
  </r>
  <r>
    <x v="1759"/>
    <s v="Richard Gutierrez"/>
    <x v="56"/>
    <x v="1"/>
    <x v="1"/>
    <x v="1731"/>
    <x v="230"/>
    <x v="112"/>
    <x v="1"/>
    <x v="1"/>
    <n v="304777.78000000003"/>
    <x v="1"/>
    <x v="8"/>
  </r>
  <r>
    <x v="1760"/>
    <s v="Kristine Spencer"/>
    <x v="30"/>
    <x v="0"/>
    <x v="3"/>
    <x v="1732"/>
    <x v="94"/>
    <x v="11"/>
    <x v="9"/>
    <x v="3"/>
    <n v="146121.10999999999"/>
    <x v="2"/>
    <x v="13"/>
  </r>
  <r>
    <x v="1761"/>
    <s v="Shawn Brady"/>
    <x v="27"/>
    <x v="1"/>
    <x v="3"/>
    <x v="1733"/>
    <x v="214"/>
    <x v="254"/>
    <x v="2"/>
    <x v="1"/>
    <n v="97730.16"/>
    <x v="0"/>
    <x v="14"/>
  </r>
  <r>
    <x v="1762"/>
    <s v="Michael Williamson"/>
    <x v="50"/>
    <x v="1"/>
    <x v="3"/>
    <x v="1734"/>
    <x v="11"/>
    <x v="100"/>
    <x v="5"/>
    <x v="3"/>
    <n v="387224"/>
    <x v="2"/>
    <x v="4"/>
  </r>
  <r>
    <x v="1763"/>
    <s v="Rhonda Ford"/>
    <x v="25"/>
    <x v="1"/>
    <x v="6"/>
    <x v="1735"/>
    <x v="283"/>
    <x v="252"/>
    <x v="9"/>
    <x v="1"/>
    <n v="378668.62"/>
    <x v="2"/>
    <x v="3"/>
  </r>
  <r>
    <x v="1764"/>
    <s v="David Pena"/>
    <x v="57"/>
    <x v="0"/>
    <x v="5"/>
    <x v="1736"/>
    <x v="30"/>
    <x v="179"/>
    <x v="6"/>
    <x v="4"/>
    <n v="103980.37"/>
    <x v="0"/>
    <x v="8"/>
  </r>
  <r>
    <x v="1765"/>
    <s v="Bethany Shepherd"/>
    <x v="13"/>
    <x v="1"/>
    <x v="4"/>
    <x v="272"/>
    <x v="54"/>
    <x v="256"/>
    <x v="1"/>
    <x v="4"/>
    <n v="415994.97"/>
    <x v="2"/>
    <x v="3"/>
  </r>
  <r>
    <x v="1766"/>
    <s v="Alex Nelson"/>
    <x v="57"/>
    <x v="0"/>
    <x v="2"/>
    <x v="1737"/>
    <x v="130"/>
    <x v="144"/>
    <x v="4"/>
    <x v="4"/>
    <n v="388593.03"/>
    <x v="0"/>
    <x v="2"/>
  </r>
  <r>
    <x v="1767"/>
    <s v="Madeline Morris"/>
    <x v="49"/>
    <x v="1"/>
    <x v="3"/>
    <x v="1738"/>
    <x v="211"/>
    <x v="256"/>
    <x v="7"/>
    <x v="2"/>
    <n v="172958.14"/>
    <x v="2"/>
    <x v="10"/>
  </r>
  <r>
    <x v="1768"/>
    <s v="Michael White"/>
    <x v="73"/>
    <x v="0"/>
    <x v="2"/>
    <x v="1739"/>
    <x v="180"/>
    <x v="30"/>
    <x v="6"/>
    <x v="0"/>
    <n v="16014.86"/>
    <x v="2"/>
    <x v="6"/>
  </r>
  <r>
    <x v="1769"/>
    <s v="Joshua Peterson"/>
    <x v="86"/>
    <x v="1"/>
    <x v="2"/>
    <x v="1740"/>
    <x v="34"/>
    <x v="175"/>
    <x v="1"/>
    <x v="1"/>
    <n v="433565.7"/>
    <x v="1"/>
    <x v="8"/>
  </r>
  <r>
    <x v="1770"/>
    <s v="Nicole Watkins"/>
    <x v="2"/>
    <x v="0"/>
    <x v="3"/>
    <x v="1741"/>
    <x v="45"/>
    <x v="57"/>
    <x v="7"/>
    <x v="2"/>
    <n v="105472.11"/>
    <x v="1"/>
    <x v="4"/>
  </r>
  <r>
    <x v="1771"/>
    <s v="Tammy Becker"/>
    <x v="31"/>
    <x v="1"/>
    <x v="0"/>
    <x v="1742"/>
    <x v="290"/>
    <x v="371"/>
    <x v="7"/>
    <x v="3"/>
    <n v="453974.72"/>
    <x v="2"/>
    <x v="3"/>
  </r>
  <r>
    <x v="1772"/>
    <s v="Oscar Nelson"/>
    <x v="30"/>
    <x v="0"/>
    <x v="1"/>
    <x v="1743"/>
    <x v="218"/>
    <x v="58"/>
    <x v="9"/>
    <x v="0"/>
    <n v="236747.08"/>
    <x v="2"/>
    <x v="13"/>
  </r>
  <r>
    <x v="1773"/>
    <s v="Kelly Campbell"/>
    <x v="68"/>
    <x v="0"/>
    <x v="6"/>
    <x v="1744"/>
    <x v="170"/>
    <x v="124"/>
    <x v="7"/>
    <x v="5"/>
    <n v="446109.98"/>
    <x v="2"/>
    <x v="7"/>
  </r>
  <r>
    <x v="1774"/>
    <s v="Joseph Riley"/>
    <x v="73"/>
    <x v="1"/>
    <x v="0"/>
    <x v="1745"/>
    <x v="219"/>
    <x v="321"/>
    <x v="4"/>
    <x v="4"/>
    <n v="239603.71"/>
    <x v="2"/>
    <x v="11"/>
  </r>
  <r>
    <x v="1775"/>
    <s v="Christopher Dickson"/>
    <x v="87"/>
    <x v="0"/>
    <x v="3"/>
    <x v="1746"/>
    <x v="134"/>
    <x v="294"/>
    <x v="6"/>
    <x v="5"/>
    <n v="272702.34999999998"/>
    <x v="1"/>
    <x v="8"/>
  </r>
  <r>
    <x v="1776"/>
    <s v="Ashley Frederick"/>
    <x v="62"/>
    <x v="0"/>
    <x v="1"/>
    <x v="1747"/>
    <x v="203"/>
    <x v="119"/>
    <x v="7"/>
    <x v="5"/>
    <n v="170201.35"/>
    <x v="0"/>
    <x v="4"/>
  </r>
  <r>
    <x v="1777"/>
    <s v="Marissa Hanson"/>
    <x v="63"/>
    <x v="1"/>
    <x v="3"/>
    <x v="1748"/>
    <x v="31"/>
    <x v="226"/>
    <x v="7"/>
    <x v="5"/>
    <n v="76733.45"/>
    <x v="0"/>
    <x v="8"/>
  </r>
  <r>
    <x v="1778"/>
    <s v="Duane Scott"/>
    <x v="84"/>
    <x v="0"/>
    <x v="3"/>
    <x v="1749"/>
    <x v="193"/>
    <x v="339"/>
    <x v="1"/>
    <x v="2"/>
    <n v="382607.35999999999"/>
    <x v="0"/>
    <x v="14"/>
  </r>
  <r>
    <x v="1779"/>
    <s v="Michelle Hunter"/>
    <x v="89"/>
    <x v="1"/>
    <x v="2"/>
    <x v="1750"/>
    <x v="181"/>
    <x v="260"/>
    <x v="6"/>
    <x v="1"/>
    <n v="6646.15"/>
    <x v="2"/>
    <x v="6"/>
  </r>
  <r>
    <x v="1780"/>
    <s v="Lynn Thompson"/>
    <x v="80"/>
    <x v="1"/>
    <x v="3"/>
    <x v="1751"/>
    <x v="50"/>
    <x v="283"/>
    <x v="4"/>
    <x v="3"/>
    <n v="455159.79"/>
    <x v="0"/>
    <x v="13"/>
  </r>
  <r>
    <x v="1781"/>
    <s v="Terry Moore"/>
    <x v="49"/>
    <x v="1"/>
    <x v="3"/>
    <x v="1752"/>
    <x v="99"/>
    <x v="357"/>
    <x v="5"/>
    <x v="0"/>
    <n v="452140.71"/>
    <x v="0"/>
    <x v="0"/>
  </r>
  <r>
    <x v="1782"/>
    <s v="Mark Stein"/>
    <x v="33"/>
    <x v="1"/>
    <x v="5"/>
    <x v="1753"/>
    <x v="352"/>
    <x v="255"/>
    <x v="1"/>
    <x v="0"/>
    <n v="75579.3"/>
    <x v="2"/>
    <x v="3"/>
  </r>
  <r>
    <x v="1783"/>
    <s v="Patrick Chen"/>
    <x v="52"/>
    <x v="1"/>
    <x v="3"/>
    <x v="474"/>
    <x v="130"/>
    <x v="12"/>
    <x v="6"/>
    <x v="4"/>
    <n v="322377.05"/>
    <x v="0"/>
    <x v="11"/>
  </r>
  <r>
    <x v="1784"/>
    <s v="Tyler Hawkins"/>
    <x v="2"/>
    <x v="1"/>
    <x v="1"/>
    <x v="1754"/>
    <x v="150"/>
    <x v="197"/>
    <x v="4"/>
    <x v="5"/>
    <n v="405332.82"/>
    <x v="2"/>
    <x v="7"/>
  </r>
  <r>
    <x v="1785"/>
    <s v="Dorothy Santana"/>
    <x v="20"/>
    <x v="1"/>
    <x v="0"/>
    <x v="1755"/>
    <x v="212"/>
    <x v="28"/>
    <x v="1"/>
    <x v="3"/>
    <n v="115203.42"/>
    <x v="1"/>
    <x v="8"/>
  </r>
  <r>
    <x v="1786"/>
    <s v="John Tran"/>
    <x v="24"/>
    <x v="0"/>
    <x v="4"/>
    <x v="1756"/>
    <x v="121"/>
    <x v="120"/>
    <x v="8"/>
    <x v="1"/>
    <n v="471803.1"/>
    <x v="2"/>
    <x v="8"/>
  </r>
  <r>
    <x v="1787"/>
    <s v="Richard Soto"/>
    <x v="60"/>
    <x v="0"/>
    <x v="5"/>
    <x v="1757"/>
    <x v="61"/>
    <x v="152"/>
    <x v="4"/>
    <x v="5"/>
    <n v="254846.21"/>
    <x v="0"/>
    <x v="4"/>
  </r>
  <r>
    <x v="1788"/>
    <s v="Ryan Khan"/>
    <x v="70"/>
    <x v="0"/>
    <x v="1"/>
    <x v="1758"/>
    <x v="314"/>
    <x v="46"/>
    <x v="7"/>
    <x v="2"/>
    <n v="435551.83"/>
    <x v="1"/>
    <x v="10"/>
  </r>
  <r>
    <x v="1789"/>
    <s v="Cameron Burns"/>
    <x v="6"/>
    <x v="0"/>
    <x v="5"/>
    <x v="1759"/>
    <x v="260"/>
    <x v="89"/>
    <x v="3"/>
    <x v="5"/>
    <n v="220800.22"/>
    <x v="0"/>
    <x v="7"/>
  </r>
  <r>
    <x v="1790"/>
    <s v="Julian Foley"/>
    <x v="29"/>
    <x v="0"/>
    <x v="2"/>
    <x v="1760"/>
    <x v="119"/>
    <x v="360"/>
    <x v="0"/>
    <x v="4"/>
    <n v="438620.25"/>
    <x v="1"/>
    <x v="9"/>
  </r>
  <r>
    <x v="1791"/>
    <s v="Steven Jackson"/>
    <x v="83"/>
    <x v="0"/>
    <x v="3"/>
    <x v="1761"/>
    <x v="252"/>
    <x v="11"/>
    <x v="1"/>
    <x v="5"/>
    <n v="191131.51"/>
    <x v="2"/>
    <x v="2"/>
  </r>
  <r>
    <x v="1792"/>
    <s v="Kelly Walker"/>
    <x v="1"/>
    <x v="0"/>
    <x v="5"/>
    <x v="1762"/>
    <x v="260"/>
    <x v="362"/>
    <x v="2"/>
    <x v="4"/>
    <n v="155385.96"/>
    <x v="0"/>
    <x v="1"/>
  </r>
  <r>
    <x v="1793"/>
    <s v="Scott Graves"/>
    <x v="56"/>
    <x v="1"/>
    <x v="5"/>
    <x v="1763"/>
    <x v="220"/>
    <x v="363"/>
    <x v="8"/>
    <x v="5"/>
    <n v="355439.78"/>
    <x v="1"/>
    <x v="2"/>
  </r>
  <r>
    <x v="1794"/>
    <s v="Brian Marsh MD"/>
    <x v="35"/>
    <x v="0"/>
    <x v="5"/>
    <x v="1764"/>
    <x v="175"/>
    <x v="355"/>
    <x v="1"/>
    <x v="5"/>
    <n v="144800.79"/>
    <x v="0"/>
    <x v="1"/>
  </r>
  <r>
    <x v="1795"/>
    <s v="Jamie Shaw"/>
    <x v="10"/>
    <x v="0"/>
    <x v="1"/>
    <x v="1765"/>
    <x v="45"/>
    <x v="194"/>
    <x v="7"/>
    <x v="3"/>
    <n v="416035.22"/>
    <x v="0"/>
    <x v="7"/>
  </r>
  <r>
    <x v="1796"/>
    <s v="Anthony Mccoy"/>
    <x v="64"/>
    <x v="1"/>
    <x v="6"/>
    <x v="1766"/>
    <x v="50"/>
    <x v="4"/>
    <x v="3"/>
    <x v="0"/>
    <n v="16339.76"/>
    <x v="0"/>
    <x v="2"/>
  </r>
  <r>
    <x v="1797"/>
    <s v="Stanley Wilson"/>
    <x v="2"/>
    <x v="0"/>
    <x v="5"/>
    <x v="1767"/>
    <x v="8"/>
    <x v="185"/>
    <x v="0"/>
    <x v="1"/>
    <n v="86617.54"/>
    <x v="2"/>
    <x v="11"/>
  </r>
  <r>
    <x v="1798"/>
    <s v="Victoria Fisher"/>
    <x v="26"/>
    <x v="0"/>
    <x v="0"/>
    <x v="1768"/>
    <x v="73"/>
    <x v="135"/>
    <x v="4"/>
    <x v="4"/>
    <n v="343874.62"/>
    <x v="1"/>
    <x v="9"/>
  </r>
  <r>
    <x v="1799"/>
    <s v="Alexander Ruiz"/>
    <x v="54"/>
    <x v="1"/>
    <x v="2"/>
    <x v="1769"/>
    <x v="152"/>
    <x v="203"/>
    <x v="8"/>
    <x v="2"/>
    <n v="19351.66"/>
    <x v="1"/>
    <x v="4"/>
  </r>
  <r>
    <x v="1800"/>
    <s v="Melissa Snyder"/>
    <x v="55"/>
    <x v="0"/>
    <x v="3"/>
    <x v="1770"/>
    <x v="291"/>
    <x v="76"/>
    <x v="1"/>
    <x v="2"/>
    <n v="333863.71999999997"/>
    <x v="0"/>
    <x v="7"/>
  </r>
  <r>
    <x v="1801"/>
    <s v="Kathy Davis"/>
    <x v="20"/>
    <x v="1"/>
    <x v="1"/>
    <x v="1771"/>
    <x v="205"/>
    <x v="34"/>
    <x v="0"/>
    <x v="1"/>
    <n v="29114.69"/>
    <x v="0"/>
    <x v="1"/>
  </r>
  <r>
    <x v="1802"/>
    <s v="Christine Carter"/>
    <x v="19"/>
    <x v="1"/>
    <x v="3"/>
    <x v="1772"/>
    <x v="46"/>
    <x v="141"/>
    <x v="7"/>
    <x v="1"/>
    <n v="215437.58"/>
    <x v="0"/>
    <x v="1"/>
  </r>
  <r>
    <x v="1803"/>
    <s v="Rebecca Davis"/>
    <x v="45"/>
    <x v="1"/>
    <x v="1"/>
    <x v="1773"/>
    <x v="102"/>
    <x v="185"/>
    <x v="1"/>
    <x v="0"/>
    <n v="68728.98"/>
    <x v="2"/>
    <x v="4"/>
  </r>
  <r>
    <x v="1804"/>
    <s v="Brian Schultz"/>
    <x v="15"/>
    <x v="0"/>
    <x v="6"/>
    <x v="1774"/>
    <x v="138"/>
    <x v="199"/>
    <x v="3"/>
    <x v="3"/>
    <n v="366745.21"/>
    <x v="1"/>
    <x v="9"/>
  </r>
  <r>
    <x v="1805"/>
    <s v="Heather Walker"/>
    <x v="33"/>
    <x v="1"/>
    <x v="3"/>
    <x v="1775"/>
    <x v="106"/>
    <x v="263"/>
    <x v="9"/>
    <x v="0"/>
    <n v="112701.33"/>
    <x v="0"/>
    <x v="6"/>
  </r>
  <r>
    <x v="1806"/>
    <s v="Garrett Miller"/>
    <x v="56"/>
    <x v="0"/>
    <x v="6"/>
    <x v="1776"/>
    <x v="328"/>
    <x v="334"/>
    <x v="0"/>
    <x v="4"/>
    <n v="214876.77"/>
    <x v="2"/>
    <x v="0"/>
  </r>
  <r>
    <x v="1807"/>
    <s v="Sarah Perry"/>
    <x v="20"/>
    <x v="1"/>
    <x v="2"/>
    <x v="1777"/>
    <x v="195"/>
    <x v="1"/>
    <x v="7"/>
    <x v="3"/>
    <n v="402369.99"/>
    <x v="2"/>
    <x v="11"/>
  </r>
  <r>
    <x v="1808"/>
    <s v="Joseph Torres"/>
    <x v="60"/>
    <x v="0"/>
    <x v="6"/>
    <x v="1778"/>
    <x v="139"/>
    <x v="262"/>
    <x v="3"/>
    <x v="5"/>
    <n v="167750.49"/>
    <x v="1"/>
    <x v="3"/>
  </r>
  <r>
    <x v="1809"/>
    <s v="Joseph Abbott"/>
    <x v="33"/>
    <x v="0"/>
    <x v="6"/>
    <x v="1779"/>
    <x v="266"/>
    <x v="8"/>
    <x v="4"/>
    <x v="4"/>
    <n v="379513.44"/>
    <x v="1"/>
    <x v="5"/>
  </r>
  <r>
    <x v="1810"/>
    <s v="Kelly Turner"/>
    <x v="28"/>
    <x v="1"/>
    <x v="0"/>
    <x v="1780"/>
    <x v="267"/>
    <x v="35"/>
    <x v="5"/>
    <x v="4"/>
    <n v="276797.34999999998"/>
    <x v="0"/>
    <x v="10"/>
  </r>
  <r>
    <x v="1811"/>
    <s v="James Baker"/>
    <x v="62"/>
    <x v="0"/>
    <x v="6"/>
    <x v="1781"/>
    <x v="124"/>
    <x v="236"/>
    <x v="1"/>
    <x v="2"/>
    <n v="135259.54999999999"/>
    <x v="0"/>
    <x v="0"/>
  </r>
  <r>
    <x v="1812"/>
    <s v="Margaret Wilkinson"/>
    <x v="0"/>
    <x v="0"/>
    <x v="2"/>
    <x v="1782"/>
    <x v="86"/>
    <x v="341"/>
    <x v="7"/>
    <x v="3"/>
    <n v="94402.9"/>
    <x v="2"/>
    <x v="4"/>
  </r>
  <r>
    <x v="1813"/>
    <s v="Kathleen Thompson"/>
    <x v="26"/>
    <x v="1"/>
    <x v="2"/>
    <x v="1783"/>
    <x v="214"/>
    <x v="213"/>
    <x v="5"/>
    <x v="1"/>
    <n v="351513.38"/>
    <x v="1"/>
    <x v="10"/>
  </r>
  <r>
    <x v="1814"/>
    <s v="Jennifer Contreras"/>
    <x v="79"/>
    <x v="1"/>
    <x v="0"/>
    <x v="1784"/>
    <x v="218"/>
    <x v="324"/>
    <x v="8"/>
    <x v="4"/>
    <n v="448193.31"/>
    <x v="0"/>
    <x v="2"/>
  </r>
  <r>
    <x v="1815"/>
    <s v="Tonya Cortez"/>
    <x v="65"/>
    <x v="1"/>
    <x v="5"/>
    <x v="1785"/>
    <x v="176"/>
    <x v="342"/>
    <x v="8"/>
    <x v="2"/>
    <n v="17568.36"/>
    <x v="1"/>
    <x v="11"/>
  </r>
  <r>
    <x v="1816"/>
    <s v="Sharon Hoffman"/>
    <x v="19"/>
    <x v="0"/>
    <x v="2"/>
    <x v="1786"/>
    <x v="250"/>
    <x v="289"/>
    <x v="5"/>
    <x v="2"/>
    <n v="315064.88"/>
    <x v="0"/>
    <x v="6"/>
  </r>
  <r>
    <x v="1817"/>
    <s v="Julie Holmes"/>
    <x v="88"/>
    <x v="0"/>
    <x v="5"/>
    <x v="1787"/>
    <x v="318"/>
    <x v="235"/>
    <x v="4"/>
    <x v="1"/>
    <n v="490102.06"/>
    <x v="2"/>
    <x v="8"/>
  </r>
  <r>
    <x v="1818"/>
    <s v="Theresa Wright"/>
    <x v="49"/>
    <x v="0"/>
    <x v="1"/>
    <x v="1788"/>
    <x v="282"/>
    <x v="73"/>
    <x v="7"/>
    <x v="3"/>
    <n v="85579.199999999997"/>
    <x v="2"/>
    <x v="4"/>
  </r>
  <r>
    <x v="1819"/>
    <s v="Ronald Torres"/>
    <x v="71"/>
    <x v="1"/>
    <x v="6"/>
    <x v="1789"/>
    <x v="347"/>
    <x v="196"/>
    <x v="9"/>
    <x v="1"/>
    <n v="121781.65"/>
    <x v="1"/>
    <x v="8"/>
  </r>
  <r>
    <x v="1820"/>
    <s v="Christian Welch"/>
    <x v="51"/>
    <x v="1"/>
    <x v="4"/>
    <x v="1790"/>
    <x v="247"/>
    <x v="252"/>
    <x v="3"/>
    <x v="5"/>
    <n v="208110.35"/>
    <x v="2"/>
    <x v="7"/>
  </r>
  <r>
    <x v="1821"/>
    <s v="Larry Matthews"/>
    <x v="14"/>
    <x v="0"/>
    <x v="6"/>
    <x v="1791"/>
    <x v="272"/>
    <x v="104"/>
    <x v="7"/>
    <x v="1"/>
    <n v="339829.02"/>
    <x v="1"/>
    <x v="14"/>
  </r>
  <r>
    <x v="1822"/>
    <s v="Shane Olson"/>
    <x v="31"/>
    <x v="0"/>
    <x v="6"/>
    <x v="1792"/>
    <x v="213"/>
    <x v="198"/>
    <x v="1"/>
    <x v="1"/>
    <n v="36119.71"/>
    <x v="0"/>
    <x v="10"/>
  </r>
  <r>
    <x v="1823"/>
    <s v="Mary Proctor"/>
    <x v="73"/>
    <x v="0"/>
    <x v="4"/>
    <x v="1793"/>
    <x v="289"/>
    <x v="176"/>
    <x v="3"/>
    <x v="1"/>
    <n v="414221.54"/>
    <x v="2"/>
    <x v="2"/>
  </r>
  <r>
    <x v="1824"/>
    <s v="Kayla Fisher"/>
    <x v="51"/>
    <x v="1"/>
    <x v="2"/>
    <x v="1794"/>
    <x v="228"/>
    <x v="154"/>
    <x v="5"/>
    <x v="0"/>
    <n v="162792.73000000001"/>
    <x v="2"/>
    <x v="11"/>
  </r>
  <r>
    <x v="1825"/>
    <s v="Dalton Bowman"/>
    <x v="23"/>
    <x v="1"/>
    <x v="0"/>
    <x v="1795"/>
    <x v="334"/>
    <x v="150"/>
    <x v="2"/>
    <x v="1"/>
    <n v="438012.1"/>
    <x v="2"/>
    <x v="9"/>
  </r>
  <r>
    <x v="1826"/>
    <s v="Randy Jacobson MD"/>
    <x v="47"/>
    <x v="0"/>
    <x v="0"/>
    <x v="1796"/>
    <x v="66"/>
    <x v="288"/>
    <x v="4"/>
    <x v="0"/>
    <n v="472293.77"/>
    <x v="1"/>
    <x v="14"/>
  </r>
  <r>
    <x v="1827"/>
    <s v="Jonathan Walker"/>
    <x v="89"/>
    <x v="1"/>
    <x v="3"/>
    <x v="1797"/>
    <x v="121"/>
    <x v="199"/>
    <x v="9"/>
    <x v="3"/>
    <n v="349270.9"/>
    <x v="0"/>
    <x v="7"/>
  </r>
  <r>
    <x v="1828"/>
    <s v="Andrea Burton"/>
    <x v="69"/>
    <x v="1"/>
    <x v="4"/>
    <x v="1798"/>
    <x v="148"/>
    <x v="283"/>
    <x v="1"/>
    <x v="5"/>
    <n v="9422.6200000000008"/>
    <x v="2"/>
    <x v="1"/>
  </r>
  <r>
    <x v="1829"/>
    <s v="Seth Rojas"/>
    <x v="10"/>
    <x v="1"/>
    <x v="1"/>
    <x v="1799"/>
    <x v="201"/>
    <x v="62"/>
    <x v="9"/>
    <x v="0"/>
    <n v="429217.72"/>
    <x v="2"/>
    <x v="10"/>
  </r>
  <r>
    <x v="1830"/>
    <s v="Matthew Peterson"/>
    <x v="23"/>
    <x v="0"/>
    <x v="2"/>
    <x v="1800"/>
    <x v="178"/>
    <x v="286"/>
    <x v="5"/>
    <x v="0"/>
    <n v="341959.78"/>
    <x v="0"/>
    <x v="11"/>
  </r>
  <r>
    <x v="1831"/>
    <s v="Susan Casey"/>
    <x v="1"/>
    <x v="1"/>
    <x v="5"/>
    <x v="1801"/>
    <x v="81"/>
    <x v="172"/>
    <x v="0"/>
    <x v="4"/>
    <n v="351204.17"/>
    <x v="1"/>
    <x v="10"/>
  </r>
  <r>
    <x v="1832"/>
    <s v="Jonathan Singleton"/>
    <x v="83"/>
    <x v="1"/>
    <x v="6"/>
    <x v="1802"/>
    <x v="3"/>
    <x v="26"/>
    <x v="9"/>
    <x v="1"/>
    <n v="149055"/>
    <x v="2"/>
    <x v="13"/>
  </r>
  <r>
    <x v="1833"/>
    <s v="Marc Lopez"/>
    <x v="2"/>
    <x v="1"/>
    <x v="0"/>
    <x v="1803"/>
    <x v="320"/>
    <x v="80"/>
    <x v="4"/>
    <x v="4"/>
    <n v="257162.77"/>
    <x v="0"/>
    <x v="12"/>
  </r>
  <r>
    <x v="1834"/>
    <s v="Victoria Allen"/>
    <x v="17"/>
    <x v="0"/>
    <x v="1"/>
    <x v="1804"/>
    <x v="156"/>
    <x v="250"/>
    <x v="2"/>
    <x v="1"/>
    <n v="150802.29999999999"/>
    <x v="2"/>
    <x v="6"/>
  </r>
  <r>
    <x v="1835"/>
    <s v="Kayla Knight"/>
    <x v="82"/>
    <x v="1"/>
    <x v="4"/>
    <x v="1805"/>
    <x v="337"/>
    <x v="282"/>
    <x v="8"/>
    <x v="2"/>
    <n v="350081"/>
    <x v="2"/>
    <x v="7"/>
  </r>
  <r>
    <x v="1836"/>
    <s v="Derrick Yates"/>
    <x v="63"/>
    <x v="1"/>
    <x v="6"/>
    <x v="1806"/>
    <x v="228"/>
    <x v="219"/>
    <x v="5"/>
    <x v="1"/>
    <n v="207405.19"/>
    <x v="2"/>
    <x v="14"/>
  </r>
  <r>
    <x v="1837"/>
    <s v="Gabriella Dickerson"/>
    <x v="53"/>
    <x v="1"/>
    <x v="5"/>
    <x v="1807"/>
    <x v="118"/>
    <x v="125"/>
    <x v="7"/>
    <x v="5"/>
    <n v="100773.55"/>
    <x v="1"/>
    <x v="13"/>
  </r>
  <r>
    <x v="1838"/>
    <s v="Leah Nichols"/>
    <x v="87"/>
    <x v="1"/>
    <x v="5"/>
    <x v="1808"/>
    <x v="274"/>
    <x v="279"/>
    <x v="8"/>
    <x v="4"/>
    <n v="494750.02"/>
    <x v="2"/>
    <x v="14"/>
  </r>
  <r>
    <x v="1839"/>
    <s v="William Ryan"/>
    <x v="36"/>
    <x v="0"/>
    <x v="6"/>
    <x v="1809"/>
    <x v="173"/>
    <x v="89"/>
    <x v="4"/>
    <x v="4"/>
    <n v="77306.720000000001"/>
    <x v="2"/>
    <x v="13"/>
  </r>
  <r>
    <x v="1840"/>
    <s v="Nicholas Rodgers"/>
    <x v="49"/>
    <x v="0"/>
    <x v="1"/>
    <x v="1810"/>
    <x v="89"/>
    <x v="208"/>
    <x v="4"/>
    <x v="2"/>
    <n v="423532.31"/>
    <x v="1"/>
    <x v="12"/>
  </r>
  <r>
    <x v="1841"/>
    <s v="Ronald Fox"/>
    <x v="46"/>
    <x v="1"/>
    <x v="0"/>
    <x v="1811"/>
    <x v="59"/>
    <x v="62"/>
    <x v="8"/>
    <x v="0"/>
    <n v="89711.95"/>
    <x v="1"/>
    <x v="9"/>
  </r>
  <r>
    <x v="1842"/>
    <s v="Cynthia Robinson"/>
    <x v="57"/>
    <x v="0"/>
    <x v="2"/>
    <x v="1812"/>
    <x v="130"/>
    <x v="44"/>
    <x v="7"/>
    <x v="1"/>
    <n v="453751.31"/>
    <x v="0"/>
    <x v="8"/>
  </r>
  <r>
    <x v="1843"/>
    <s v="Adam Pierce"/>
    <x v="37"/>
    <x v="1"/>
    <x v="3"/>
    <x v="1813"/>
    <x v="294"/>
    <x v="35"/>
    <x v="7"/>
    <x v="5"/>
    <n v="159242.70000000001"/>
    <x v="2"/>
    <x v="13"/>
  </r>
  <r>
    <x v="1844"/>
    <s v="Cynthia Holland"/>
    <x v="39"/>
    <x v="0"/>
    <x v="0"/>
    <x v="1814"/>
    <x v="341"/>
    <x v="271"/>
    <x v="8"/>
    <x v="1"/>
    <n v="423556.84"/>
    <x v="1"/>
    <x v="5"/>
  </r>
  <r>
    <x v="1845"/>
    <s v="Laura Gilbert"/>
    <x v="30"/>
    <x v="0"/>
    <x v="1"/>
    <x v="1815"/>
    <x v="189"/>
    <x v="0"/>
    <x v="2"/>
    <x v="0"/>
    <n v="458257.53"/>
    <x v="0"/>
    <x v="6"/>
  </r>
  <r>
    <x v="1846"/>
    <s v="Michael Bernard"/>
    <x v="78"/>
    <x v="0"/>
    <x v="4"/>
    <x v="1816"/>
    <x v="260"/>
    <x v="146"/>
    <x v="2"/>
    <x v="3"/>
    <n v="381934.92"/>
    <x v="0"/>
    <x v="11"/>
  </r>
  <r>
    <x v="1847"/>
    <s v="Deborah Alvarez"/>
    <x v="4"/>
    <x v="0"/>
    <x v="1"/>
    <x v="1817"/>
    <x v="159"/>
    <x v="0"/>
    <x v="1"/>
    <x v="1"/>
    <n v="442750.15"/>
    <x v="2"/>
    <x v="8"/>
  </r>
  <r>
    <x v="1848"/>
    <s v="Eugene Manning"/>
    <x v="82"/>
    <x v="1"/>
    <x v="2"/>
    <x v="1818"/>
    <x v="295"/>
    <x v="282"/>
    <x v="1"/>
    <x v="3"/>
    <n v="148713.71"/>
    <x v="0"/>
    <x v="12"/>
  </r>
  <r>
    <x v="1849"/>
    <s v="Holly Mendez"/>
    <x v="48"/>
    <x v="0"/>
    <x v="1"/>
    <x v="1819"/>
    <x v="228"/>
    <x v="23"/>
    <x v="1"/>
    <x v="3"/>
    <n v="330876.99"/>
    <x v="1"/>
    <x v="3"/>
  </r>
  <r>
    <x v="1850"/>
    <s v="Jonathan Yates"/>
    <x v="27"/>
    <x v="1"/>
    <x v="3"/>
    <x v="1820"/>
    <x v="156"/>
    <x v="320"/>
    <x v="2"/>
    <x v="5"/>
    <n v="326927.40000000002"/>
    <x v="2"/>
    <x v="4"/>
  </r>
  <r>
    <x v="1851"/>
    <s v="Yvette Bailey"/>
    <x v="27"/>
    <x v="1"/>
    <x v="6"/>
    <x v="1821"/>
    <x v="191"/>
    <x v="20"/>
    <x v="2"/>
    <x v="2"/>
    <n v="285595.64"/>
    <x v="2"/>
    <x v="1"/>
  </r>
  <r>
    <x v="1852"/>
    <s v="Jordan Garcia"/>
    <x v="51"/>
    <x v="0"/>
    <x v="5"/>
    <x v="1822"/>
    <x v="326"/>
    <x v="245"/>
    <x v="2"/>
    <x v="1"/>
    <n v="279795.84000000003"/>
    <x v="2"/>
    <x v="3"/>
  </r>
  <r>
    <x v="1853"/>
    <s v="Toni Ayala"/>
    <x v="58"/>
    <x v="1"/>
    <x v="5"/>
    <x v="1823"/>
    <x v="291"/>
    <x v="76"/>
    <x v="3"/>
    <x v="4"/>
    <n v="218287.22"/>
    <x v="0"/>
    <x v="7"/>
  </r>
  <r>
    <x v="1854"/>
    <s v="Kevin Chavez"/>
    <x v="68"/>
    <x v="0"/>
    <x v="0"/>
    <x v="1824"/>
    <x v="212"/>
    <x v="358"/>
    <x v="8"/>
    <x v="1"/>
    <n v="347350.33"/>
    <x v="1"/>
    <x v="11"/>
  </r>
  <r>
    <x v="1855"/>
    <s v="Jessica Lee"/>
    <x v="29"/>
    <x v="1"/>
    <x v="6"/>
    <x v="1825"/>
    <x v="306"/>
    <x v="38"/>
    <x v="0"/>
    <x v="2"/>
    <n v="478762.36"/>
    <x v="2"/>
    <x v="2"/>
  </r>
  <r>
    <x v="1856"/>
    <s v="Melissa Turner"/>
    <x v="36"/>
    <x v="1"/>
    <x v="2"/>
    <x v="1826"/>
    <x v="210"/>
    <x v="159"/>
    <x v="1"/>
    <x v="0"/>
    <n v="372199.02"/>
    <x v="0"/>
    <x v="0"/>
  </r>
  <r>
    <x v="1857"/>
    <s v="Teresa Ramirez"/>
    <x v="29"/>
    <x v="0"/>
    <x v="4"/>
    <x v="1827"/>
    <x v="269"/>
    <x v="242"/>
    <x v="3"/>
    <x v="3"/>
    <n v="20237.73"/>
    <x v="1"/>
    <x v="11"/>
  </r>
  <r>
    <x v="1858"/>
    <s v="James Rose"/>
    <x v="42"/>
    <x v="0"/>
    <x v="4"/>
    <x v="1828"/>
    <x v="46"/>
    <x v="2"/>
    <x v="4"/>
    <x v="2"/>
    <n v="466164.18"/>
    <x v="0"/>
    <x v="11"/>
  </r>
  <r>
    <x v="1859"/>
    <s v="Krista Burnett"/>
    <x v="82"/>
    <x v="0"/>
    <x v="3"/>
    <x v="1829"/>
    <x v="64"/>
    <x v="159"/>
    <x v="7"/>
    <x v="0"/>
    <n v="473048.7"/>
    <x v="2"/>
    <x v="8"/>
  </r>
  <r>
    <x v="1860"/>
    <s v="Brian Gordon"/>
    <x v="76"/>
    <x v="0"/>
    <x v="5"/>
    <x v="1830"/>
    <x v="341"/>
    <x v="250"/>
    <x v="2"/>
    <x v="2"/>
    <n v="339094.02"/>
    <x v="2"/>
    <x v="9"/>
  </r>
  <r>
    <x v="1861"/>
    <s v="Sherry Mccann"/>
    <x v="9"/>
    <x v="0"/>
    <x v="3"/>
    <x v="1831"/>
    <x v="193"/>
    <x v="334"/>
    <x v="4"/>
    <x v="5"/>
    <n v="183058.72"/>
    <x v="1"/>
    <x v="11"/>
  </r>
  <r>
    <x v="1862"/>
    <s v="Steven Taylor"/>
    <x v="45"/>
    <x v="1"/>
    <x v="2"/>
    <x v="1832"/>
    <x v="105"/>
    <x v="150"/>
    <x v="8"/>
    <x v="2"/>
    <n v="316419.48"/>
    <x v="2"/>
    <x v="3"/>
  </r>
  <r>
    <x v="1863"/>
    <s v="Anthony Thornton"/>
    <x v="13"/>
    <x v="1"/>
    <x v="4"/>
    <x v="1833"/>
    <x v="73"/>
    <x v="370"/>
    <x v="0"/>
    <x v="1"/>
    <n v="88992.5"/>
    <x v="1"/>
    <x v="10"/>
  </r>
  <r>
    <x v="1864"/>
    <s v="Eric Brennan"/>
    <x v="3"/>
    <x v="0"/>
    <x v="6"/>
    <x v="1834"/>
    <x v="94"/>
    <x v="178"/>
    <x v="8"/>
    <x v="3"/>
    <n v="40237.06"/>
    <x v="0"/>
    <x v="0"/>
  </r>
  <r>
    <x v="1865"/>
    <s v="Erin Wilson"/>
    <x v="89"/>
    <x v="1"/>
    <x v="2"/>
    <x v="1835"/>
    <x v="143"/>
    <x v="142"/>
    <x v="4"/>
    <x v="2"/>
    <n v="422398.93"/>
    <x v="2"/>
    <x v="10"/>
  </r>
  <r>
    <x v="1866"/>
    <s v="Kenneth Harris MD"/>
    <x v="74"/>
    <x v="1"/>
    <x v="3"/>
    <x v="1836"/>
    <x v="96"/>
    <x v="73"/>
    <x v="7"/>
    <x v="2"/>
    <n v="398509.17"/>
    <x v="2"/>
    <x v="6"/>
  </r>
  <r>
    <x v="1867"/>
    <s v="Jason Young"/>
    <x v="72"/>
    <x v="0"/>
    <x v="2"/>
    <x v="1837"/>
    <x v="74"/>
    <x v="119"/>
    <x v="9"/>
    <x v="5"/>
    <n v="129621.19"/>
    <x v="2"/>
    <x v="11"/>
  </r>
  <r>
    <x v="1868"/>
    <s v="Cynthia Bell"/>
    <x v="34"/>
    <x v="0"/>
    <x v="1"/>
    <x v="1838"/>
    <x v="74"/>
    <x v="339"/>
    <x v="5"/>
    <x v="0"/>
    <n v="54961.15"/>
    <x v="2"/>
    <x v="2"/>
  </r>
  <r>
    <x v="1869"/>
    <s v="Angel Johnson"/>
    <x v="23"/>
    <x v="1"/>
    <x v="4"/>
    <x v="1839"/>
    <x v="147"/>
    <x v="116"/>
    <x v="2"/>
    <x v="5"/>
    <n v="41288.83"/>
    <x v="1"/>
    <x v="8"/>
  </r>
  <r>
    <x v="1870"/>
    <s v="David Bonilla"/>
    <x v="35"/>
    <x v="1"/>
    <x v="5"/>
    <x v="1840"/>
    <x v="247"/>
    <x v="248"/>
    <x v="3"/>
    <x v="0"/>
    <n v="69615.3"/>
    <x v="1"/>
    <x v="9"/>
  </r>
  <r>
    <x v="1871"/>
    <s v="Mrs. Sharon Adams"/>
    <x v="70"/>
    <x v="0"/>
    <x v="0"/>
    <x v="1841"/>
    <x v="162"/>
    <x v="149"/>
    <x v="3"/>
    <x v="0"/>
    <n v="242907.73"/>
    <x v="0"/>
    <x v="1"/>
  </r>
  <r>
    <x v="1872"/>
    <s v="Robert Rubio"/>
    <x v="33"/>
    <x v="1"/>
    <x v="3"/>
    <x v="1842"/>
    <x v="158"/>
    <x v="306"/>
    <x v="0"/>
    <x v="4"/>
    <n v="149188.88"/>
    <x v="2"/>
    <x v="9"/>
  </r>
  <r>
    <x v="1873"/>
    <s v="Kevin Beltran"/>
    <x v="2"/>
    <x v="0"/>
    <x v="5"/>
    <x v="1843"/>
    <x v="340"/>
    <x v="227"/>
    <x v="0"/>
    <x v="1"/>
    <n v="252957.58"/>
    <x v="1"/>
    <x v="10"/>
  </r>
  <r>
    <x v="1874"/>
    <s v="Antonio Ryan"/>
    <x v="49"/>
    <x v="0"/>
    <x v="5"/>
    <x v="1844"/>
    <x v="121"/>
    <x v="62"/>
    <x v="6"/>
    <x v="5"/>
    <n v="67024.7"/>
    <x v="1"/>
    <x v="0"/>
  </r>
  <r>
    <x v="1875"/>
    <s v="Allison Nelson"/>
    <x v="33"/>
    <x v="0"/>
    <x v="4"/>
    <x v="1845"/>
    <x v="142"/>
    <x v="68"/>
    <x v="0"/>
    <x v="5"/>
    <n v="122292.93"/>
    <x v="2"/>
    <x v="4"/>
  </r>
  <r>
    <x v="1876"/>
    <s v="Keith Chung"/>
    <x v="53"/>
    <x v="1"/>
    <x v="5"/>
    <x v="1846"/>
    <x v="39"/>
    <x v="333"/>
    <x v="5"/>
    <x v="0"/>
    <n v="381688.1"/>
    <x v="0"/>
    <x v="5"/>
  </r>
  <r>
    <x v="1877"/>
    <s v="Ms. Haley Martinez DDS"/>
    <x v="25"/>
    <x v="1"/>
    <x v="6"/>
    <x v="1847"/>
    <x v="191"/>
    <x v="20"/>
    <x v="9"/>
    <x v="1"/>
    <n v="382097.66"/>
    <x v="0"/>
    <x v="1"/>
  </r>
  <r>
    <x v="1878"/>
    <s v="Martin Farley"/>
    <x v="2"/>
    <x v="0"/>
    <x v="2"/>
    <x v="1848"/>
    <x v="202"/>
    <x v="187"/>
    <x v="0"/>
    <x v="3"/>
    <n v="69608.12"/>
    <x v="2"/>
    <x v="0"/>
  </r>
  <r>
    <x v="1879"/>
    <s v="Ashley Williams"/>
    <x v="60"/>
    <x v="1"/>
    <x v="3"/>
    <x v="1849"/>
    <x v="204"/>
    <x v="81"/>
    <x v="8"/>
    <x v="3"/>
    <n v="377223.59"/>
    <x v="0"/>
    <x v="9"/>
  </r>
  <r>
    <x v="1880"/>
    <s v="Matthew White"/>
    <x v="62"/>
    <x v="0"/>
    <x v="0"/>
    <x v="1850"/>
    <x v="53"/>
    <x v="55"/>
    <x v="7"/>
    <x v="0"/>
    <n v="152292.79"/>
    <x v="2"/>
    <x v="14"/>
  </r>
  <r>
    <x v="1881"/>
    <s v="Tonya Soto"/>
    <x v="62"/>
    <x v="0"/>
    <x v="0"/>
    <x v="1851"/>
    <x v="207"/>
    <x v="370"/>
    <x v="0"/>
    <x v="3"/>
    <n v="191732.78"/>
    <x v="1"/>
    <x v="4"/>
  </r>
  <r>
    <x v="1882"/>
    <s v="Michelle Daniels"/>
    <x v="55"/>
    <x v="0"/>
    <x v="4"/>
    <x v="1852"/>
    <x v="175"/>
    <x v="355"/>
    <x v="3"/>
    <x v="1"/>
    <n v="465431.43"/>
    <x v="1"/>
    <x v="1"/>
  </r>
  <r>
    <x v="1883"/>
    <s v="Jonathan Chase"/>
    <x v="66"/>
    <x v="1"/>
    <x v="5"/>
    <x v="1853"/>
    <x v="181"/>
    <x v="270"/>
    <x v="1"/>
    <x v="3"/>
    <n v="15694.67"/>
    <x v="0"/>
    <x v="9"/>
  </r>
  <r>
    <x v="1884"/>
    <s v="Kenneth Zimmerman"/>
    <x v="13"/>
    <x v="0"/>
    <x v="0"/>
    <x v="1854"/>
    <x v="331"/>
    <x v="209"/>
    <x v="2"/>
    <x v="4"/>
    <n v="315459.69"/>
    <x v="1"/>
    <x v="12"/>
  </r>
  <r>
    <x v="1885"/>
    <s v="Maxwell Mcpherson"/>
    <x v="87"/>
    <x v="1"/>
    <x v="3"/>
    <x v="1855"/>
    <x v="276"/>
    <x v="224"/>
    <x v="7"/>
    <x v="0"/>
    <n v="429517.42"/>
    <x v="2"/>
    <x v="0"/>
  </r>
  <r>
    <x v="1886"/>
    <s v="Sierra Lane"/>
    <x v="85"/>
    <x v="1"/>
    <x v="6"/>
    <x v="1856"/>
    <x v="197"/>
    <x v="198"/>
    <x v="9"/>
    <x v="4"/>
    <n v="395094.08"/>
    <x v="2"/>
    <x v="14"/>
  </r>
  <r>
    <x v="1887"/>
    <s v="Luis Cooper"/>
    <x v="22"/>
    <x v="0"/>
    <x v="0"/>
    <x v="1857"/>
    <x v="255"/>
    <x v="33"/>
    <x v="5"/>
    <x v="2"/>
    <n v="157500.20000000001"/>
    <x v="2"/>
    <x v="7"/>
  </r>
  <r>
    <x v="1888"/>
    <s v="Laura Perry"/>
    <x v="10"/>
    <x v="1"/>
    <x v="3"/>
    <x v="1858"/>
    <x v="287"/>
    <x v="347"/>
    <x v="8"/>
    <x v="4"/>
    <n v="292460.45"/>
    <x v="2"/>
    <x v="8"/>
  </r>
  <r>
    <x v="1889"/>
    <s v="Cameron Nunez"/>
    <x v="84"/>
    <x v="0"/>
    <x v="3"/>
    <x v="1859"/>
    <x v="197"/>
    <x v="356"/>
    <x v="8"/>
    <x v="5"/>
    <n v="277336.46000000002"/>
    <x v="1"/>
    <x v="11"/>
  </r>
  <r>
    <x v="1890"/>
    <s v="Matthew Perez"/>
    <x v="52"/>
    <x v="1"/>
    <x v="3"/>
    <x v="1860"/>
    <x v="263"/>
    <x v="106"/>
    <x v="3"/>
    <x v="0"/>
    <n v="289520.17"/>
    <x v="0"/>
    <x v="4"/>
  </r>
  <r>
    <x v="1891"/>
    <s v="Kristina Jordan"/>
    <x v="80"/>
    <x v="1"/>
    <x v="1"/>
    <x v="1861"/>
    <x v="293"/>
    <x v="192"/>
    <x v="2"/>
    <x v="0"/>
    <n v="73098.44"/>
    <x v="2"/>
    <x v="5"/>
  </r>
  <r>
    <x v="1892"/>
    <s v="Daniel Pennington"/>
    <x v="67"/>
    <x v="1"/>
    <x v="1"/>
    <x v="1862"/>
    <x v="362"/>
    <x v="186"/>
    <x v="7"/>
    <x v="5"/>
    <n v="139848.18"/>
    <x v="0"/>
    <x v="6"/>
  </r>
  <r>
    <x v="1893"/>
    <s v="Jamie Case"/>
    <x v="26"/>
    <x v="0"/>
    <x v="2"/>
    <x v="1863"/>
    <x v="158"/>
    <x v="248"/>
    <x v="4"/>
    <x v="1"/>
    <n v="192057.73"/>
    <x v="2"/>
    <x v="11"/>
  </r>
  <r>
    <x v="1894"/>
    <s v="Erin Sanford"/>
    <x v="25"/>
    <x v="1"/>
    <x v="4"/>
    <x v="1864"/>
    <x v="119"/>
    <x v="305"/>
    <x v="4"/>
    <x v="5"/>
    <n v="499198.73"/>
    <x v="2"/>
    <x v="14"/>
  </r>
  <r>
    <x v="1895"/>
    <s v="Ashley Ruiz"/>
    <x v="21"/>
    <x v="0"/>
    <x v="2"/>
    <x v="1865"/>
    <x v="95"/>
    <x v="23"/>
    <x v="9"/>
    <x v="2"/>
    <n v="192643.64"/>
    <x v="2"/>
    <x v="6"/>
  </r>
  <r>
    <x v="1896"/>
    <s v="Jeffrey Coleman"/>
    <x v="3"/>
    <x v="0"/>
    <x v="2"/>
    <x v="1866"/>
    <x v="102"/>
    <x v="123"/>
    <x v="6"/>
    <x v="0"/>
    <n v="20893.080000000002"/>
    <x v="0"/>
    <x v="5"/>
  </r>
  <r>
    <x v="1897"/>
    <s v="Dean Mckinney"/>
    <x v="19"/>
    <x v="1"/>
    <x v="3"/>
    <x v="1867"/>
    <x v="192"/>
    <x v="306"/>
    <x v="2"/>
    <x v="5"/>
    <n v="391696.74"/>
    <x v="0"/>
    <x v="11"/>
  </r>
  <r>
    <x v="1898"/>
    <s v="Keith Brewer"/>
    <x v="75"/>
    <x v="0"/>
    <x v="4"/>
    <x v="1868"/>
    <x v="333"/>
    <x v="233"/>
    <x v="5"/>
    <x v="4"/>
    <n v="116252.28"/>
    <x v="2"/>
    <x v="4"/>
  </r>
  <r>
    <x v="1899"/>
    <s v="Adrian Perez"/>
    <x v="69"/>
    <x v="0"/>
    <x v="5"/>
    <x v="1869"/>
    <x v="309"/>
    <x v="42"/>
    <x v="6"/>
    <x v="2"/>
    <n v="468338.91"/>
    <x v="2"/>
    <x v="8"/>
  </r>
  <r>
    <x v="1900"/>
    <s v="Sarah Thompson"/>
    <x v="15"/>
    <x v="0"/>
    <x v="1"/>
    <x v="1870"/>
    <x v="346"/>
    <x v="129"/>
    <x v="3"/>
    <x v="3"/>
    <n v="7967.4"/>
    <x v="0"/>
    <x v="5"/>
  </r>
  <r>
    <x v="1901"/>
    <s v="James Young"/>
    <x v="84"/>
    <x v="0"/>
    <x v="2"/>
    <x v="1871"/>
    <x v="345"/>
    <x v="79"/>
    <x v="2"/>
    <x v="5"/>
    <n v="309989.68"/>
    <x v="1"/>
    <x v="0"/>
  </r>
  <r>
    <x v="1902"/>
    <s v="Lisa Young"/>
    <x v="10"/>
    <x v="0"/>
    <x v="2"/>
    <x v="1872"/>
    <x v="273"/>
    <x v="12"/>
    <x v="1"/>
    <x v="1"/>
    <n v="279281.51"/>
    <x v="1"/>
    <x v="4"/>
  </r>
  <r>
    <x v="1903"/>
    <s v="Emily Mckenzie"/>
    <x v="63"/>
    <x v="1"/>
    <x v="1"/>
    <x v="1873"/>
    <x v="155"/>
    <x v="365"/>
    <x v="9"/>
    <x v="4"/>
    <n v="29786.68"/>
    <x v="1"/>
    <x v="4"/>
  </r>
  <r>
    <x v="1904"/>
    <s v="Robert Moore"/>
    <x v="5"/>
    <x v="0"/>
    <x v="1"/>
    <x v="1874"/>
    <x v="300"/>
    <x v="339"/>
    <x v="2"/>
    <x v="3"/>
    <n v="155606.32"/>
    <x v="2"/>
    <x v="11"/>
  </r>
  <r>
    <x v="1905"/>
    <s v="Danny Gardner"/>
    <x v="26"/>
    <x v="1"/>
    <x v="5"/>
    <x v="1875"/>
    <x v="132"/>
    <x v="353"/>
    <x v="3"/>
    <x v="5"/>
    <n v="172682.16"/>
    <x v="2"/>
    <x v="0"/>
  </r>
  <r>
    <x v="1906"/>
    <s v="Samuel Harrison"/>
    <x v="30"/>
    <x v="0"/>
    <x v="4"/>
    <x v="1876"/>
    <x v="174"/>
    <x v="53"/>
    <x v="8"/>
    <x v="1"/>
    <n v="181648.68"/>
    <x v="0"/>
    <x v="4"/>
  </r>
  <r>
    <x v="1907"/>
    <s v="Lisa Castillo"/>
    <x v="37"/>
    <x v="0"/>
    <x v="0"/>
    <x v="1877"/>
    <x v="261"/>
    <x v="267"/>
    <x v="0"/>
    <x v="3"/>
    <n v="30399.61"/>
    <x v="2"/>
    <x v="9"/>
  </r>
  <r>
    <x v="1908"/>
    <s v="Sabrina Lopez"/>
    <x v="77"/>
    <x v="1"/>
    <x v="2"/>
    <x v="1878"/>
    <x v="288"/>
    <x v="61"/>
    <x v="5"/>
    <x v="2"/>
    <n v="431277.09"/>
    <x v="1"/>
    <x v="14"/>
  </r>
  <r>
    <x v="1909"/>
    <s v="Joseph Garcia"/>
    <x v="70"/>
    <x v="1"/>
    <x v="2"/>
    <x v="1879"/>
    <x v="198"/>
    <x v="261"/>
    <x v="7"/>
    <x v="0"/>
    <n v="410045.86"/>
    <x v="2"/>
    <x v="6"/>
  </r>
  <r>
    <x v="1910"/>
    <s v="Jennifer Lopez"/>
    <x v="57"/>
    <x v="0"/>
    <x v="6"/>
    <x v="1880"/>
    <x v="29"/>
    <x v="97"/>
    <x v="0"/>
    <x v="3"/>
    <n v="430157.47"/>
    <x v="0"/>
    <x v="10"/>
  </r>
  <r>
    <x v="1911"/>
    <s v="Caitlin Phillips"/>
    <x v="63"/>
    <x v="0"/>
    <x v="5"/>
    <x v="1881"/>
    <x v="14"/>
    <x v="83"/>
    <x v="7"/>
    <x v="4"/>
    <n v="487907.18"/>
    <x v="2"/>
    <x v="4"/>
  </r>
  <r>
    <x v="1912"/>
    <s v="Cheryl House"/>
    <x v="38"/>
    <x v="1"/>
    <x v="1"/>
    <x v="1882"/>
    <x v="56"/>
    <x v="242"/>
    <x v="7"/>
    <x v="2"/>
    <n v="152830.28"/>
    <x v="0"/>
    <x v="2"/>
  </r>
  <r>
    <x v="1913"/>
    <s v="Brittany Phillips"/>
    <x v="31"/>
    <x v="1"/>
    <x v="1"/>
    <x v="1883"/>
    <x v="283"/>
    <x v="372"/>
    <x v="5"/>
    <x v="3"/>
    <n v="495326.7"/>
    <x v="0"/>
    <x v="7"/>
  </r>
  <r>
    <x v="1914"/>
    <s v="Shawn Harper"/>
    <x v="17"/>
    <x v="1"/>
    <x v="1"/>
    <x v="1884"/>
    <x v="190"/>
    <x v="200"/>
    <x v="2"/>
    <x v="1"/>
    <n v="103696.69"/>
    <x v="0"/>
    <x v="2"/>
  </r>
  <r>
    <x v="1915"/>
    <s v="Ryan Hernandez"/>
    <x v="41"/>
    <x v="1"/>
    <x v="5"/>
    <x v="1885"/>
    <x v="89"/>
    <x v="232"/>
    <x v="6"/>
    <x v="0"/>
    <n v="249747.94"/>
    <x v="0"/>
    <x v="9"/>
  </r>
  <r>
    <x v="1916"/>
    <s v="Richard Lopez"/>
    <x v="13"/>
    <x v="0"/>
    <x v="1"/>
    <x v="1886"/>
    <x v="50"/>
    <x v="283"/>
    <x v="8"/>
    <x v="0"/>
    <n v="388648.02"/>
    <x v="2"/>
    <x v="13"/>
  </r>
  <r>
    <x v="1917"/>
    <s v="Jeremy Jacobson"/>
    <x v="63"/>
    <x v="1"/>
    <x v="3"/>
    <x v="1887"/>
    <x v="166"/>
    <x v="26"/>
    <x v="1"/>
    <x v="2"/>
    <n v="146887.25"/>
    <x v="2"/>
    <x v="10"/>
  </r>
  <r>
    <x v="1918"/>
    <s v="Dorothy Yang MD"/>
    <x v="83"/>
    <x v="0"/>
    <x v="5"/>
    <x v="1888"/>
    <x v="206"/>
    <x v="108"/>
    <x v="6"/>
    <x v="5"/>
    <n v="35172.230000000003"/>
    <x v="0"/>
    <x v="13"/>
  </r>
  <r>
    <x v="1919"/>
    <s v="Regina Johnson"/>
    <x v="9"/>
    <x v="1"/>
    <x v="6"/>
    <x v="1889"/>
    <x v="73"/>
    <x v="336"/>
    <x v="7"/>
    <x v="4"/>
    <n v="254576.79"/>
    <x v="0"/>
    <x v="14"/>
  </r>
  <r>
    <x v="1920"/>
    <s v="Mark Huffman"/>
    <x v="87"/>
    <x v="1"/>
    <x v="5"/>
    <x v="1890"/>
    <x v="94"/>
    <x v="178"/>
    <x v="7"/>
    <x v="2"/>
    <n v="51533.73"/>
    <x v="2"/>
    <x v="0"/>
  </r>
  <r>
    <x v="1921"/>
    <s v="Ryan Ellis"/>
    <x v="74"/>
    <x v="0"/>
    <x v="0"/>
    <x v="1891"/>
    <x v="198"/>
    <x v="276"/>
    <x v="6"/>
    <x v="1"/>
    <n v="216557.98"/>
    <x v="0"/>
    <x v="5"/>
  </r>
  <r>
    <x v="1922"/>
    <s v="Victoria Cook"/>
    <x v="81"/>
    <x v="1"/>
    <x v="0"/>
    <x v="1892"/>
    <x v="169"/>
    <x v="280"/>
    <x v="7"/>
    <x v="0"/>
    <n v="81533.070000000007"/>
    <x v="0"/>
    <x v="12"/>
  </r>
  <r>
    <x v="1923"/>
    <s v="Mary Alexander"/>
    <x v="3"/>
    <x v="1"/>
    <x v="6"/>
    <x v="1893"/>
    <x v="178"/>
    <x v="93"/>
    <x v="1"/>
    <x v="0"/>
    <n v="333922.3"/>
    <x v="2"/>
    <x v="14"/>
  </r>
  <r>
    <x v="1924"/>
    <s v="Kristin Wagner"/>
    <x v="68"/>
    <x v="1"/>
    <x v="3"/>
    <x v="1894"/>
    <x v="40"/>
    <x v="7"/>
    <x v="7"/>
    <x v="2"/>
    <n v="287014.31"/>
    <x v="2"/>
    <x v="2"/>
  </r>
  <r>
    <x v="1925"/>
    <s v="Heather Serrano"/>
    <x v="56"/>
    <x v="1"/>
    <x v="6"/>
    <x v="1895"/>
    <x v="353"/>
    <x v="42"/>
    <x v="2"/>
    <x v="0"/>
    <n v="445611.46"/>
    <x v="1"/>
    <x v="2"/>
  </r>
  <r>
    <x v="1926"/>
    <s v="Jeffery Clark"/>
    <x v="25"/>
    <x v="1"/>
    <x v="5"/>
    <x v="1896"/>
    <x v="68"/>
    <x v="276"/>
    <x v="3"/>
    <x v="4"/>
    <n v="376362.1"/>
    <x v="0"/>
    <x v="7"/>
  </r>
  <r>
    <x v="1927"/>
    <s v="Kyle Miller"/>
    <x v="21"/>
    <x v="1"/>
    <x v="0"/>
    <x v="1897"/>
    <x v="65"/>
    <x v="106"/>
    <x v="3"/>
    <x v="3"/>
    <n v="361707.83"/>
    <x v="2"/>
    <x v="8"/>
  </r>
  <r>
    <x v="1928"/>
    <s v="Kevin Leach"/>
    <x v="50"/>
    <x v="0"/>
    <x v="5"/>
    <x v="1898"/>
    <x v="342"/>
    <x v="75"/>
    <x v="5"/>
    <x v="2"/>
    <n v="310516.8"/>
    <x v="0"/>
    <x v="12"/>
  </r>
  <r>
    <x v="1929"/>
    <s v="Wayne Beard"/>
    <x v="62"/>
    <x v="0"/>
    <x v="6"/>
    <x v="1899"/>
    <x v="202"/>
    <x v="84"/>
    <x v="6"/>
    <x v="2"/>
    <n v="148919.51999999999"/>
    <x v="0"/>
    <x v="14"/>
  </r>
  <r>
    <x v="1930"/>
    <s v="Tiffany Sanchez"/>
    <x v="45"/>
    <x v="0"/>
    <x v="5"/>
    <x v="1900"/>
    <x v="59"/>
    <x v="276"/>
    <x v="4"/>
    <x v="2"/>
    <n v="240523.37"/>
    <x v="2"/>
    <x v="13"/>
  </r>
  <r>
    <x v="1931"/>
    <s v="Dr. Emily Rodriguez"/>
    <x v="37"/>
    <x v="0"/>
    <x v="0"/>
    <x v="1901"/>
    <x v="99"/>
    <x v="360"/>
    <x v="3"/>
    <x v="3"/>
    <n v="306670.38"/>
    <x v="1"/>
    <x v="13"/>
  </r>
  <r>
    <x v="1932"/>
    <s v="Craig Bass"/>
    <x v="49"/>
    <x v="0"/>
    <x v="5"/>
    <x v="1902"/>
    <x v="230"/>
    <x v="75"/>
    <x v="8"/>
    <x v="0"/>
    <n v="77342.83"/>
    <x v="0"/>
    <x v="5"/>
  </r>
  <r>
    <x v="1933"/>
    <s v="Megan Johnson"/>
    <x v="50"/>
    <x v="1"/>
    <x v="2"/>
    <x v="1903"/>
    <x v="98"/>
    <x v="106"/>
    <x v="5"/>
    <x v="2"/>
    <n v="346423.72"/>
    <x v="2"/>
    <x v="2"/>
  </r>
  <r>
    <x v="1934"/>
    <s v="Lisa Clark"/>
    <x v="69"/>
    <x v="0"/>
    <x v="6"/>
    <x v="1904"/>
    <x v="305"/>
    <x v="250"/>
    <x v="3"/>
    <x v="5"/>
    <n v="188394.09"/>
    <x v="0"/>
    <x v="3"/>
  </r>
  <r>
    <x v="1935"/>
    <s v="David Bennett"/>
    <x v="75"/>
    <x v="1"/>
    <x v="5"/>
    <x v="1905"/>
    <x v="326"/>
    <x v="81"/>
    <x v="1"/>
    <x v="2"/>
    <n v="379625.78"/>
    <x v="1"/>
    <x v="12"/>
  </r>
  <r>
    <x v="1936"/>
    <s v="Ryan Mckinney"/>
    <x v="53"/>
    <x v="1"/>
    <x v="6"/>
    <x v="1906"/>
    <x v="76"/>
    <x v="262"/>
    <x v="4"/>
    <x v="2"/>
    <n v="74568.210000000006"/>
    <x v="0"/>
    <x v="10"/>
  </r>
  <r>
    <x v="1937"/>
    <s v="Colleen Adams"/>
    <x v="79"/>
    <x v="0"/>
    <x v="2"/>
    <x v="1907"/>
    <x v="78"/>
    <x v="355"/>
    <x v="0"/>
    <x v="3"/>
    <n v="270189.59000000003"/>
    <x v="1"/>
    <x v="5"/>
  </r>
  <r>
    <x v="1938"/>
    <s v="Erin Moore"/>
    <x v="9"/>
    <x v="0"/>
    <x v="4"/>
    <x v="1908"/>
    <x v="296"/>
    <x v="222"/>
    <x v="0"/>
    <x v="4"/>
    <n v="280957.28999999998"/>
    <x v="2"/>
    <x v="11"/>
  </r>
  <r>
    <x v="1939"/>
    <s v="Tiffany Berry"/>
    <x v="50"/>
    <x v="1"/>
    <x v="0"/>
    <x v="1909"/>
    <x v="36"/>
    <x v="213"/>
    <x v="2"/>
    <x v="1"/>
    <n v="179038.44"/>
    <x v="1"/>
    <x v="12"/>
  </r>
  <r>
    <x v="1940"/>
    <s v="Jon Lewis"/>
    <x v="56"/>
    <x v="1"/>
    <x v="1"/>
    <x v="1910"/>
    <x v="144"/>
    <x v="152"/>
    <x v="8"/>
    <x v="1"/>
    <n v="113856.08"/>
    <x v="2"/>
    <x v="1"/>
  </r>
  <r>
    <x v="1941"/>
    <s v="Michael Jimenez"/>
    <x v="62"/>
    <x v="0"/>
    <x v="0"/>
    <x v="1911"/>
    <x v="362"/>
    <x v="0"/>
    <x v="3"/>
    <x v="3"/>
    <n v="395753.03"/>
    <x v="2"/>
    <x v="9"/>
  </r>
  <r>
    <x v="1942"/>
    <s v="Jessica Morris"/>
    <x v="8"/>
    <x v="1"/>
    <x v="0"/>
    <x v="1912"/>
    <x v="294"/>
    <x v="35"/>
    <x v="3"/>
    <x v="1"/>
    <n v="397943.11"/>
    <x v="2"/>
    <x v="13"/>
  </r>
  <r>
    <x v="1943"/>
    <s v="Jeffrey White"/>
    <x v="48"/>
    <x v="1"/>
    <x v="3"/>
    <x v="1913"/>
    <x v="83"/>
    <x v="241"/>
    <x v="6"/>
    <x v="0"/>
    <n v="223578.11"/>
    <x v="0"/>
    <x v="5"/>
  </r>
  <r>
    <x v="1944"/>
    <s v="Johnny Harrison"/>
    <x v="65"/>
    <x v="0"/>
    <x v="5"/>
    <x v="1914"/>
    <x v="184"/>
    <x v="71"/>
    <x v="0"/>
    <x v="5"/>
    <n v="468269.66"/>
    <x v="2"/>
    <x v="2"/>
  </r>
  <r>
    <x v="1945"/>
    <s v="Sheryl Cameron"/>
    <x v="48"/>
    <x v="0"/>
    <x v="1"/>
    <x v="558"/>
    <x v="16"/>
    <x v="170"/>
    <x v="5"/>
    <x v="2"/>
    <n v="231440.97"/>
    <x v="0"/>
    <x v="5"/>
  </r>
  <r>
    <x v="1946"/>
    <s v="Nicholas Hernandez"/>
    <x v="53"/>
    <x v="0"/>
    <x v="2"/>
    <x v="1915"/>
    <x v="104"/>
    <x v="22"/>
    <x v="6"/>
    <x v="4"/>
    <n v="408070.88"/>
    <x v="0"/>
    <x v="4"/>
  </r>
  <r>
    <x v="1947"/>
    <s v="Melanie Lucas"/>
    <x v="89"/>
    <x v="1"/>
    <x v="3"/>
    <x v="1916"/>
    <x v="340"/>
    <x v="57"/>
    <x v="4"/>
    <x v="2"/>
    <n v="348523.25"/>
    <x v="0"/>
    <x v="0"/>
  </r>
  <r>
    <x v="1948"/>
    <s v="William Wood"/>
    <x v="5"/>
    <x v="0"/>
    <x v="3"/>
    <x v="1917"/>
    <x v="80"/>
    <x v="357"/>
    <x v="1"/>
    <x v="4"/>
    <n v="416537.35"/>
    <x v="1"/>
    <x v="2"/>
  </r>
  <r>
    <x v="1949"/>
    <s v="Amanda Gonzalez"/>
    <x v="47"/>
    <x v="1"/>
    <x v="6"/>
    <x v="1918"/>
    <x v="58"/>
    <x v="145"/>
    <x v="9"/>
    <x v="4"/>
    <n v="465771.21"/>
    <x v="2"/>
    <x v="11"/>
  </r>
  <r>
    <x v="1950"/>
    <s v="Karen Black"/>
    <x v="48"/>
    <x v="1"/>
    <x v="4"/>
    <x v="1919"/>
    <x v="33"/>
    <x v="288"/>
    <x v="5"/>
    <x v="5"/>
    <n v="497173.95"/>
    <x v="1"/>
    <x v="10"/>
  </r>
  <r>
    <x v="1951"/>
    <s v="Victor Fields"/>
    <x v="24"/>
    <x v="1"/>
    <x v="6"/>
    <x v="1920"/>
    <x v="124"/>
    <x v="236"/>
    <x v="3"/>
    <x v="4"/>
    <n v="200155.81"/>
    <x v="2"/>
    <x v="0"/>
  </r>
  <r>
    <x v="1952"/>
    <s v="Emily Mccann"/>
    <x v="5"/>
    <x v="0"/>
    <x v="5"/>
    <x v="1921"/>
    <x v="180"/>
    <x v="370"/>
    <x v="3"/>
    <x v="4"/>
    <n v="433824.44"/>
    <x v="1"/>
    <x v="5"/>
  </r>
  <r>
    <x v="1953"/>
    <s v="Nicholas Sanchez"/>
    <x v="19"/>
    <x v="0"/>
    <x v="1"/>
    <x v="1922"/>
    <x v="139"/>
    <x v="249"/>
    <x v="6"/>
    <x v="1"/>
    <n v="392256.15"/>
    <x v="0"/>
    <x v="12"/>
  </r>
  <r>
    <x v="1954"/>
    <s v="Christopher Boyd"/>
    <x v="40"/>
    <x v="1"/>
    <x v="1"/>
    <x v="1923"/>
    <x v="265"/>
    <x v="373"/>
    <x v="4"/>
    <x v="2"/>
    <n v="394313.38"/>
    <x v="2"/>
    <x v="13"/>
  </r>
  <r>
    <x v="1955"/>
    <s v="Emily Finley"/>
    <x v="21"/>
    <x v="1"/>
    <x v="4"/>
    <x v="1924"/>
    <x v="109"/>
    <x v="258"/>
    <x v="9"/>
    <x v="1"/>
    <n v="483748.08"/>
    <x v="1"/>
    <x v="8"/>
  </r>
  <r>
    <x v="1956"/>
    <s v="David Harmon"/>
    <x v="10"/>
    <x v="0"/>
    <x v="6"/>
    <x v="1925"/>
    <x v="242"/>
    <x v="9"/>
    <x v="5"/>
    <x v="1"/>
    <n v="36923.19"/>
    <x v="1"/>
    <x v="11"/>
  </r>
  <r>
    <x v="1957"/>
    <s v="Connor York"/>
    <x v="66"/>
    <x v="0"/>
    <x v="4"/>
    <x v="1926"/>
    <x v="142"/>
    <x v="176"/>
    <x v="0"/>
    <x v="1"/>
    <n v="172209.24"/>
    <x v="1"/>
    <x v="5"/>
  </r>
  <r>
    <x v="1958"/>
    <s v="Antonio Hanson"/>
    <x v="41"/>
    <x v="0"/>
    <x v="4"/>
    <x v="1927"/>
    <x v="21"/>
    <x v="337"/>
    <x v="7"/>
    <x v="3"/>
    <n v="400087.16"/>
    <x v="1"/>
    <x v="0"/>
  </r>
  <r>
    <x v="1959"/>
    <s v="Charles Harris"/>
    <x v="38"/>
    <x v="1"/>
    <x v="4"/>
    <x v="1928"/>
    <x v="19"/>
    <x v="107"/>
    <x v="8"/>
    <x v="0"/>
    <n v="98149.51"/>
    <x v="2"/>
    <x v="6"/>
  </r>
  <r>
    <x v="1960"/>
    <s v="Heather Williams"/>
    <x v="39"/>
    <x v="1"/>
    <x v="3"/>
    <x v="1929"/>
    <x v="185"/>
    <x v="283"/>
    <x v="9"/>
    <x v="3"/>
    <n v="238286.41"/>
    <x v="2"/>
    <x v="12"/>
  </r>
  <r>
    <x v="1961"/>
    <s v="Deborah Stevens"/>
    <x v="46"/>
    <x v="0"/>
    <x v="4"/>
    <x v="1930"/>
    <x v="37"/>
    <x v="278"/>
    <x v="0"/>
    <x v="5"/>
    <n v="176971.63"/>
    <x v="2"/>
    <x v="4"/>
  </r>
  <r>
    <x v="1962"/>
    <s v="Carly Murphy"/>
    <x v="77"/>
    <x v="0"/>
    <x v="4"/>
    <x v="1931"/>
    <x v="329"/>
    <x v="213"/>
    <x v="0"/>
    <x v="0"/>
    <n v="100971.71"/>
    <x v="1"/>
    <x v="13"/>
  </r>
  <r>
    <x v="1963"/>
    <s v="Aaron Jones"/>
    <x v="36"/>
    <x v="1"/>
    <x v="0"/>
    <x v="1932"/>
    <x v="221"/>
    <x v="108"/>
    <x v="6"/>
    <x v="2"/>
    <n v="432140.33"/>
    <x v="2"/>
    <x v="8"/>
  </r>
  <r>
    <x v="1964"/>
    <s v="Henry Yates"/>
    <x v="10"/>
    <x v="0"/>
    <x v="2"/>
    <x v="1933"/>
    <x v="197"/>
    <x v="235"/>
    <x v="1"/>
    <x v="0"/>
    <n v="497531.38"/>
    <x v="2"/>
    <x v="2"/>
  </r>
  <r>
    <x v="1965"/>
    <s v="Thomas Sanders"/>
    <x v="58"/>
    <x v="1"/>
    <x v="3"/>
    <x v="1934"/>
    <x v="175"/>
    <x v="92"/>
    <x v="4"/>
    <x v="0"/>
    <n v="329140.2"/>
    <x v="2"/>
    <x v="10"/>
  </r>
  <r>
    <x v="1966"/>
    <s v="Evelyn Webster"/>
    <x v="37"/>
    <x v="0"/>
    <x v="3"/>
    <x v="1935"/>
    <x v="353"/>
    <x v="244"/>
    <x v="7"/>
    <x v="3"/>
    <n v="450278.44"/>
    <x v="0"/>
    <x v="9"/>
  </r>
  <r>
    <x v="1967"/>
    <s v="Krista Little"/>
    <x v="10"/>
    <x v="1"/>
    <x v="1"/>
    <x v="1936"/>
    <x v="326"/>
    <x v="298"/>
    <x v="4"/>
    <x v="0"/>
    <n v="60575.27"/>
    <x v="0"/>
    <x v="0"/>
  </r>
  <r>
    <x v="1968"/>
    <s v="Sarah Alvarado"/>
    <x v="42"/>
    <x v="1"/>
    <x v="2"/>
    <x v="1937"/>
    <x v="238"/>
    <x v="85"/>
    <x v="8"/>
    <x v="4"/>
    <n v="22645.05"/>
    <x v="0"/>
    <x v="10"/>
  </r>
  <r>
    <x v="1969"/>
    <s v="Amber Campbell"/>
    <x v="60"/>
    <x v="1"/>
    <x v="6"/>
    <x v="1938"/>
    <x v="15"/>
    <x v="316"/>
    <x v="3"/>
    <x v="2"/>
    <n v="260259.11"/>
    <x v="0"/>
    <x v="7"/>
  </r>
  <r>
    <x v="1970"/>
    <s v="Terrence Alvarado"/>
    <x v="25"/>
    <x v="1"/>
    <x v="6"/>
    <x v="1939"/>
    <x v="153"/>
    <x v="27"/>
    <x v="8"/>
    <x v="1"/>
    <n v="361245.81"/>
    <x v="2"/>
    <x v="7"/>
  </r>
  <r>
    <x v="1971"/>
    <s v="Charles Scott"/>
    <x v="42"/>
    <x v="1"/>
    <x v="3"/>
    <x v="1940"/>
    <x v="30"/>
    <x v="335"/>
    <x v="9"/>
    <x v="3"/>
    <n v="48228.55"/>
    <x v="2"/>
    <x v="14"/>
  </r>
  <r>
    <x v="1972"/>
    <s v="Yolanda Smith"/>
    <x v="38"/>
    <x v="1"/>
    <x v="3"/>
    <x v="1941"/>
    <x v="131"/>
    <x v="140"/>
    <x v="2"/>
    <x v="1"/>
    <n v="359665.48"/>
    <x v="0"/>
    <x v="0"/>
  </r>
  <r>
    <x v="1973"/>
    <s v="Rhonda Deleon"/>
    <x v="74"/>
    <x v="1"/>
    <x v="3"/>
    <x v="1942"/>
    <x v="287"/>
    <x v="220"/>
    <x v="2"/>
    <x v="3"/>
    <n v="408388.88"/>
    <x v="2"/>
    <x v="5"/>
  </r>
  <r>
    <x v="1974"/>
    <s v="Thomas Sanchez"/>
    <x v="50"/>
    <x v="1"/>
    <x v="6"/>
    <x v="1943"/>
    <x v="32"/>
    <x v="35"/>
    <x v="6"/>
    <x v="2"/>
    <n v="440419.67"/>
    <x v="0"/>
    <x v="5"/>
  </r>
  <r>
    <x v="1975"/>
    <s v="Michael Serrano"/>
    <x v="55"/>
    <x v="0"/>
    <x v="0"/>
    <x v="1944"/>
    <x v="140"/>
    <x v="209"/>
    <x v="4"/>
    <x v="4"/>
    <n v="403425.14"/>
    <x v="1"/>
    <x v="0"/>
  </r>
  <r>
    <x v="1976"/>
    <s v="Douglas Lopez"/>
    <x v="12"/>
    <x v="0"/>
    <x v="3"/>
    <x v="1945"/>
    <x v="191"/>
    <x v="307"/>
    <x v="4"/>
    <x v="4"/>
    <n v="361903.98"/>
    <x v="2"/>
    <x v="9"/>
  </r>
  <r>
    <x v="1977"/>
    <s v="Kathryn Newton"/>
    <x v="69"/>
    <x v="0"/>
    <x v="3"/>
    <x v="1946"/>
    <x v="320"/>
    <x v="262"/>
    <x v="1"/>
    <x v="4"/>
    <n v="317659.01"/>
    <x v="0"/>
    <x v="4"/>
  </r>
  <r>
    <x v="1978"/>
    <s v="Carlos King"/>
    <x v="25"/>
    <x v="0"/>
    <x v="2"/>
    <x v="1947"/>
    <x v="289"/>
    <x v="274"/>
    <x v="7"/>
    <x v="0"/>
    <n v="267286.13"/>
    <x v="2"/>
    <x v="3"/>
  </r>
  <r>
    <x v="1979"/>
    <s v="Devon Bennett"/>
    <x v="3"/>
    <x v="0"/>
    <x v="4"/>
    <x v="1948"/>
    <x v="203"/>
    <x v="57"/>
    <x v="2"/>
    <x v="3"/>
    <n v="463008.28"/>
    <x v="1"/>
    <x v="1"/>
  </r>
  <r>
    <x v="1980"/>
    <s v="Cindy Thompson"/>
    <x v="28"/>
    <x v="1"/>
    <x v="4"/>
    <x v="1949"/>
    <x v="209"/>
    <x v="238"/>
    <x v="2"/>
    <x v="0"/>
    <n v="145842.26"/>
    <x v="0"/>
    <x v="13"/>
  </r>
  <r>
    <x v="1981"/>
    <s v="Julia Jones"/>
    <x v="44"/>
    <x v="0"/>
    <x v="4"/>
    <x v="1950"/>
    <x v="182"/>
    <x v="240"/>
    <x v="1"/>
    <x v="2"/>
    <n v="97676.05"/>
    <x v="1"/>
    <x v="7"/>
  </r>
  <r>
    <x v="1982"/>
    <s v="Cole Jefferson"/>
    <x v="29"/>
    <x v="0"/>
    <x v="0"/>
    <x v="1951"/>
    <x v="112"/>
    <x v="19"/>
    <x v="7"/>
    <x v="4"/>
    <n v="83226.19"/>
    <x v="2"/>
    <x v="1"/>
  </r>
  <r>
    <x v="1983"/>
    <s v="Kevin Duncan"/>
    <x v="19"/>
    <x v="0"/>
    <x v="0"/>
    <x v="1952"/>
    <x v="87"/>
    <x v="15"/>
    <x v="0"/>
    <x v="2"/>
    <n v="478899.35"/>
    <x v="1"/>
    <x v="14"/>
  </r>
  <r>
    <x v="1984"/>
    <s v="Todd Oconnor"/>
    <x v="39"/>
    <x v="0"/>
    <x v="4"/>
    <x v="1953"/>
    <x v="122"/>
    <x v="10"/>
    <x v="6"/>
    <x v="5"/>
    <n v="197096.66"/>
    <x v="2"/>
    <x v="3"/>
  </r>
  <r>
    <x v="1985"/>
    <s v="Jose Kelley"/>
    <x v="77"/>
    <x v="0"/>
    <x v="1"/>
    <x v="1954"/>
    <x v="120"/>
    <x v="225"/>
    <x v="4"/>
    <x v="2"/>
    <n v="9430.34"/>
    <x v="2"/>
    <x v="9"/>
  </r>
  <r>
    <x v="1986"/>
    <s v="Shannon Hansen"/>
    <x v="71"/>
    <x v="1"/>
    <x v="2"/>
    <x v="1955"/>
    <x v="10"/>
    <x v="300"/>
    <x v="4"/>
    <x v="1"/>
    <n v="19985.14"/>
    <x v="1"/>
    <x v="6"/>
  </r>
  <r>
    <x v="1987"/>
    <s v="William Chang"/>
    <x v="63"/>
    <x v="0"/>
    <x v="1"/>
    <x v="1956"/>
    <x v="295"/>
    <x v="14"/>
    <x v="9"/>
    <x v="1"/>
    <n v="468855.16"/>
    <x v="2"/>
    <x v="4"/>
  </r>
  <r>
    <x v="1988"/>
    <s v="Lauren Garcia"/>
    <x v="46"/>
    <x v="1"/>
    <x v="2"/>
    <x v="1957"/>
    <x v="132"/>
    <x v="248"/>
    <x v="1"/>
    <x v="3"/>
    <n v="28737.96"/>
    <x v="1"/>
    <x v="5"/>
  </r>
  <r>
    <x v="1989"/>
    <s v="Kimberly White"/>
    <x v="43"/>
    <x v="0"/>
    <x v="3"/>
    <x v="1958"/>
    <x v="10"/>
    <x v="154"/>
    <x v="8"/>
    <x v="4"/>
    <n v="259079.03"/>
    <x v="2"/>
    <x v="5"/>
  </r>
  <r>
    <x v="1990"/>
    <s v="Vincent Bright"/>
    <x v="64"/>
    <x v="1"/>
    <x v="0"/>
    <x v="1959"/>
    <x v="362"/>
    <x v="358"/>
    <x v="3"/>
    <x v="4"/>
    <n v="321184.33"/>
    <x v="2"/>
    <x v="5"/>
  </r>
  <r>
    <x v="1991"/>
    <s v="Tiffany Oliver"/>
    <x v="36"/>
    <x v="1"/>
    <x v="5"/>
    <x v="1960"/>
    <x v="1"/>
    <x v="171"/>
    <x v="2"/>
    <x v="3"/>
    <n v="315928.86"/>
    <x v="1"/>
    <x v="8"/>
  </r>
  <r>
    <x v="1992"/>
    <s v="Marvin Leon"/>
    <x v="55"/>
    <x v="1"/>
    <x v="1"/>
    <x v="1961"/>
    <x v="346"/>
    <x v="116"/>
    <x v="4"/>
    <x v="0"/>
    <n v="362132.74"/>
    <x v="0"/>
    <x v="0"/>
  </r>
  <r>
    <x v="1993"/>
    <s v="Travis Gilbert"/>
    <x v="62"/>
    <x v="1"/>
    <x v="6"/>
    <x v="1962"/>
    <x v="247"/>
    <x v="248"/>
    <x v="4"/>
    <x v="5"/>
    <n v="291693.84999999998"/>
    <x v="0"/>
    <x v="9"/>
  </r>
  <r>
    <x v="1994"/>
    <s v="Walter Miles"/>
    <x v="50"/>
    <x v="0"/>
    <x v="5"/>
    <x v="1963"/>
    <x v="358"/>
    <x v="116"/>
    <x v="7"/>
    <x v="5"/>
    <n v="22876.13"/>
    <x v="1"/>
    <x v="12"/>
  </r>
  <r>
    <x v="1995"/>
    <s v="Kevin Dawson"/>
    <x v="35"/>
    <x v="0"/>
    <x v="5"/>
    <x v="1964"/>
    <x v="362"/>
    <x v="138"/>
    <x v="6"/>
    <x v="4"/>
    <n v="496923.55"/>
    <x v="0"/>
    <x v="4"/>
  </r>
  <r>
    <x v="1996"/>
    <s v="Regina Reynolds"/>
    <x v="66"/>
    <x v="1"/>
    <x v="4"/>
    <x v="1965"/>
    <x v="74"/>
    <x v="47"/>
    <x v="5"/>
    <x v="1"/>
    <n v="213463.21"/>
    <x v="0"/>
    <x v="9"/>
  </r>
  <r>
    <x v="1997"/>
    <s v="Jordan Blanchard"/>
    <x v="85"/>
    <x v="1"/>
    <x v="4"/>
    <x v="1966"/>
    <x v="312"/>
    <x v="11"/>
    <x v="1"/>
    <x v="1"/>
    <n v="398913.2"/>
    <x v="2"/>
    <x v="7"/>
  </r>
  <r>
    <x v="1998"/>
    <s v="Jeffrey Edwards"/>
    <x v="85"/>
    <x v="1"/>
    <x v="0"/>
    <x v="1967"/>
    <x v="253"/>
    <x v="67"/>
    <x v="0"/>
    <x v="1"/>
    <n v="372401.53"/>
    <x v="2"/>
    <x v="13"/>
  </r>
  <r>
    <x v="1999"/>
    <s v="Steven Wright"/>
    <x v="10"/>
    <x v="1"/>
    <x v="4"/>
    <x v="1968"/>
    <x v="48"/>
    <x v="275"/>
    <x v="6"/>
    <x v="3"/>
    <n v="308608"/>
    <x v="2"/>
    <x v="11"/>
  </r>
  <r>
    <x v="2000"/>
    <s v="Ruben Farmer"/>
    <x v="24"/>
    <x v="0"/>
    <x v="2"/>
    <x v="1751"/>
    <x v="92"/>
    <x v="84"/>
    <x v="5"/>
    <x v="3"/>
    <n v="390087.88"/>
    <x v="0"/>
    <x v="5"/>
  </r>
  <r>
    <x v="2001"/>
    <s v="William Hess"/>
    <x v="24"/>
    <x v="0"/>
    <x v="3"/>
    <x v="1969"/>
    <x v="342"/>
    <x v="44"/>
    <x v="4"/>
    <x v="4"/>
    <n v="11935.95"/>
    <x v="1"/>
    <x v="0"/>
  </r>
  <r>
    <x v="2002"/>
    <s v="Allen James"/>
    <x v="81"/>
    <x v="1"/>
    <x v="3"/>
    <x v="1970"/>
    <x v="272"/>
    <x v="237"/>
    <x v="9"/>
    <x v="1"/>
    <n v="456698.08"/>
    <x v="1"/>
    <x v="11"/>
  </r>
  <r>
    <x v="2003"/>
    <s v="James Wall"/>
    <x v="49"/>
    <x v="1"/>
    <x v="5"/>
    <x v="1971"/>
    <x v="198"/>
    <x v="327"/>
    <x v="8"/>
    <x v="1"/>
    <n v="413094.42"/>
    <x v="1"/>
    <x v="7"/>
  </r>
  <r>
    <x v="2004"/>
    <s v="Whitney Cook"/>
    <x v="12"/>
    <x v="0"/>
    <x v="6"/>
    <x v="1972"/>
    <x v="10"/>
    <x v="49"/>
    <x v="5"/>
    <x v="0"/>
    <n v="376853.93"/>
    <x v="1"/>
    <x v="4"/>
  </r>
  <r>
    <x v="2005"/>
    <s v="Emily Taylor"/>
    <x v="38"/>
    <x v="1"/>
    <x v="2"/>
    <x v="1973"/>
    <x v="355"/>
    <x v="114"/>
    <x v="8"/>
    <x v="0"/>
    <n v="87751.46"/>
    <x v="1"/>
    <x v="14"/>
  </r>
  <r>
    <x v="2006"/>
    <s v="Daniel Sawyer"/>
    <x v="82"/>
    <x v="0"/>
    <x v="2"/>
    <x v="1974"/>
    <x v="146"/>
    <x v="210"/>
    <x v="4"/>
    <x v="1"/>
    <n v="28166.62"/>
    <x v="0"/>
    <x v="14"/>
  </r>
  <r>
    <x v="2007"/>
    <s v="Beverly Robles"/>
    <x v="0"/>
    <x v="0"/>
    <x v="0"/>
    <x v="1975"/>
    <x v="8"/>
    <x v="37"/>
    <x v="5"/>
    <x v="4"/>
    <n v="496903.47"/>
    <x v="2"/>
    <x v="0"/>
  </r>
  <r>
    <x v="2008"/>
    <s v="Vickie Craig"/>
    <x v="8"/>
    <x v="0"/>
    <x v="3"/>
    <x v="1976"/>
    <x v="25"/>
    <x v="273"/>
    <x v="9"/>
    <x v="5"/>
    <n v="308047.92"/>
    <x v="0"/>
    <x v="8"/>
  </r>
  <r>
    <x v="2009"/>
    <s v="Tamara Roberts"/>
    <x v="46"/>
    <x v="0"/>
    <x v="4"/>
    <x v="970"/>
    <x v="32"/>
    <x v="336"/>
    <x v="6"/>
    <x v="4"/>
    <n v="157052.63"/>
    <x v="1"/>
    <x v="11"/>
  </r>
  <r>
    <x v="2010"/>
    <s v="Danny Ross"/>
    <x v="16"/>
    <x v="1"/>
    <x v="0"/>
    <x v="847"/>
    <x v="312"/>
    <x v="31"/>
    <x v="1"/>
    <x v="2"/>
    <n v="213512.5"/>
    <x v="2"/>
    <x v="2"/>
  </r>
  <r>
    <x v="2011"/>
    <s v="Cindy Leonard"/>
    <x v="21"/>
    <x v="0"/>
    <x v="6"/>
    <x v="1977"/>
    <x v="273"/>
    <x v="210"/>
    <x v="2"/>
    <x v="3"/>
    <n v="492676.22"/>
    <x v="1"/>
    <x v="9"/>
  </r>
  <r>
    <x v="2012"/>
    <s v="Michael Rosario"/>
    <x v="42"/>
    <x v="0"/>
    <x v="2"/>
    <x v="1978"/>
    <x v="0"/>
    <x v="8"/>
    <x v="1"/>
    <x v="4"/>
    <n v="495130"/>
    <x v="2"/>
    <x v="1"/>
  </r>
  <r>
    <x v="2013"/>
    <s v="John Gardner"/>
    <x v="5"/>
    <x v="0"/>
    <x v="5"/>
    <x v="1979"/>
    <x v="181"/>
    <x v="136"/>
    <x v="2"/>
    <x v="5"/>
    <n v="252875.03"/>
    <x v="2"/>
    <x v="5"/>
  </r>
  <r>
    <x v="2014"/>
    <s v="Elizabeth Stark"/>
    <x v="67"/>
    <x v="0"/>
    <x v="4"/>
    <x v="1980"/>
    <x v="167"/>
    <x v="130"/>
    <x v="1"/>
    <x v="1"/>
    <n v="87261.2"/>
    <x v="2"/>
    <x v="10"/>
  </r>
  <r>
    <x v="2015"/>
    <s v="Brian Jensen"/>
    <x v="30"/>
    <x v="1"/>
    <x v="0"/>
    <x v="1981"/>
    <x v="153"/>
    <x v="173"/>
    <x v="7"/>
    <x v="1"/>
    <n v="78381.87"/>
    <x v="2"/>
    <x v="12"/>
  </r>
  <r>
    <x v="2016"/>
    <s v="Theresa Morgan"/>
    <x v="55"/>
    <x v="1"/>
    <x v="2"/>
    <x v="1982"/>
    <x v="6"/>
    <x v="333"/>
    <x v="3"/>
    <x v="3"/>
    <n v="271818.28000000003"/>
    <x v="0"/>
    <x v="0"/>
  </r>
  <r>
    <x v="2017"/>
    <s v="Dustin Wallace"/>
    <x v="54"/>
    <x v="0"/>
    <x v="1"/>
    <x v="1983"/>
    <x v="59"/>
    <x v="16"/>
    <x v="2"/>
    <x v="0"/>
    <n v="382238.73"/>
    <x v="2"/>
    <x v="7"/>
  </r>
  <r>
    <x v="2018"/>
    <s v="Nancy Bradley"/>
    <x v="35"/>
    <x v="0"/>
    <x v="0"/>
    <x v="1984"/>
    <x v="329"/>
    <x v="324"/>
    <x v="9"/>
    <x v="5"/>
    <n v="456940.86"/>
    <x v="2"/>
    <x v="1"/>
  </r>
  <r>
    <x v="2019"/>
    <s v="Carrie Ruiz"/>
    <x v="17"/>
    <x v="1"/>
    <x v="1"/>
    <x v="1985"/>
    <x v="126"/>
    <x v="166"/>
    <x v="9"/>
    <x v="0"/>
    <n v="259024.58"/>
    <x v="0"/>
    <x v="6"/>
  </r>
  <r>
    <x v="2020"/>
    <s v="Melissa Rowe"/>
    <x v="88"/>
    <x v="1"/>
    <x v="4"/>
    <x v="1986"/>
    <x v="4"/>
    <x v="43"/>
    <x v="7"/>
    <x v="4"/>
    <n v="187524.68"/>
    <x v="2"/>
    <x v="13"/>
  </r>
  <r>
    <x v="2021"/>
    <s v="Christopher Hernandez"/>
    <x v="78"/>
    <x v="0"/>
    <x v="5"/>
    <x v="1987"/>
    <x v="124"/>
    <x v="132"/>
    <x v="6"/>
    <x v="5"/>
    <n v="368073.81"/>
    <x v="2"/>
    <x v="9"/>
  </r>
  <r>
    <x v="2022"/>
    <s v="Mark Greene"/>
    <x v="81"/>
    <x v="1"/>
    <x v="6"/>
    <x v="1070"/>
    <x v="0"/>
    <x v="8"/>
    <x v="8"/>
    <x v="4"/>
    <n v="459627.39"/>
    <x v="2"/>
    <x v="1"/>
  </r>
  <r>
    <x v="2023"/>
    <s v="Jennifer Ferrell"/>
    <x v="86"/>
    <x v="0"/>
    <x v="4"/>
    <x v="1988"/>
    <x v="138"/>
    <x v="160"/>
    <x v="7"/>
    <x v="2"/>
    <n v="345474.1"/>
    <x v="1"/>
    <x v="2"/>
  </r>
  <r>
    <x v="2024"/>
    <s v="Andrea Bond"/>
    <x v="65"/>
    <x v="1"/>
    <x v="4"/>
    <x v="1989"/>
    <x v="50"/>
    <x v="143"/>
    <x v="8"/>
    <x v="0"/>
    <n v="334812.71000000002"/>
    <x v="1"/>
    <x v="0"/>
  </r>
  <r>
    <x v="2025"/>
    <s v="Roberta Ward"/>
    <x v="51"/>
    <x v="0"/>
    <x v="4"/>
    <x v="1990"/>
    <x v="128"/>
    <x v="361"/>
    <x v="7"/>
    <x v="3"/>
    <n v="409928.09"/>
    <x v="0"/>
    <x v="6"/>
  </r>
  <r>
    <x v="2026"/>
    <s v="Andrew Taylor"/>
    <x v="16"/>
    <x v="1"/>
    <x v="6"/>
    <x v="1991"/>
    <x v="100"/>
    <x v="346"/>
    <x v="9"/>
    <x v="0"/>
    <n v="333515.71999999997"/>
    <x v="1"/>
    <x v="0"/>
  </r>
  <r>
    <x v="2027"/>
    <s v="Lori Ware MD"/>
    <x v="71"/>
    <x v="0"/>
    <x v="0"/>
    <x v="1992"/>
    <x v="22"/>
    <x v="238"/>
    <x v="5"/>
    <x v="3"/>
    <n v="352073.18"/>
    <x v="2"/>
    <x v="9"/>
  </r>
  <r>
    <x v="2028"/>
    <s v="Joshua West"/>
    <x v="5"/>
    <x v="0"/>
    <x v="3"/>
    <x v="1993"/>
    <x v="49"/>
    <x v="229"/>
    <x v="4"/>
    <x v="1"/>
    <n v="20356.97"/>
    <x v="1"/>
    <x v="10"/>
  </r>
  <r>
    <x v="2029"/>
    <s v="Crystal Scott"/>
    <x v="73"/>
    <x v="1"/>
    <x v="4"/>
    <x v="1994"/>
    <x v="63"/>
    <x v="258"/>
    <x v="5"/>
    <x v="5"/>
    <n v="440592.88"/>
    <x v="0"/>
    <x v="3"/>
  </r>
  <r>
    <x v="2030"/>
    <s v="Lawrence Rice"/>
    <x v="62"/>
    <x v="1"/>
    <x v="3"/>
    <x v="1995"/>
    <x v="257"/>
    <x v="278"/>
    <x v="9"/>
    <x v="3"/>
    <n v="115221.98"/>
    <x v="1"/>
    <x v="13"/>
  </r>
  <r>
    <x v="2031"/>
    <s v="Dana Gamble"/>
    <x v="1"/>
    <x v="0"/>
    <x v="2"/>
    <x v="1996"/>
    <x v="96"/>
    <x v="50"/>
    <x v="6"/>
    <x v="2"/>
    <n v="158076.06"/>
    <x v="0"/>
    <x v="8"/>
  </r>
  <r>
    <x v="2032"/>
    <s v="Jonathan Joyce"/>
    <x v="48"/>
    <x v="1"/>
    <x v="1"/>
    <x v="1997"/>
    <x v="337"/>
    <x v="257"/>
    <x v="4"/>
    <x v="4"/>
    <n v="219843.06"/>
    <x v="0"/>
    <x v="13"/>
  </r>
  <r>
    <x v="2033"/>
    <s v="Mark Garcia"/>
    <x v="4"/>
    <x v="0"/>
    <x v="3"/>
    <x v="844"/>
    <x v="124"/>
    <x v="258"/>
    <x v="1"/>
    <x v="3"/>
    <n v="33393.339999999997"/>
    <x v="0"/>
    <x v="2"/>
  </r>
  <r>
    <x v="2034"/>
    <s v="Sergio Hayden"/>
    <x v="57"/>
    <x v="1"/>
    <x v="0"/>
    <x v="1998"/>
    <x v="68"/>
    <x v="364"/>
    <x v="1"/>
    <x v="3"/>
    <n v="13936.52"/>
    <x v="2"/>
    <x v="9"/>
  </r>
  <r>
    <x v="2035"/>
    <s v="Jessica Stewart"/>
    <x v="40"/>
    <x v="0"/>
    <x v="6"/>
    <x v="1999"/>
    <x v="188"/>
    <x v="95"/>
    <x v="1"/>
    <x v="2"/>
    <n v="373064.37"/>
    <x v="1"/>
    <x v="6"/>
  </r>
  <r>
    <x v="2036"/>
    <s v="Krystal Smith"/>
    <x v="88"/>
    <x v="1"/>
    <x v="6"/>
    <x v="2000"/>
    <x v="307"/>
    <x v="296"/>
    <x v="1"/>
    <x v="3"/>
    <n v="209578.35"/>
    <x v="1"/>
    <x v="8"/>
  </r>
  <r>
    <x v="2037"/>
    <s v="Tina Rogers"/>
    <x v="61"/>
    <x v="0"/>
    <x v="2"/>
    <x v="2001"/>
    <x v="262"/>
    <x v="253"/>
    <x v="6"/>
    <x v="3"/>
    <n v="213548.16"/>
    <x v="2"/>
    <x v="3"/>
  </r>
  <r>
    <x v="2038"/>
    <s v="Destiny Murphy"/>
    <x v="25"/>
    <x v="1"/>
    <x v="4"/>
    <x v="2002"/>
    <x v="166"/>
    <x v="125"/>
    <x v="3"/>
    <x v="1"/>
    <n v="442714.28"/>
    <x v="2"/>
    <x v="4"/>
  </r>
  <r>
    <x v="2039"/>
    <s v="Ann Love"/>
    <x v="53"/>
    <x v="1"/>
    <x v="0"/>
    <x v="2003"/>
    <x v="254"/>
    <x v="298"/>
    <x v="7"/>
    <x v="3"/>
    <n v="156584.03"/>
    <x v="1"/>
    <x v="4"/>
  </r>
  <r>
    <x v="2040"/>
    <s v="Denise Lyons"/>
    <x v="78"/>
    <x v="0"/>
    <x v="1"/>
    <x v="2004"/>
    <x v="77"/>
    <x v="63"/>
    <x v="4"/>
    <x v="5"/>
    <n v="432839.7"/>
    <x v="2"/>
    <x v="13"/>
  </r>
  <r>
    <x v="2041"/>
    <s v="Levi Clay"/>
    <x v="50"/>
    <x v="0"/>
    <x v="4"/>
    <x v="2005"/>
    <x v="11"/>
    <x v="31"/>
    <x v="0"/>
    <x v="0"/>
    <n v="132954.35999999999"/>
    <x v="2"/>
    <x v="6"/>
  </r>
  <r>
    <x v="2042"/>
    <s v="Angela Fernandez"/>
    <x v="61"/>
    <x v="0"/>
    <x v="0"/>
    <x v="2006"/>
    <x v="201"/>
    <x v="276"/>
    <x v="8"/>
    <x v="3"/>
    <n v="33658.699999999997"/>
    <x v="2"/>
    <x v="9"/>
  </r>
  <r>
    <x v="2043"/>
    <s v="Manuel Jones"/>
    <x v="19"/>
    <x v="1"/>
    <x v="0"/>
    <x v="2007"/>
    <x v="122"/>
    <x v="300"/>
    <x v="1"/>
    <x v="0"/>
    <n v="26680.97"/>
    <x v="0"/>
    <x v="1"/>
  </r>
  <r>
    <x v="2044"/>
    <s v="Jeffrey Long"/>
    <x v="87"/>
    <x v="1"/>
    <x v="4"/>
    <x v="2008"/>
    <x v="12"/>
    <x v="12"/>
    <x v="3"/>
    <x v="2"/>
    <n v="236988.65"/>
    <x v="2"/>
    <x v="9"/>
  </r>
  <r>
    <x v="2045"/>
    <s v="Lisa Horne"/>
    <x v="28"/>
    <x v="0"/>
    <x v="6"/>
    <x v="2009"/>
    <x v="31"/>
    <x v="104"/>
    <x v="6"/>
    <x v="1"/>
    <n v="387059.19"/>
    <x v="1"/>
    <x v="13"/>
  </r>
  <r>
    <x v="2046"/>
    <s v="Tiffany Gray"/>
    <x v="83"/>
    <x v="1"/>
    <x v="4"/>
    <x v="2010"/>
    <x v="285"/>
    <x v="310"/>
    <x v="6"/>
    <x v="2"/>
    <n v="125369.09"/>
    <x v="1"/>
    <x v="7"/>
  </r>
  <r>
    <x v="2047"/>
    <s v="Randy Murray"/>
    <x v="13"/>
    <x v="0"/>
    <x v="2"/>
    <x v="2011"/>
    <x v="102"/>
    <x v="177"/>
    <x v="1"/>
    <x v="3"/>
    <n v="92509.6"/>
    <x v="0"/>
    <x v="1"/>
  </r>
  <r>
    <x v="2048"/>
    <s v="Justin Rios"/>
    <x v="28"/>
    <x v="0"/>
    <x v="2"/>
    <x v="2012"/>
    <x v="141"/>
    <x v="222"/>
    <x v="8"/>
    <x v="5"/>
    <n v="100295.11"/>
    <x v="1"/>
    <x v="8"/>
  </r>
  <r>
    <x v="2049"/>
    <s v="Mrs. Emily Moreno"/>
    <x v="69"/>
    <x v="0"/>
    <x v="5"/>
    <x v="2013"/>
    <x v="356"/>
    <x v="36"/>
    <x v="0"/>
    <x v="2"/>
    <n v="267018.93"/>
    <x v="1"/>
    <x v="7"/>
  </r>
  <r>
    <x v="2050"/>
    <s v="Felicia Graham"/>
    <x v="67"/>
    <x v="1"/>
    <x v="6"/>
    <x v="2014"/>
    <x v="345"/>
    <x v="295"/>
    <x v="4"/>
    <x v="0"/>
    <n v="429952.58"/>
    <x v="0"/>
    <x v="7"/>
  </r>
  <r>
    <x v="2051"/>
    <s v="Jason Rodriguez"/>
    <x v="45"/>
    <x v="1"/>
    <x v="1"/>
    <x v="2015"/>
    <x v="212"/>
    <x v="92"/>
    <x v="0"/>
    <x v="0"/>
    <n v="274207.24"/>
    <x v="0"/>
    <x v="5"/>
  </r>
  <r>
    <x v="2052"/>
    <s v="David Bean"/>
    <x v="10"/>
    <x v="1"/>
    <x v="4"/>
    <x v="2016"/>
    <x v="176"/>
    <x v="178"/>
    <x v="6"/>
    <x v="2"/>
    <n v="266759.61"/>
    <x v="1"/>
    <x v="5"/>
  </r>
  <r>
    <x v="2053"/>
    <s v="Brian Becker"/>
    <x v="15"/>
    <x v="1"/>
    <x v="3"/>
    <x v="2017"/>
    <x v="228"/>
    <x v="101"/>
    <x v="8"/>
    <x v="4"/>
    <n v="486304.59"/>
    <x v="0"/>
    <x v="5"/>
  </r>
  <r>
    <x v="2054"/>
    <s v="Andrew Leonard"/>
    <x v="46"/>
    <x v="1"/>
    <x v="2"/>
    <x v="2018"/>
    <x v="276"/>
    <x v="153"/>
    <x v="2"/>
    <x v="0"/>
    <n v="415070.76"/>
    <x v="1"/>
    <x v="5"/>
  </r>
  <r>
    <x v="2055"/>
    <s v="Jennifer Scott"/>
    <x v="12"/>
    <x v="1"/>
    <x v="1"/>
    <x v="2019"/>
    <x v="35"/>
    <x v="253"/>
    <x v="0"/>
    <x v="3"/>
    <n v="188952.95"/>
    <x v="1"/>
    <x v="11"/>
  </r>
  <r>
    <x v="2056"/>
    <s v="Tanner Taylor"/>
    <x v="64"/>
    <x v="0"/>
    <x v="1"/>
    <x v="2020"/>
    <x v="191"/>
    <x v="97"/>
    <x v="7"/>
    <x v="2"/>
    <n v="450451.15"/>
    <x v="1"/>
    <x v="11"/>
  </r>
  <r>
    <x v="2057"/>
    <s v="Joseph Calhoun"/>
    <x v="76"/>
    <x v="1"/>
    <x v="0"/>
    <x v="2021"/>
    <x v="212"/>
    <x v="185"/>
    <x v="2"/>
    <x v="3"/>
    <n v="198302.18"/>
    <x v="0"/>
    <x v="3"/>
  </r>
  <r>
    <x v="2058"/>
    <s v="Jessica Sullivan"/>
    <x v="56"/>
    <x v="0"/>
    <x v="0"/>
    <x v="2022"/>
    <x v="141"/>
    <x v="222"/>
    <x v="9"/>
    <x v="1"/>
    <n v="278035.51"/>
    <x v="1"/>
    <x v="8"/>
  </r>
  <r>
    <x v="2059"/>
    <s v="Adam Terrell"/>
    <x v="25"/>
    <x v="0"/>
    <x v="3"/>
    <x v="2023"/>
    <x v="76"/>
    <x v="80"/>
    <x v="9"/>
    <x v="3"/>
    <n v="472653.24"/>
    <x v="0"/>
    <x v="5"/>
  </r>
  <r>
    <x v="2060"/>
    <s v="Cindy Robbins"/>
    <x v="42"/>
    <x v="0"/>
    <x v="4"/>
    <x v="2024"/>
    <x v="236"/>
    <x v="30"/>
    <x v="2"/>
    <x v="3"/>
    <n v="63686.42"/>
    <x v="1"/>
    <x v="3"/>
  </r>
  <r>
    <x v="2061"/>
    <s v="Kevin Rodriguez"/>
    <x v="67"/>
    <x v="1"/>
    <x v="2"/>
    <x v="2025"/>
    <x v="72"/>
    <x v="344"/>
    <x v="9"/>
    <x v="0"/>
    <n v="58729.65"/>
    <x v="1"/>
    <x v="4"/>
  </r>
  <r>
    <x v="2062"/>
    <s v="Jennifer Sampson"/>
    <x v="12"/>
    <x v="0"/>
    <x v="0"/>
    <x v="2026"/>
    <x v="216"/>
    <x v="355"/>
    <x v="8"/>
    <x v="2"/>
    <n v="35215.35"/>
    <x v="0"/>
    <x v="12"/>
  </r>
  <r>
    <x v="2063"/>
    <s v="Sabrina Simmons"/>
    <x v="58"/>
    <x v="0"/>
    <x v="6"/>
    <x v="2027"/>
    <x v="180"/>
    <x v="114"/>
    <x v="9"/>
    <x v="1"/>
    <n v="368722.53"/>
    <x v="2"/>
    <x v="1"/>
  </r>
  <r>
    <x v="2064"/>
    <s v="Sherry Ruiz"/>
    <x v="55"/>
    <x v="1"/>
    <x v="2"/>
    <x v="2028"/>
    <x v="255"/>
    <x v="30"/>
    <x v="8"/>
    <x v="5"/>
    <n v="187303.85"/>
    <x v="0"/>
    <x v="4"/>
  </r>
  <r>
    <x v="2065"/>
    <s v="Jacob Bell"/>
    <x v="74"/>
    <x v="0"/>
    <x v="0"/>
    <x v="84"/>
    <x v="5"/>
    <x v="247"/>
    <x v="9"/>
    <x v="1"/>
    <n v="130170.98"/>
    <x v="0"/>
    <x v="4"/>
  </r>
  <r>
    <x v="2066"/>
    <s v="Joshua Gates"/>
    <x v="29"/>
    <x v="0"/>
    <x v="2"/>
    <x v="2029"/>
    <x v="271"/>
    <x v="100"/>
    <x v="2"/>
    <x v="2"/>
    <n v="412122.74"/>
    <x v="2"/>
    <x v="7"/>
  </r>
  <r>
    <x v="2067"/>
    <s v="Anna Oneal"/>
    <x v="43"/>
    <x v="0"/>
    <x v="1"/>
    <x v="2030"/>
    <x v="199"/>
    <x v="236"/>
    <x v="6"/>
    <x v="5"/>
    <n v="414565.52"/>
    <x v="1"/>
    <x v="11"/>
  </r>
  <r>
    <x v="2068"/>
    <s v="Harry Bell"/>
    <x v="50"/>
    <x v="0"/>
    <x v="0"/>
    <x v="2031"/>
    <x v="345"/>
    <x v="324"/>
    <x v="1"/>
    <x v="5"/>
    <n v="312391.43"/>
    <x v="1"/>
    <x v="4"/>
  </r>
  <r>
    <x v="2069"/>
    <s v="James Adams"/>
    <x v="43"/>
    <x v="0"/>
    <x v="6"/>
    <x v="2032"/>
    <x v="156"/>
    <x v="27"/>
    <x v="5"/>
    <x v="4"/>
    <n v="300440.61"/>
    <x v="2"/>
    <x v="0"/>
  </r>
  <r>
    <x v="2070"/>
    <s v="Rebecca Valdez"/>
    <x v="37"/>
    <x v="1"/>
    <x v="1"/>
    <x v="2033"/>
    <x v="195"/>
    <x v="143"/>
    <x v="3"/>
    <x v="4"/>
    <n v="358332"/>
    <x v="0"/>
    <x v="1"/>
  </r>
  <r>
    <x v="2071"/>
    <s v="Richard Mitchell"/>
    <x v="74"/>
    <x v="0"/>
    <x v="5"/>
    <x v="2034"/>
    <x v="23"/>
    <x v="288"/>
    <x v="8"/>
    <x v="5"/>
    <n v="451038.07"/>
    <x v="0"/>
    <x v="0"/>
  </r>
  <r>
    <x v="2072"/>
    <s v="Theresa Simmons"/>
    <x v="59"/>
    <x v="1"/>
    <x v="3"/>
    <x v="2035"/>
    <x v="280"/>
    <x v="123"/>
    <x v="2"/>
    <x v="1"/>
    <n v="448455.49"/>
    <x v="2"/>
    <x v="9"/>
  </r>
  <r>
    <x v="2073"/>
    <s v="Lori Guerra"/>
    <x v="20"/>
    <x v="1"/>
    <x v="6"/>
    <x v="2036"/>
    <x v="170"/>
    <x v="213"/>
    <x v="9"/>
    <x v="0"/>
    <n v="442935.79"/>
    <x v="0"/>
    <x v="8"/>
  </r>
  <r>
    <x v="2074"/>
    <s v="Madison Gutierrez"/>
    <x v="25"/>
    <x v="1"/>
    <x v="4"/>
    <x v="2037"/>
    <x v="10"/>
    <x v="211"/>
    <x v="2"/>
    <x v="5"/>
    <n v="363195.86"/>
    <x v="2"/>
    <x v="2"/>
  </r>
  <r>
    <x v="2075"/>
    <s v="Stacey Harris"/>
    <x v="28"/>
    <x v="1"/>
    <x v="3"/>
    <x v="2038"/>
    <x v="57"/>
    <x v="183"/>
    <x v="1"/>
    <x v="3"/>
    <n v="421532.53"/>
    <x v="2"/>
    <x v="14"/>
  </r>
  <r>
    <x v="2076"/>
    <s v="Amber Rodriguez"/>
    <x v="17"/>
    <x v="1"/>
    <x v="0"/>
    <x v="2039"/>
    <x v="286"/>
    <x v="170"/>
    <x v="3"/>
    <x v="4"/>
    <n v="187355.76"/>
    <x v="0"/>
    <x v="14"/>
  </r>
  <r>
    <x v="2077"/>
    <s v="Gary Coleman"/>
    <x v="23"/>
    <x v="1"/>
    <x v="4"/>
    <x v="2040"/>
    <x v="53"/>
    <x v="113"/>
    <x v="2"/>
    <x v="2"/>
    <n v="33842.699999999997"/>
    <x v="1"/>
    <x v="5"/>
  </r>
  <r>
    <x v="2078"/>
    <s v="Jennifer Robinson"/>
    <x v="8"/>
    <x v="1"/>
    <x v="1"/>
    <x v="2041"/>
    <x v="363"/>
    <x v="10"/>
    <x v="3"/>
    <x v="5"/>
    <n v="419229.08"/>
    <x v="1"/>
    <x v="9"/>
  </r>
  <r>
    <x v="2079"/>
    <s v="Kristy Wilson"/>
    <x v="31"/>
    <x v="0"/>
    <x v="0"/>
    <x v="2042"/>
    <x v="114"/>
    <x v="188"/>
    <x v="3"/>
    <x v="5"/>
    <n v="408236.35"/>
    <x v="0"/>
    <x v="9"/>
  </r>
  <r>
    <x v="2080"/>
    <s v="Morgan Moore"/>
    <x v="60"/>
    <x v="0"/>
    <x v="0"/>
    <x v="2043"/>
    <x v="18"/>
    <x v="322"/>
    <x v="6"/>
    <x v="4"/>
    <n v="299767.03999999998"/>
    <x v="0"/>
    <x v="7"/>
  </r>
  <r>
    <x v="2081"/>
    <s v="Alyssa Palmer"/>
    <x v="78"/>
    <x v="0"/>
    <x v="0"/>
    <x v="2044"/>
    <x v="8"/>
    <x v="111"/>
    <x v="1"/>
    <x v="2"/>
    <n v="337333.7"/>
    <x v="2"/>
    <x v="13"/>
  </r>
  <r>
    <x v="2082"/>
    <s v="Dennis Barker"/>
    <x v="79"/>
    <x v="1"/>
    <x v="6"/>
    <x v="2045"/>
    <x v="363"/>
    <x v="345"/>
    <x v="2"/>
    <x v="5"/>
    <n v="209109.94"/>
    <x v="2"/>
    <x v="14"/>
  </r>
  <r>
    <x v="2083"/>
    <s v="Brianna Burke"/>
    <x v="79"/>
    <x v="1"/>
    <x v="5"/>
    <x v="2046"/>
    <x v="55"/>
    <x v="362"/>
    <x v="0"/>
    <x v="1"/>
    <n v="63541.16"/>
    <x v="1"/>
    <x v="5"/>
  </r>
  <r>
    <x v="2084"/>
    <s v="Jonathan Melendez"/>
    <x v="10"/>
    <x v="1"/>
    <x v="1"/>
    <x v="2047"/>
    <x v="223"/>
    <x v="204"/>
    <x v="1"/>
    <x v="3"/>
    <n v="485873.64"/>
    <x v="0"/>
    <x v="0"/>
  </r>
  <r>
    <x v="2085"/>
    <s v="Carol Jones"/>
    <x v="11"/>
    <x v="1"/>
    <x v="3"/>
    <x v="2048"/>
    <x v="310"/>
    <x v="82"/>
    <x v="8"/>
    <x v="5"/>
    <n v="438899.20000000001"/>
    <x v="1"/>
    <x v="6"/>
  </r>
  <r>
    <x v="2086"/>
    <s v="Jonathan Graham"/>
    <x v="74"/>
    <x v="0"/>
    <x v="4"/>
    <x v="2049"/>
    <x v="174"/>
    <x v="200"/>
    <x v="7"/>
    <x v="1"/>
    <n v="47402.43"/>
    <x v="1"/>
    <x v="6"/>
  </r>
  <r>
    <x v="2087"/>
    <s v="Donna Ball"/>
    <x v="53"/>
    <x v="0"/>
    <x v="4"/>
    <x v="2050"/>
    <x v="342"/>
    <x v="12"/>
    <x v="6"/>
    <x v="4"/>
    <n v="454023.11"/>
    <x v="1"/>
    <x v="3"/>
  </r>
  <r>
    <x v="2088"/>
    <s v="Brian Johns"/>
    <x v="33"/>
    <x v="1"/>
    <x v="4"/>
    <x v="2051"/>
    <x v="214"/>
    <x v="239"/>
    <x v="6"/>
    <x v="3"/>
    <n v="356295.23"/>
    <x v="1"/>
    <x v="9"/>
  </r>
  <r>
    <x v="2089"/>
    <s v="Victoria Clarke"/>
    <x v="42"/>
    <x v="0"/>
    <x v="6"/>
    <x v="2052"/>
    <x v="313"/>
    <x v="52"/>
    <x v="8"/>
    <x v="3"/>
    <n v="37249.870000000003"/>
    <x v="1"/>
    <x v="4"/>
  </r>
  <r>
    <x v="2090"/>
    <s v="Sandra Anderson"/>
    <x v="51"/>
    <x v="0"/>
    <x v="4"/>
    <x v="2053"/>
    <x v="30"/>
    <x v="19"/>
    <x v="2"/>
    <x v="2"/>
    <n v="72861.36"/>
    <x v="1"/>
    <x v="3"/>
  </r>
  <r>
    <x v="2091"/>
    <s v="Christopher Stone"/>
    <x v="64"/>
    <x v="1"/>
    <x v="1"/>
    <x v="2054"/>
    <x v="63"/>
    <x v="267"/>
    <x v="2"/>
    <x v="0"/>
    <n v="264511.52"/>
    <x v="1"/>
    <x v="14"/>
  </r>
  <r>
    <x v="2092"/>
    <s v="Elizabeth Melendez"/>
    <x v="37"/>
    <x v="1"/>
    <x v="6"/>
    <x v="2055"/>
    <x v="94"/>
    <x v="105"/>
    <x v="3"/>
    <x v="2"/>
    <n v="163346.59"/>
    <x v="2"/>
    <x v="7"/>
  </r>
  <r>
    <x v="2093"/>
    <s v="William Kaiser"/>
    <x v="14"/>
    <x v="1"/>
    <x v="3"/>
    <x v="2056"/>
    <x v="359"/>
    <x v="7"/>
    <x v="0"/>
    <x v="2"/>
    <n v="430260.49"/>
    <x v="1"/>
    <x v="6"/>
  </r>
  <r>
    <x v="2094"/>
    <s v="Lindsey Smith"/>
    <x v="56"/>
    <x v="0"/>
    <x v="5"/>
    <x v="2057"/>
    <x v="52"/>
    <x v="345"/>
    <x v="2"/>
    <x v="2"/>
    <n v="95039.41"/>
    <x v="1"/>
    <x v="4"/>
  </r>
  <r>
    <x v="2095"/>
    <s v="Deborah Chambers"/>
    <x v="65"/>
    <x v="0"/>
    <x v="3"/>
    <x v="2058"/>
    <x v="185"/>
    <x v="304"/>
    <x v="9"/>
    <x v="1"/>
    <n v="166037.74"/>
    <x v="2"/>
    <x v="4"/>
  </r>
  <r>
    <x v="2096"/>
    <s v="Alexandra Schmidt"/>
    <x v="87"/>
    <x v="0"/>
    <x v="6"/>
    <x v="2059"/>
    <x v="185"/>
    <x v="131"/>
    <x v="1"/>
    <x v="5"/>
    <n v="336821.52"/>
    <x v="2"/>
    <x v="0"/>
  </r>
  <r>
    <x v="2097"/>
    <s v="Taylor Wilson"/>
    <x v="23"/>
    <x v="1"/>
    <x v="2"/>
    <x v="2060"/>
    <x v="230"/>
    <x v="12"/>
    <x v="4"/>
    <x v="0"/>
    <n v="282354.67"/>
    <x v="0"/>
    <x v="12"/>
  </r>
  <r>
    <x v="2098"/>
    <s v="Javier Carter"/>
    <x v="43"/>
    <x v="0"/>
    <x v="6"/>
    <x v="2061"/>
    <x v="38"/>
    <x v="58"/>
    <x v="6"/>
    <x v="2"/>
    <n v="462263.47"/>
    <x v="2"/>
    <x v="7"/>
  </r>
  <r>
    <x v="2099"/>
    <s v="April Oneal MD"/>
    <x v="29"/>
    <x v="0"/>
    <x v="5"/>
    <x v="2062"/>
    <x v="121"/>
    <x v="214"/>
    <x v="0"/>
    <x v="1"/>
    <n v="221382.14"/>
    <x v="2"/>
    <x v="3"/>
  </r>
  <r>
    <x v="2100"/>
    <s v="Cory Lawson"/>
    <x v="50"/>
    <x v="1"/>
    <x v="4"/>
    <x v="2063"/>
    <x v="178"/>
    <x v="205"/>
    <x v="5"/>
    <x v="4"/>
    <n v="235916.67"/>
    <x v="1"/>
    <x v="1"/>
  </r>
  <r>
    <x v="2101"/>
    <s v="Brandon Ross"/>
    <x v="12"/>
    <x v="1"/>
    <x v="3"/>
    <x v="2064"/>
    <x v="26"/>
    <x v="28"/>
    <x v="3"/>
    <x v="1"/>
    <n v="307651.78999999998"/>
    <x v="0"/>
    <x v="14"/>
  </r>
  <r>
    <x v="2102"/>
    <s v="Julia Lowery"/>
    <x v="40"/>
    <x v="1"/>
    <x v="2"/>
    <x v="2065"/>
    <x v="231"/>
    <x v="279"/>
    <x v="3"/>
    <x v="0"/>
    <n v="389761.82"/>
    <x v="2"/>
    <x v="10"/>
  </r>
  <r>
    <x v="2103"/>
    <s v="Kristi Freeman"/>
    <x v="77"/>
    <x v="1"/>
    <x v="5"/>
    <x v="2066"/>
    <x v="24"/>
    <x v="374"/>
    <x v="0"/>
    <x v="2"/>
    <n v="452663.48"/>
    <x v="1"/>
    <x v="4"/>
  </r>
  <r>
    <x v="2104"/>
    <s v="Gene Rose"/>
    <x v="59"/>
    <x v="1"/>
    <x v="4"/>
    <x v="2067"/>
    <x v="264"/>
    <x v="97"/>
    <x v="3"/>
    <x v="1"/>
    <n v="327611.34000000003"/>
    <x v="0"/>
    <x v="9"/>
  </r>
  <r>
    <x v="2105"/>
    <s v="Bernard Wilkerson"/>
    <x v="60"/>
    <x v="0"/>
    <x v="4"/>
    <x v="2068"/>
    <x v="314"/>
    <x v="202"/>
    <x v="1"/>
    <x v="1"/>
    <n v="170638.17"/>
    <x v="0"/>
    <x v="3"/>
  </r>
  <r>
    <x v="2106"/>
    <s v="Jennifer Cruz"/>
    <x v="69"/>
    <x v="1"/>
    <x v="6"/>
    <x v="2069"/>
    <x v="11"/>
    <x v="178"/>
    <x v="3"/>
    <x v="2"/>
    <n v="443351.01"/>
    <x v="1"/>
    <x v="13"/>
  </r>
  <r>
    <x v="2107"/>
    <s v="Jimmy Bishop"/>
    <x v="78"/>
    <x v="1"/>
    <x v="3"/>
    <x v="2070"/>
    <x v="133"/>
    <x v="236"/>
    <x v="5"/>
    <x v="1"/>
    <n v="224433.81"/>
    <x v="0"/>
    <x v="14"/>
  </r>
  <r>
    <x v="2108"/>
    <s v="Craig Gordon"/>
    <x v="65"/>
    <x v="1"/>
    <x v="1"/>
    <x v="2071"/>
    <x v="183"/>
    <x v="120"/>
    <x v="6"/>
    <x v="2"/>
    <n v="365423.08"/>
    <x v="1"/>
    <x v="9"/>
  </r>
  <r>
    <x v="2109"/>
    <s v="Robert Mcdonald"/>
    <x v="83"/>
    <x v="0"/>
    <x v="4"/>
    <x v="2072"/>
    <x v="244"/>
    <x v="325"/>
    <x v="9"/>
    <x v="5"/>
    <n v="39574.42"/>
    <x v="1"/>
    <x v="11"/>
  </r>
  <r>
    <x v="2110"/>
    <s v="Lori Johnson"/>
    <x v="67"/>
    <x v="0"/>
    <x v="3"/>
    <x v="2073"/>
    <x v="109"/>
    <x v="240"/>
    <x v="3"/>
    <x v="5"/>
    <n v="416036.25"/>
    <x v="1"/>
    <x v="1"/>
  </r>
  <r>
    <x v="2111"/>
    <s v="Mr. William Travis"/>
    <x v="35"/>
    <x v="0"/>
    <x v="6"/>
    <x v="2074"/>
    <x v="212"/>
    <x v="350"/>
    <x v="7"/>
    <x v="4"/>
    <n v="224148.13"/>
    <x v="1"/>
    <x v="10"/>
  </r>
  <r>
    <x v="2112"/>
    <s v="Curtis Mendez"/>
    <x v="47"/>
    <x v="1"/>
    <x v="6"/>
    <x v="2075"/>
    <x v="230"/>
    <x v="80"/>
    <x v="6"/>
    <x v="3"/>
    <n v="98361.23"/>
    <x v="0"/>
    <x v="11"/>
  </r>
  <r>
    <x v="2113"/>
    <s v="Lisa Lewis"/>
    <x v="31"/>
    <x v="1"/>
    <x v="5"/>
    <x v="2076"/>
    <x v="173"/>
    <x v="89"/>
    <x v="3"/>
    <x v="2"/>
    <n v="235878.2"/>
    <x v="0"/>
    <x v="13"/>
  </r>
  <r>
    <x v="2114"/>
    <s v="Mark Flores"/>
    <x v="16"/>
    <x v="1"/>
    <x v="2"/>
    <x v="2077"/>
    <x v="317"/>
    <x v="336"/>
    <x v="4"/>
    <x v="3"/>
    <n v="102607.85"/>
    <x v="2"/>
    <x v="8"/>
  </r>
  <r>
    <x v="2115"/>
    <s v="William Shaffer"/>
    <x v="76"/>
    <x v="0"/>
    <x v="0"/>
    <x v="2078"/>
    <x v="106"/>
    <x v="114"/>
    <x v="7"/>
    <x v="5"/>
    <n v="335103.34999999998"/>
    <x v="1"/>
    <x v="13"/>
  </r>
  <r>
    <x v="2116"/>
    <s v="James Jordan"/>
    <x v="83"/>
    <x v="1"/>
    <x v="3"/>
    <x v="2079"/>
    <x v="43"/>
    <x v="53"/>
    <x v="4"/>
    <x v="1"/>
    <n v="483975.62"/>
    <x v="1"/>
    <x v="0"/>
  </r>
  <r>
    <x v="2117"/>
    <s v="Kristen Scott"/>
    <x v="10"/>
    <x v="1"/>
    <x v="1"/>
    <x v="2080"/>
    <x v="341"/>
    <x v="340"/>
    <x v="5"/>
    <x v="3"/>
    <n v="144649.38"/>
    <x v="2"/>
    <x v="8"/>
  </r>
  <r>
    <x v="2118"/>
    <s v="Lisa Williams"/>
    <x v="38"/>
    <x v="1"/>
    <x v="2"/>
    <x v="2081"/>
    <x v="6"/>
    <x v="91"/>
    <x v="6"/>
    <x v="3"/>
    <n v="489028.78"/>
    <x v="1"/>
    <x v="12"/>
  </r>
  <r>
    <x v="2119"/>
    <s v="James Porter"/>
    <x v="47"/>
    <x v="1"/>
    <x v="5"/>
    <x v="2082"/>
    <x v="243"/>
    <x v="96"/>
    <x v="8"/>
    <x v="4"/>
    <n v="377802.89"/>
    <x v="2"/>
    <x v="7"/>
  </r>
  <r>
    <x v="2120"/>
    <s v="Shelly Martin"/>
    <x v="36"/>
    <x v="1"/>
    <x v="3"/>
    <x v="2083"/>
    <x v="327"/>
    <x v="375"/>
    <x v="0"/>
    <x v="1"/>
    <n v="80139.679999999993"/>
    <x v="2"/>
    <x v="10"/>
  </r>
  <r>
    <x v="2121"/>
    <s v="Louis Brown"/>
    <x v="0"/>
    <x v="1"/>
    <x v="0"/>
    <x v="2084"/>
    <x v="106"/>
    <x v="78"/>
    <x v="4"/>
    <x v="5"/>
    <n v="463342.12"/>
    <x v="1"/>
    <x v="7"/>
  </r>
  <r>
    <x v="2122"/>
    <s v="Ricky Freeman"/>
    <x v="53"/>
    <x v="1"/>
    <x v="4"/>
    <x v="2085"/>
    <x v="247"/>
    <x v="163"/>
    <x v="0"/>
    <x v="1"/>
    <n v="219822.72"/>
    <x v="0"/>
    <x v="5"/>
  </r>
  <r>
    <x v="2123"/>
    <s v="Katrina Anderson"/>
    <x v="55"/>
    <x v="1"/>
    <x v="0"/>
    <x v="2086"/>
    <x v="95"/>
    <x v="98"/>
    <x v="4"/>
    <x v="1"/>
    <n v="13382.33"/>
    <x v="0"/>
    <x v="1"/>
  </r>
  <r>
    <x v="2124"/>
    <s v="Laura Washington"/>
    <x v="64"/>
    <x v="0"/>
    <x v="2"/>
    <x v="2087"/>
    <x v="24"/>
    <x v="374"/>
    <x v="1"/>
    <x v="2"/>
    <n v="15286.69"/>
    <x v="0"/>
    <x v="4"/>
  </r>
  <r>
    <x v="2125"/>
    <s v="Carlos Cooper"/>
    <x v="81"/>
    <x v="1"/>
    <x v="2"/>
    <x v="2088"/>
    <x v="193"/>
    <x v="194"/>
    <x v="1"/>
    <x v="1"/>
    <n v="333528.40999999997"/>
    <x v="1"/>
    <x v="5"/>
  </r>
  <r>
    <x v="2126"/>
    <s v="Chelsea Scott"/>
    <x v="11"/>
    <x v="0"/>
    <x v="0"/>
    <x v="2089"/>
    <x v="148"/>
    <x v="338"/>
    <x v="6"/>
    <x v="2"/>
    <n v="103485.26"/>
    <x v="0"/>
    <x v="3"/>
  </r>
  <r>
    <x v="2127"/>
    <s v="Amber Lin"/>
    <x v="14"/>
    <x v="0"/>
    <x v="1"/>
    <x v="2090"/>
    <x v="160"/>
    <x v="164"/>
    <x v="5"/>
    <x v="5"/>
    <n v="428982.91"/>
    <x v="1"/>
    <x v="5"/>
  </r>
  <r>
    <x v="2128"/>
    <s v="Nichole Sanchez"/>
    <x v="88"/>
    <x v="1"/>
    <x v="5"/>
    <x v="2091"/>
    <x v="339"/>
    <x v="120"/>
    <x v="2"/>
    <x v="3"/>
    <n v="290202.59999999998"/>
    <x v="2"/>
    <x v="3"/>
  </r>
  <r>
    <x v="2129"/>
    <s v="James Petersen"/>
    <x v="4"/>
    <x v="1"/>
    <x v="5"/>
    <x v="2092"/>
    <x v="364"/>
    <x v="75"/>
    <x v="1"/>
    <x v="1"/>
    <n v="110310.65"/>
    <x v="1"/>
    <x v="2"/>
  </r>
  <r>
    <x v="2130"/>
    <s v="Heather Conley"/>
    <x v="88"/>
    <x v="0"/>
    <x v="0"/>
    <x v="2093"/>
    <x v="295"/>
    <x v="310"/>
    <x v="9"/>
    <x v="0"/>
    <n v="236345.76"/>
    <x v="0"/>
    <x v="13"/>
  </r>
  <r>
    <x v="2131"/>
    <s v="Michelle Oneal"/>
    <x v="42"/>
    <x v="0"/>
    <x v="4"/>
    <x v="2094"/>
    <x v="30"/>
    <x v="376"/>
    <x v="4"/>
    <x v="4"/>
    <n v="279896.23"/>
    <x v="2"/>
    <x v="1"/>
  </r>
  <r>
    <x v="2132"/>
    <s v="Lonnie Medina"/>
    <x v="40"/>
    <x v="0"/>
    <x v="3"/>
    <x v="2095"/>
    <x v="57"/>
    <x v="325"/>
    <x v="2"/>
    <x v="1"/>
    <n v="158101.48000000001"/>
    <x v="1"/>
    <x v="7"/>
  </r>
  <r>
    <x v="2133"/>
    <s v="Wendy Fox"/>
    <x v="76"/>
    <x v="1"/>
    <x v="1"/>
    <x v="2096"/>
    <x v="55"/>
    <x v="365"/>
    <x v="4"/>
    <x v="0"/>
    <n v="359207.5"/>
    <x v="1"/>
    <x v="0"/>
  </r>
  <r>
    <x v="2134"/>
    <s v="Carl Goodwin"/>
    <x v="1"/>
    <x v="0"/>
    <x v="0"/>
    <x v="2097"/>
    <x v="283"/>
    <x v="330"/>
    <x v="8"/>
    <x v="1"/>
    <n v="280930.15000000002"/>
    <x v="0"/>
    <x v="4"/>
  </r>
  <r>
    <x v="2135"/>
    <s v="Albert Martin"/>
    <x v="60"/>
    <x v="0"/>
    <x v="1"/>
    <x v="2098"/>
    <x v="365"/>
    <x v="360"/>
    <x v="8"/>
    <x v="0"/>
    <n v="30497.200000000001"/>
    <x v="0"/>
    <x v="3"/>
  </r>
  <r>
    <x v="2136"/>
    <s v="James Curtis"/>
    <x v="36"/>
    <x v="1"/>
    <x v="4"/>
    <x v="2099"/>
    <x v="217"/>
    <x v="166"/>
    <x v="0"/>
    <x v="5"/>
    <n v="492099.99"/>
    <x v="0"/>
    <x v="9"/>
  </r>
  <r>
    <x v="2137"/>
    <s v="George Pennington"/>
    <x v="79"/>
    <x v="0"/>
    <x v="6"/>
    <x v="2100"/>
    <x v="142"/>
    <x v="139"/>
    <x v="8"/>
    <x v="5"/>
    <n v="130499.04"/>
    <x v="1"/>
    <x v="2"/>
  </r>
  <r>
    <x v="2138"/>
    <s v="Phillip Evans"/>
    <x v="30"/>
    <x v="0"/>
    <x v="0"/>
    <x v="2101"/>
    <x v="20"/>
    <x v="341"/>
    <x v="3"/>
    <x v="2"/>
    <n v="123704.46"/>
    <x v="2"/>
    <x v="11"/>
  </r>
  <r>
    <x v="2139"/>
    <s v="Nicole Fletcher"/>
    <x v="40"/>
    <x v="0"/>
    <x v="0"/>
    <x v="2102"/>
    <x v="315"/>
    <x v="125"/>
    <x v="2"/>
    <x v="1"/>
    <n v="363868.6"/>
    <x v="1"/>
    <x v="5"/>
  </r>
  <r>
    <x v="2140"/>
    <s v="Charles Adams"/>
    <x v="17"/>
    <x v="0"/>
    <x v="3"/>
    <x v="2103"/>
    <x v="159"/>
    <x v="329"/>
    <x v="0"/>
    <x v="5"/>
    <n v="102661.77"/>
    <x v="2"/>
    <x v="5"/>
  </r>
  <r>
    <x v="2141"/>
    <s v="Charles Lawson"/>
    <x v="1"/>
    <x v="0"/>
    <x v="6"/>
    <x v="2104"/>
    <x v="277"/>
    <x v="25"/>
    <x v="2"/>
    <x v="2"/>
    <n v="348643.02"/>
    <x v="0"/>
    <x v="7"/>
  </r>
  <r>
    <x v="2142"/>
    <s v="Richard Brown"/>
    <x v="18"/>
    <x v="1"/>
    <x v="1"/>
    <x v="2105"/>
    <x v="209"/>
    <x v="187"/>
    <x v="0"/>
    <x v="0"/>
    <n v="289633.81"/>
    <x v="1"/>
    <x v="12"/>
  </r>
  <r>
    <x v="2143"/>
    <s v="Tanya Arnold"/>
    <x v="46"/>
    <x v="0"/>
    <x v="6"/>
    <x v="2106"/>
    <x v="316"/>
    <x v="18"/>
    <x v="3"/>
    <x v="1"/>
    <n v="158753.20000000001"/>
    <x v="2"/>
    <x v="6"/>
  </r>
  <r>
    <x v="2144"/>
    <s v="Joshua Obrien"/>
    <x v="5"/>
    <x v="1"/>
    <x v="0"/>
    <x v="2107"/>
    <x v="127"/>
    <x v="114"/>
    <x v="6"/>
    <x v="5"/>
    <n v="96691.71"/>
    <x v="0"/>
    <x v="4"/>
  </r>
  <r>
    <x v="2145"/>
    <s v="Kristine Briggs"/>
    <x v="40"/>
    <x v="1"/>
    <x v="0"/>
    <x v="2108"/>
    <x v="99"/>
    <x v="305"/>
    <x v="9"/>
    <x v="0"/>
    <n v="27031.62"/>
    <x v="2"/>
    <x v="4"/>
  </r>
  <r>
    <x v="2146"/>
    <s v="Michelle Turner"/>
    <x v="19"/>
    <x v="0"/>
    <x v="6"/>
    <x v="2109"/>
    <x v="199"/>
    <x v="132"/>
    <x v="2"/>
    <x v="4"/>
    <n v="236085.77"/>
    <x v="2"/>
    <x v="10"/>
  </r>
  <r>
    <x v="2147"/>
    <s v="Russell Jones"/>
    <x v="33"/>
    <x v="0"/>
    <x v="1"/>
    <x v="2110"/>
    <x v="249"/>
    <x v="236"/>
    <x v="8"/>
    <x v="0"/>
    <n v="50568.6"/>
    <x v="0"/>
    <x v="2"/>
  </r>
  <r>
    <x v="2148"/>
    <s v="Keith Sullivan"/>
    <x v="23"/>
    <x v="1"/>
    <x v="4"/>
    <x v="2111"/>
    <x v="99"/>
    <x v="264"/>
    <x v="6"/>
    <x v="1"/>
    <n v="104539.87"/>
    <x v="2"/>
    <x v="2"/>
  </r>
  <r>
    <x v="2149"/>
    <s v="Cynthia Morales"/>
    <x v="29"/>
    <x v="0"/>
    <x v="3"/>
    <x v="2112"/>
    <x v="206"/>
    <x v="40"/>
    <x v="5"/>
    <x v="4"/>
    <n v="121128.97"/>
    <x v="1"/>
    <x v="1"/>
  </r>
  <r>
    <x v="2150"/>
    <s v="James Donovan"/>
    <x v="82"/>
    <x v="0"/>
    <x v="2"/>
    <x v="2113"/>
    <x v="201"/>
    <x v="199"/>
    <x v="1"/>
    <x v="3"/>
    <n v="66327.710000000006"/>
    <x v="0"/>
    <x v="11"/>
  </r>
  <r>
    <x v="2151"/>
    <s v="Sandra Rodriguez DDS"/>
    <x v="79"/>
    <x v="1"/>
    <x v="2"/>
    <x v="2114"/>
    <x v="141"/>
    <x v="284"/>
    <x v="1"/>
    <x v="5"/>
    <n v="165755.74"/>
    <x v="2"/>
    <x v="13"/>
  </r>
  <r>
    <x v="2152"/>
    <s v="Jay Arnold"/>
    <x v="80"/>
    <x v="0"/>
    <x v="6"/>
    <x v="2115"/>
    <x v="211"/>
    <x v="148"/>
    <x v="5"/>
    <x v="0"/>
    <n v="473114.42"/>
    <x v="2"/>
    <x v="2"/>
  </r>
  <r>
    <x v="2153"/>
    <s v="Dylan Evans"/>
    <x v="30"/>
    <x v="1"/>
    <x v="0"/>
    <x v="2116"/>
    <x v="145"/>
    <x v="14"/>
    <x v="9"/>
    <x v="1"/>
    <n v="109469.63"/>
    <x v="2"/>
    <x v="8"/>
  </r>
  <r>
    <x v="2154"/>
    <s v="Scott Price"/>
    <x v="25"/>
    <x v="1"/>
    <x v="2"/>
    <x v="2117"/>
    <x v="185"/>
    <x v="327"/>
    <x v="2"/>
    <x v="4"/>
    <n v="363078.23"/>
    <x v="0"/>
    <x v="2"/>
  </r>
  <r>
    <x v="2155"/>
    <s v="Jessica Clark"/>
    <x v="15"/>
    <x v="1"/>
    <x v="5"/>
    <x v="2118"/>
    <x v="239"/>
    <x v="262"/>
    <x v="9"/>
    <x v="5"/>
    <n v="434163.51"/>
    <x v="0"/>
    <x v="14"/>
  </r>
  <r>
    <x v="2156"/>
    <s v="Joel Brown"/>
    <x v="50"/>
    <x v="1"/>
    <x v="0"/>
    <x v="2119"/>
    <x v="318"/>
    <x v="198"/>
    <x v="7"/>
    <x v="3"/>
    <n v="85768.04"/>
    <x v="1"/>
    <x v="3"/>
  </r>
  <r>
    <x v="2157"/>
    <s v="Kellie Harris"/>
    <x v="84"/>
    <x v="0"/>
    <x v="2"/>
    <x v="2120"/>
    <x v="234"/>
    <x v="230"/>
    <x v="0"/>
    <x v="1"/>
    <n v="192713.91"/>
    <x v="2"/>
    <x v="13"/>
  </r>
  <r>
    <x v="2158"/>
    <s v="Cheryl Nguyen"/>
    <x v="11"/>
    <x v="1"/>
    <x v="6"/>
    <x v="2121"/>
    <x v="38"/>
    <x v="341"/>
    <x v="9"/>
    <x v="3"/>
    <n v="267599.40999999997"/>
    <x v="2"/>
    <x v="12"/>
  </r>
  <r>
    <x v="2159"/>
    <s v="Kimberly Thompson"/>
    <x v="68"/>
    <x v="1"/>
    <x v="0"/>
    <x v="2122"/>
    <x v="44"/>
    <x v="182"/>
    <x v="4"/>
    <x v="0"/>
    <n v="315485.46000000002"/>
    <x v="1"/>
    <x v="5"/>
  </r>
  <r>
    <x v="2160"/>
    <s v="John Myers"/>
    <x v="53"/>
    <x v="1"/>
    <x v="6"/>
    <x v="2123"/>
    <x v="52"/>
    <x v="129"/>
    <x v="2"/>
    <x v="3"/>
    <n v="142833.04999999999"/>
    <x v="1"/>
    <x v="8"/>
  </r>
  <r>
    <x v="2161"/>
    <s v="Deanna Campbell"/>
    <x v="80"/>
    <x v="1"/>
    <x v="4"/>
    <x v="2124"/>
    <x v="70"/>
    <x v="360"/>
    <x v="1"/>
    <x v="5"/>
    <n v="481821.93"/>
    <x v="2"/>
    <x v="1"/>
  </r>
  <r>
    <x v="2162"/>
    <s v="Dr. Kathleen Schneider DDS"/>
    <x v="16"/>
    <x v="1"/>
    <x v="3"/>
    <x v="2125"/>
    <x v="258"/>
    <x v="127"/>
    <x v="7"/>
    <x v="2"/>
    <n v="489189.4"/>
    <x v="0"/>
    <x v="13"/>
  </r>
  <r>
    <x v="2163"/>
    <s v="Theresa Santiago"/>
    <x v="16"/>
    <x v="1"/>
    <x v="5"/>
    <x v="2126"/>
    <x v="183"/>
    <x v="364"/>
    <x v="9"/>
    <x v="3"/>
    <n v="455855.88"/>
    <x v="2"/>
    <x v="10"/>
  </r>
  <r>
    <x v="2164"/>
    <s v="Alexis White"/>
    <x v="15"/>
    <x v="0"/>
    <x v="3"/>
    <x v="2127"/>
    <x v="190"/>
    <x v="200"/>
    <x v="7"/>
    <x v="3"/>
    <n v="331357.03999999998"/>
    <x v="2"/>
    <x v="2"/>
  </r>
  <r>
    <x v="2165"/>
    <s v="Gerald Carrillo"/>
    <x v="76"/>
    <x v="1"/>
    <x v="0"/>
    <x v="2128"/>
    <x v="218"/>
    <x v="374"/>
    <x v="8"/>
    <x v="2"/>
    <n v="20106.759999999998"/>
    <x v="2"/>
    <x v="6"/>
  </r>
  <r>
    <x v="2166"/>
    <s v="Trevor Carter"/>
    <x v="17"/>
    <x v="1"/>
    <x v="2"/>
    <x v="2129"/>
    <x v="323"/>
    <x v="199"/>
    <x v="3"/>
    <x v="4"/>
    <n v="409974.6"/>
    <x v="2"/>
    <x v="13"/>
  </r>
  <r>
    <x v="2167"/>
    <s v="Paul Garrett"/>
    <x v="24"/>
    <x v="1"/>
    <x v="2"/>
    <x v="2130"/>
    <x v="111"/>
    <x v="77"/>
    <x v="8"/>
    <x v="4"/>
    <n v="177982.19"/>
    <x v="0"/>
    <x v="14"/>
  </r>
  <r>
    <x v="2168"/>
    <s v="Mitchell Zavala"/>
    <x v="27"/>
    <x v="0"/>
    <x v="3"/>
    <x v="2131"/>
    <x v="9"/>
    <x v="189"/>
    <x v="5"/>
    <x v="1"/>
    <n v="499064.17"/>
    <x v="1"/>
    <x v="14"/>
  </r>
  <r>
    <x v="2169"/>
    <s v="Deborah Kelly"/>
    <x v="61"/>
    <x v="1"/>
    <x v="2"/>
    <x v="2132"/>
    <x v="23"/>
    <x v="24"/>
    <x v="4"/>
    <x v="2"/>
    <n v="172004.94"/>
    <x v="1"/>
    <x v="11"/>
  </r>
  <r>
    <x v="2170"/>
    <s v="Corey Hansen"/>
    <x v="45"/>
    <x v="0"/>
    <x v="5"/>
    <x v="2133"/>
    <x v="117"/>
    <x v="315"/>
    <x v="5"/>
    <x v="1"/>
    <n v="340328.55"/>
    <x v="2"/>
    <x v="13"/>
  </r>
  <r>
    <x v="2171"/>
    <s v="Connie Sanchez"/>
    <x v="13"/>
    <x v="0"/>
    <x v="5"/>
    <x v="2134"/>
    <x v="200"/>
    <x v="351"/>
    <x v="9"/>
    <x v="3"/>
    <n v="191666.46"/>
    <x v="0"/>
    <x v="9"/>
  </r>
  <r>
    <x v="2172"/>
    <s v="Adam Reynolds"/>
    <x v="12"/>
    <x v="1"/>
    <x v="0"/>
    <x v="2135"/>
    <x v="218"/>
    <x v="87"/>
    <x v="2"/>
    <x v="3"/>
    <n v="449863.07"/>
    <x v="2"/>
    <x v="10"/>
  </r>
  <r>
    <x v="2173"/>
    <s v="Scott Lee"/>
    <x v="69"/>
    <x v="0"/>
    <x v="4"/>
    <x v="2136"/>
    <x v="11"/>
    <x v="11"/>
    <x v="1"/>
    <x v="4"/>
    <n v="382751.13"/>
    <x v="2"/>
    <x v="8"/>
  </r>
  <r>
    <x v="2174"/>
    <s v="Cesar Fowler"/>
    <x v="12"/>
    <x v="1"/>
    <x v="0"/>
    <x v="2137"/>
    <x v="265"/>
    <x v="256"/>
    <x v="9"/>
    <x v="3"/>
    <n v="278520.75"/>
    <x v="2"/>
    <x v="6"/>
  </r>
  <r>
    <x v="2175"/>
    <s v="Charles Bentley"/>
    <x v="25"/>
    <x v="1"/>
    <x v="6"/>
    <x v="2138"/>
    <x v="277"/>
    <x v="6"/>
    <x v="1"/>
    <x v="3"/>
    <n v="286267.05"/>
    <x v="0"/>
    <x v="0"/>
  </r>
  <r>
    <x v="2176"/>
    <s v="Jeffrey Pacheco"/>
    <x v="31"/>
    <x v="1"/>
    <x v="3"/>
    <x v="2139"/>
    <x v="243"/>
    <x v="96"/>
    <x v="5"/>
    <x v="4"/>
    <n v="319825.93"/>
    <x v="1"/>
    <x v="7"/>
  </r>
  <r>
    <x v="2177"/>
    <s v="Jeffery Hopkins"/>
    <x v="80"/>
    <x v="0"/>
    <x v="5"/>
    <x v="2102"/>
    <x v="291"/>
    <x v="39"/>
    <x v="9"/>
    <x v="1"/>
    <n v="186855.07"/>
    <x v="2"/>
    <x v="14"/>
  </r>
  <r>
    <x v="2178"/>
    <s v="Karen Taylor"/>
    <x v="46"/>
    <x v="0"/>
    <x v="1"/>
    <x v="2140"/>
    <x v="45"/>
    <x v="309"/>
    <x v="9"/>
    <x v="0"/>
    <n v="497327.07"/>
    <x v="0"/>
    <x v="3"/>
  </r>
  <r>
    <x v="2179"/>
    <s v="Christopher Long"/>
    <x v="6"/>
    <x v="0"/>
    <x v="4"/>
    <x v="2141"/>
    <x v="63"/>
    <x v="180"/>
    <x v="7"/>
    <x v="5"/>
    <n v="207915.8"/>
    <x v="0"/>
    <x v="13"/>
  </r>
  <r>
    <x v="2180"/>
    <s v="Michael Gonzales"/>
    <x v="77"/>
    <x v="1"/>
    <x v="5"/>
    <x v="733"/>
    <x v="65"/>
    <x v="82"/>
    <x v="8"/>
    <x v="4"/>
    <n v="454993.84"/>
    <x v="1"/>
    <x v="11"/>
  </r>
  <r>
    <x v="2181"/>
    <s v="Ariel Gibson"/>
    <x v="72"/>
    <x v="1"/>
    <x v="4"/>
    <x v="2142"/>
    <x v="244"/>
    <x v="61"/>
    <x v="2"/>
    <x v="5"/>
    <n v="315275.56"/>
    <x v="0"/>
    <x v="1"/>
  </r>
  <r>
    <x v="2182"/>
    <s v="Cheyenne Green"/>
    <x v="6"/>
    <x v="0"/>
    <x v="0"/>
    <x v="2143"/>
    <x v="208"/>
    <x v="322"/>
    <x v="6"/>
    <x v="0"/>
    <n v="238407.33"/>
    <x v="1"/>
    <x v="5"/>
  </r>
  <r>
    <x v="2183"/>
    <s v="Nancy Allen"/>
    <x v="10"/>
    <x v="0"/>
    <x v="2"/>
    <x v="2144"/>
    <x v="343"/>
    <x v="272"/>
    <x v="4"/>
    <x v="1"/>
    <n v="444220.46"/>
    <x v="2"/>
    <x v="4"/>
  </r>
  <r>
    <x v="2184"/>
    <s v="David Whitehead"/>
    <x v="9"/>
    <x v="0"/>
    <x v="0"/>
    <x v="2145"/>
    <x v="249"/>
    <x v="72"/>
    <x v="8"/>
    <x v="3"/>
    <n v="254955.31"/>
    <x v="1"/>
    <x v="1"/>
  </r>
  <r>
    <x v="2185"/>
    <s v="Michael Jackson"/>
    <x v="6"/>
    <x v="0"/>
    <x v="5"/>
    <x v="2146"/>
    <x v="52"/>
    <x v="345"/>
    <x v="4"/>
    <x v="0"/>
    <n v="266561.67"/>
    <x v="1"/>
    <x v="4"/>
  </r>
  <r>
    <x v="2186"/>
    <s v="Frances Mercer"/>
    <x v="53"/>
    <x v="0"/>
    <x v="6"/>
    <x v="2147"/>
    <x v="174"/>
    <x v="13"/>
    <x v="2"/>
    <x v="1"/>
    <n v="357863.76"/>
    <x v="2"/>
    <x v="0"/>
  </r>
  <r>
    <x v="2187"/>
    <s v="Kevin Fields"/>
    <x v="70"/>
    <x v="1"/>
    <x v="5"/>
    <x v="2148"/>
    <x v="292"/>
    <x v="58"/>
    <x v="8"/>
    <x v="3"/>
    <n v="10809.69"/>
    <x v="1"/>
    <x v="3"/>
  </r>
  <r>
    <x v="2188"/>
    <s v="Jonathon Ruiz"/>
    <x v="75"/>
    <x v="0"/>
    <x v="2"/>
    <x v="2149"/>
    <x v="111"/>
    <x v="334"/>
    <x v="2"/>
    <x v="0"/>
    <n v="111372.46"/>
    <x v="0"/>
    <x v="8"/>
  </r>
  <r>
    <x v="2189"/>
    <s v="Nicole Simmons"/>
    <x v="47"/>
    <x v="1"/>
    <x v="4"/>
    <x v="2150"/>
    <x v="156"/>
    <x v="179"/>
    <x v="1"/>
    <x v="1"/>
    <n v="493990.77"/>
    <x v="0"/>
    <x v="11"/>
  </r>
  <r>
    <x v="2190"/>
    <s v="Zachary Martinez"/>
    <x v="32"/>
    <x v="0"/>
    <x v="6"/>
    <x v="2151"/>
    <x v="286"/>
    <x v="143"/>
    <x v="8"/>
    <x v="2"/>
    <n v="341954.33"/>
    <x v="0"/>
    <x v="2"/>
  </r>
  <r>
    <x v="2191"/>
    <s v="Thomas Parker"/>
    <x v="86"/>
    <x v="0"/>
    <x v="1"/>
    <x v="2152"/>
    <x v="104"/>
    <x v="230"/>
    <x v="0"/>
    <x v="1"/>
    <n v="404635.97"/>
    <x v="2"/>
    <x v="14"/>
  </r>
  <r>
    <x v="2192"/>
    <s v="Jack Snyder"/>
    <x v="46"/>
    <x v="0"/>
    <x v="6"/>
    <x v="2153"/>
    <x v="163"/>
    <x v="324"/>
    <x v="9"/>
    <x v="5"/>
    <n v="438069.19"/>
    <x v="0"/>
    <x v="3"/>
  </r>
  <r>
    <x v="2193"/>
    <s v="Barbara King"/>
    <x v="6"/>
    <x v="0"/>
    <x v="6"/>
    <x v="2154"/>
    <x v="337"/>
    <x v="282"/>
    <x v="9"/>
    <x v="4"/>
    <n v="497600.04"/>
    <x v="0"/>
    <x v="7"/>
  </r>
  <r>
    <x v="2194"/>
    <s v="Benjamin Vasquez"/>
    <x v="7"/>
    <x v="0"/>
    <x v="5"/>
    <x v="2155"/>
    <x v="360"/>
    <x v="143"/>
    <x v="3"/>
    <x v="1"/>
    <n v="447867.71"/>
    <x v="2"/>
    <x v="3"/>
  </r>
  <r>
    <x v="2195"/>
    <s v="Karen Stanley"/>
    <x v="31"/>
    <x v="1"/>
    <x v="2"/>
    <x v="2156"/>
    <x v="2"/>
    <x v="317"/>
    <x v="6"/>
    <x v="3"/>
    <n v="68209.22"/>
    <x v="1"/>
    <x v="5"/>
  </r>
  <r>
    <x v="2196"/>
    <s v="Sharon Johnson MD"/>
    <x v="45"/>
    <x v="0"/>
    <x v="2"/>
    <x v="2157"/>
    <x v="80"/>
    <x v="310"/>
    <x v="4"/>
    <x v="4"/>
    <n v="151473.20000000001"/>
    <x v="1"/>
    <x v="4"/>
  </r>
  <r>
    <x v="2197"/>
    <s v="Kristin Foster"/>
    <x v="85"/>
    <x v="0"/>
    <x v="1"/>
    <x v="2158"/>
    <x v="153"/>
    <x v="173"/>
    <x v="0"/>
    <x v="3"/>
    <n v="363457.96"/>
    <x v="0"/>
    <x v="12"/>
  </r>
  <r>
    <x v="2198"/>
    <s v="Heather Stevens"/>
    <x v="1"/>
    <x v="0"/>
    <x v="2"/>
    <x v="665"/>
    <x v="146"/>
    <x v="145"/>
    <x v="5"/>
    <x v="2"/>
    <n v="101628.11"/>
    <x v="0"/>
    <x v="0"/>
  </r>
  <r>
    <x v="2199"/>
    <s v="Matthew Bailey"/>
    <x v="17"/>
    <x v="0"/>
    <x v="1"/>
    <x v="2159"/>
    <x v="94"/>
    <x v="201"/>
    <x v="4"/>
    <x v="3"/>
    <n v="109975.66"/>
    <x v="2"/>
    <x v="4"/>
  </r>
  <r>
    <x v="2200"/>
    <s v="Katherine Clark"/>
    <x v="88"/>
    <x v="0"/>
    <x v="0"/>
    <x v="2160"/>
    <x v="81"/>
    <x v="98"/>
    <x v="9"/>
    <x v="4"/>
    <n v="103295.71"/>
    <x v="0"/>
    <x v="0"/>
  </r>
  <r>
    <x v="2201"/>
    <s v="Eric Hubbard"/>
    <x v="51"/>
    <x v="1"/>
    <x v="5"/>
    <x v="2161"/>
    <x v="275"/>
    <x v="204"/>
    <x v="1"/>
    <x v="2"/>
    <n v="287829.02"/>
    <x v="0"/>
    <x v="9"/>
  </r>
  <r>
    <x v="2202"/>
    <s v="Cathy Cole"/>
    <x v="21"/>
    <x v="0"/>
    <x v="4"/>
    <x v="2162"/>
    <x v="101"/>
    <x v="48"/>
    <x v="0"/>
    <x v="0"/>
    <n v="311664.88"/>
    <x v="1"/>
    <x v="1"/>
  </r>
  <r>
    <x v="2203"/>
    <s v="Zachary Erickson"/>
    <x v="78"/>
    <x v="0"/>
    <x v="4"/>
    <x v="2163"/>
    <x v="318"/>
    <x v="15"/>
    <x v="7"/>
    <x v="5"/>
    <n v="9764.3799999999992"/>
    <x v="2"/>
    <x v="13"/>
  </r>
  <r>
    <x v="2204"/>
    <s v="Felicia Mullen"/>
    <x v="37"/>
    <x v="0"/>
    <x v="2"/>
    <x v="2164"/>
    <x v="18"/>
    <x v="157"/>
    <x v="9"/>
    <x v="1"/>
    <n v="488932.73"/>
    <x v="1"/>
    <x v="14"/>
  </r>
  <r>
    <x v="2205"/>
    <s v="Nancy Richardson"/>
    <x v="44"/>
    <x v="0"/>
    <x v="5"/>
    <x v="2165"/>
    <x v="11"/>
    <x v="31"/>
    <x v="0"/>
    <x v="5"/>
    <n v="155636.84"/>
    <x v="1"/>
    <x v="6"/>
  </r>
  <r>
    <x v="2206"/>
    <s v="Carolyn Brady"/>
    <x v="40"/>
    <x v="1"/>
    <x v="5"/>
    <x v="2166"/>
    <x v="115"/>
    <x v="59"/>
    <x v="1"/>
    <x v="5"/>
    <n v="453630.32"/>
    <x v="1"/>
    <x v="12"/>
  </r>
  <r>
    <x v="2207"/>
    <s v="Laura Wilson"/>
    <x v="71"/>
    <x v="1"/>
    <x v="5"/>
    <x v="2167"/>
    <x v="176"/>
    <x v="221"/>
    <x v="0"/>
    <x v="3"/>
    <n v="143030.51999999999"/>
    <x v="1"/>
    <x v="1"/>
  </r>
  <r>
    <x v="2208"/>
    <s v="Adam Wolfe"/>
    <x v="62"/>
    <x v="1"/>
    <x v="5"/>
    <x v="2168"/>
    <x v="54"/>
    <x v="34"/>
    <x v="3"/>
    <x v="5"/>
    <n v="244201.38"/>
    <x v="2"/>
    <x v="2"/>
  </r>
  <r>
    <x v="2209"/>
    <s v="Mariah Houston"/>
    <x v="25"/>
    <x v="0"/>
    <x v="0"/>
    <x v="2169"/>
    <x v="149"/>
    <x v="196"/>
    <x v="6"/>
    <x v="2"/>
    <n v="63466.37"/>
    <x v="1"/>
    <x v="10"/>
  </r>
  <r>
    <x v="2210"/>
    <s v="Joseph Anderson"/>
    <x v="50"/>
    <x v="1"/>
    <x v="0"/>
    <x v="2170"/>
    <x v="38"/>
    <x v="374"/>
    <x v="0"/>
    <x v="5"/>
    <n v="381908.81"/>
    <x v="0"/>
    <x v="0"/>
  </r>
  <r>
    <x v="2211"/>
    <s v="Kelly Hebert"/>
    <x v="44"/>
    <x v="1"/>
    <x v="3"/>
    <x v="2171"/>
    <x v="341"/>
    <x v="164"/>
    <x v="2"/>
    <x v="2"/>
    <n v="431987.64"/>
    <x v="0"/>
    <x v="12"/>
  </r>
  <r>
    <x v="2212"/>
    <s v="Jessica Perry"/>
    <x v="0"/>
    <x v="0"/>
    <x v="3"/>
    <x v="2172"/>
    <x v="274"/>
    <x v="72"/>
    <x v="6"/>
    <x v="0"/>
    <n v="297847.65000000002"/>
    <x v="0"/>
    <x v="3"/>
  </r>
  <r>
    <x v="2213"/>
    <s v="Gregory Martin"/>
    <x v="86"/>
    <x v="0"/>
    <x v="5"/>
    <x v="2173"/>
    <x v="147"/>
    <x v="10"/>
    <x v="7"/>
    <x v="0"/>
    <n v="427217.58"/>
    <x v="2"/>
    <x v="14"/>
  </r>
  <r>
    <x v="2214"/>
    <s v="William Pruitt"/>
    <x v="4"/>
    <x v="1"/>
    <x v="4"/>
    <x v="2174"/>
    <x v="41"/>
    <x v="112"/>
    <x v="2"/>
    <x v="4"/>
    <n v="294188.55"/>
    <x v="2"/>
    <x v="0"/>
  </r>
  <r>
    <x v="2215"/>
    <s v="Michael May"/>
    <x v="81"/>
    <x v="1"/>
    <x v="6"/>
    <x v="2175"/>
    <x v="28"/>
    <x v="135"/>
    <x v="1"/>
    <x v="5"/>
    <n v="311664.99"/>
    <x v="0"/>
    <x v="10"/>
  </r>
  <r>
    <x v="2216"/>
    <s v="Nicholas Ferrell"/>
    <x v="23"/>
    <x v="1"/>
    <x v="3"/>
    <x v="2176"/>
    <x v="103"/>
    <x v="65"/>
    <x v="7"/>
    <x v="3"/>
    <n v="127082.28"/>
    <x v="1"/>
    <x v="8"/>
  </r>
  <r>
    <x v="2217"/>
    <s v="Manuel Clark"/>
    <x v="49"/>
    <x v="1"/>
    <x v="5"/>
    <x v="2177"/>
    <x v="314"/>
    <x v="48"/>
    <x v="0"/>
    <x v="3"/>
    <n v="178982.34"/>
    <x v="1"/>
    <x v="5"/>
  </r>
  <r>
    <x v="2218"/>
    <s v="Amanda Chavez"/>
    <x v="58"/>
    <x v="0"/>
    <x v="6"/>
    <x v="2178"/>
    <x v="351"/>
    <x v="208"/>
    <x v="0"/>
    <x v="1"/>
    <n v="72915.34"/>
    <x v="1"/>
    <x v="14"/>
  </r>
  <r>
    <x v="2219"/>
    <s v="James Jimenez"/>
    <x v="2"/>
    <x v="0"/>
    <x v="2"/>
    <x v="2179"/>
    <x v="184"/>
    <x v="23"/>
    <x v="4"/>
    <x v="0"/>
    <n v="135001.48000000001"/>
    <x v="1"/>
    <x v="11"/>
  </r>
  <r>
    <x v="2220"/>
    <s v="William Barnett"/>
    <x v="81"/>
    <x v="0"/>
    <x v="3"/>
    <x v="2180"/>
    <x v="140"/>
    <x v="209"/>
    <x v="8"/>
    <x v="3"/>
    <n v="241860.04"/>
    <x v="0"/>
    <x v="0"/>
  </r>
  <r>
    <x v="2221"/>
    <s v="John Hernandez"/>
    <x v="54"/>
    <x v="0"/>
    <x v="4"/>
    <x v="2181"/>
    <x v="53"/>
    <x v="375"/>
    <x v="1"/>
    <x v="3"/>
    <n v="490870.05"/>
    <x v="1"/>
    <x v="11"/>
  </r>
  <r>
    <x v="2222"/>
    <s v="Sally Francis"/>
    <x v="4"/>
    <x v="1"/>
    <x v="1"/>
    <x v="2182"/>
    <x v="186"/>
    <x v="140"/>
    <x v="0"/>
    <x v="5"/>
    <n v="275745.45"/>
    <x v="2"/>
    <x v="7"/>
  </r>
  <r>
    <x v="2223"/>
    <s v="Denise Cunningham"/>
    <x v="4"/>
    <x v="0"/>
    <x v="0"/>
    <x v="2183"/>
    <x v="275"/>
    <x v="251"/>
    <x v="5"/>
    <x v="2"/>
    <n v="57417.66"/>
    <x v="0"/>
    <x v="5"/>
  </r>
  <r>
    <x v="2224"/>
    <s v="Jesse Mack"/>
    <x v="23"/>
    <x v="1"/>
    <x v="3"/>
    <x v="2184"/>
    <x v="27"/>
    <x v="240"/>
    <x v="2"/>
    <x v="5"/>
    <n v="212009.61"/>
    <x v="1"/>
    <x v="10"/>
  </r>
  <r>
    <x v="2225"/>
    <s v="Kenneth Taylor"/>
    <x v="34"/>
    <x v="1"/>
    <x v="4"/>
    <x v="2185"/>
    <x v="322"/>
    <x v="62"/>
    <x v="2"/>
    <x v="2"/>
    <n v="216165.63"/>
    <x v="1"/>
    <x v="11"/>
  </r>
  <r>
    <x v="2226"/>
    <s v="Christopher Noble"/>
    <x v="54"/>
    <x v="1"/>
    <x v="3"/>
    <x v="2186"/>
    <x v="18"/>
    <x v="157"/>
    <x v="0"/>
    <x v="2"/>
    <n v="483643.47"/>
    <x v="1"/>
    <x v="14"/>
  </r>
  <r>
    <x v="2227"/>
    <s v="Oscar Williams"/>
    <x v="46"/>
    <x v="0"/>
    <x v="0"/>
    <x v="2187"/>
    <x v="322"/>
    <x v="301"/>
    <x v="3"/>
    <x v="0"/>
    <n v="290753.77"/>
    <x v="1"/>
    <x v="4"/>
  </r>
  <r>
    <x v="2228"/>
    <s v="Maria Smith"/>
    <x v="66"/>
    <x v="0"/>
    <x v="3"/>
    <x v="2188"/>
    <x v="161"/>
    <x v="0"/>
    <x v="8"/>
    <x v="5"/>
    <n v="269843.98"/>
    <x v="2"/>
    <x v="4"/>
  </r>
  <r>
    <x v="2229"/>
    <s v="Jessica Meyer"/>
    <x v="42"/>
    <x v="1"/>
    <x v="5"/>
    <x v="2189"/>
    <x v="62"/>
    <x v="38"/>
    <x v="5"/>
    <x v="4"/>
    <n v="253887.68"/>
    <x v="2"/>
    <x v="14"/>
  </r>
  <r>
    <x v="2230"/>
    <s v="Kara Wright"/>
    <x v="11"/>
    <x v="1"/>
    <x v="3"/>
    <x v="2190"/>
    <x v="316"/>
    <x v="325"/>
    <x v="5"/>
    <x v="5"/>
    <n v="166170.62"/>
    <x v="0"/>
    <x v="1"/>
  </r>
  <r>
    <x v="2231"/>
    <s v="Shawn Gonzalez"/>
    <x v="31"/>
    <x v="1"/>
    <x v="0"/>
    <x v="2191"/>
    <x v="297"/>
    <x v="48"/>
    <x v="8"/>
    <x v="5"/>
    <n v="463544.57"/>
    <x v="1"/>
    <x v="14"/>
  </r>
  <r>
    <x v="2232"/>
    <s v="Michael Nelson"/>
    <x v="75"/>
    <x v="1"/>
    <x v="4"/>
    <x v="2192"/>
    <x v="121"/>
    <x v="165"/>
    <x v="2"/>
    <x v="5"/>
    <n v="261906.64"/>
    <x v="2"/>
    <x v="11"/>
  </r>
  <r>
    <x v="2233"/>
    <s v="Paul Peterson"/>
    <x v="35"/>
    <x v="1"/>
    <x v="2"/>
    <x v="2193"/>
    <x v="129"/>
    <x v="258"/>
    <x v="6"/>
    <x v="0"/>
    <n v="135941.99"/>
    <x v="1"/>
    <x v="9"/>
  </r>
  <r>
    <x v="2234"/>
    <s v="Jonathan Hernandez"/>
    <x v="84"/>
    <x v="1"/>
    <x v="4"/>
    <x v="2194"/>
    <x v="315"/>
    <x v="245"/>
    <x v="0"/>
    <x v="0"/>
    <n v="150943.85999999999"/>
    <x v="0"/>
    <x v="14"/>
  </r>
  <r>
    <x v="2235"/>
    <s v="Ashlee Peterson"/>
    <x v="52"/>
    <x v="0"/>
    <x v="1"/>
    <x v="2195"/>
    <x v="342"/>
    <x v="75"/>
    <x v="8"/>
    <x v="3"/>
    <n v="234143.84"/>
    <x v="0"/>
    <x v="12"/>
  </r>
  <r>
    <x v="2236"/>
    <s v="Kevin Smith"/>
    <x v="50"/>
    <x v="1"/>
    <x v="2"/>
    <x v="2196"/>
    <x v="300"/>
    <x v="169"/>
    <x v="5"/>
    <x v="3"/>
    <n v="22407.23"/>
    <x v="2"/>
    <x v="14"/>
  </r>
  <r>
    <x v="2237"/>
    <s v="Susan Bryant"/>
    <x v="25"/>
    <x v="1"/>
    <x v="0"/>
    <x v="2197"/>
    <x v="193"/>
    <x v="277"/>
    <x v="7"/>
    <x v="4"/>
    <n v="217264.02"/>
    <x v="1"/>
    <x v="9"/>
  </r>
  <r>
    <x v="2238"/>
    <s v="Stephen Rush"/>
    <x v="12"/>
    <x v="0"/>
    <x v="1"/>
    <x v="2198"/>
    <x v="70"/>
    <x v="50"/>
    <x v="2"/>
    <x v="3"/>
    <n v="5071.92"/>
    <x v="2"/>
    <x v="0"/>
  </r>
  <r>
    <x v="2239"/>
    <s v="Kylie Dixon"/>
    <x v="88"/>
    <x v="0"/>
    <x v="6"/>
    <x v="2199"/>
    <x v="47"/>
    <x v="122"/>
    <x v="2"/>
    <x v="4"/>
    <n v="241259.08"/>
    <x v="1"/>
    <x v="4"/>
  </r>
  <r>
    <x v="2240"/>
    <s v="Robin Callahan"/>
    <x v="47"/>
    <x v="0"/>
    <x v="3"/>
    <x v="2200"/>
    <x v="339"/>
    <x v="364"/>
    <x v="3"/>
    <x v="5"/>
    <n v="198930.19"/>
    <x v="0"/>
    <x v="5"/>
  </r>
  <r>
    <x v="2241"/>
    <s v="Danielle Murphy"/>
    <x v="67"/>
    <x v="0"/>
    <x v="2"/>
    <x v="2201"/>
    <x v="266"/>
    <x v="28"/>
    <x v="6"/>
    <x v="2"/>
    <n v="306373.83"/>
    <x v="0"/>
    <x v="0"/>
  </r>
  <r>
    <x v="2242"/>
    <s v="Allison Fox MD"/>
    <x v="48"/>
    <x v="1"/>
    <x v="2"/>
    <x v="2202"/>
    <x v="144"/>
    <x v="104"/>
    <x v="8"/>
    <x v="3"/>
    <n v="272365.77"/>
    <x v="0"/>
    <x v="10"/>
  </r>
  <r>
    <x v="2243"/>
    <s v="Jacqueline Hudson"/>
    <x v="85"/>
    <x v="0"/>
    <x v="5"/>
    <x v="2203"/>
    <x v="311"/>
    <x v="114"/>
    <x v="7"/>
    <x v="1"/>
    <n v="375746.67"/>
    <x v="1"/>
    <x v="6"/>
  </r>
  <r>
    <x v="2244"/>
    <s v="Lindsey Wilson"/>
    <x v="6"/>
    <x v="1"/>
    <x v="6"/>
    <x v="2204"/>
    <x v="183"/>
    <x v="120"/>
    <x v="2"/>
    <x v="2"/>
    <n v="369131.36"/>
    <x v="0"/>
    <x v="9"/>
  </r>
  <r>
    <x v="2245"/>
    <s v="Marcus Hughes"/>
    <x v="66"/>
    <x v="1"/>
    <x v="4"/>
    <x v="2205"/>
    <x v="272"/>
    <x v="123"/>
    <x v="1"/>
    <x v="2"/>
    <n v="430893.09"/>
    <x v="2"/>
    <x v="6"/>
  </r>
  <r>
    <x v="2246"/>
    <s v="Jennifer Barnett"/>
    <x v="27"/>
    <x v="0"/>
    <x v="0"/>
    <x v="176"/>
    <x v="91"/>
    <x v="226"/>
    <x v="5"/>
    <x v="0"/>
    <n v="315656.89"/>
    <x v="0"/>
    <x v="13"/>
  </r>
  <r>
    <x v="2247"/>
    <s v="Kelly Robinson"/>
    <x v="75"/>
    <x v="1"/>
    <x v="2"/>
    <x v="2206"/>
    <x v="129"/>
    <x v="311"/>
    <x v="9"/>
    <x v="0"/>
    <n v="401008.11"/>
    <x v="1"/>
    <x v="10"/>
  </r>
  <r>
    <x v="2248"/>
    <s v="Andrew Garcia"/>
    <x v="50"/>
    <x v="0"/>
    <x v="4"/>
    <x v="2207"/>
    <x v="312"/>
    <x v="11"/>
    <x v="4"/>
    <x v="1"/>
    <n v="7852.57"/>
    <x v="2"/>
    <x v="7"/>
  </r>
  <r>
    <x v="2249"/>
    <s v="Lisa Powell"/>
    <x v="49"/>
    <x v="0"/>
    <x v="1"/>
    <x v="2208"/>
    <x v="247"/>
    <x v="113"/>
    <x v="1"/>
    <x v="2"/>
    <n v="11134.02"/>
    <x v="0"/>
    <x v="4"/>
  </r>
  <r>
    <x v="2250"/>
    <s v="Daniel Watts"/>
    <x v="9"/>
    <x v="1"/>
    <x v="0"/>
    <x v="2209"/>
    <x v="355"/>
    <x v="370"/>
    <x v="9"/>
    <x v="1"/>
    <n v="24989.47"/>
    <x v="2"/>
    <x v="12"/>
  </r>
  <r>
    <x v="2251"/>
    <s v="Savannah Johnson"/>
    <x v="58"/>
    <x v="0"/>
    <x v="3"/>
    <x v="2210"/>
    <x v="230"/>
    <x v="65"/>
    <x v="6"/>
    <x v="2"/>
    <n v="235092.11"/>
    <x v="1"/>
    <x v="13"/>
  </r>
  <r>
    <x v="2252"/>
    <s v="Destiny Garcia"/>
    <x v="72"/>
    <x v="0"/>
    <x v="6"/>
    <x v="2211"/>
    <x v="74"/>
    <x v="306"/>
    <x v="2"/>
    <x v="2"/>
    <n v="220685.63"/>
    <x v="1"/>
    <x v="7"/>
  </r>
  <r>
    <x v="2253"/>
    <s v="Shirley Willis"/>
    <x v="68"/>
    <x v="0"/>
    <x v="4"/>
    <x v="2212"/>
    <x v="110"/>
    <x v="190"/>
    <x v="1"/>
    <x v="5"/>
    <n v="223140.29"/>
    <x v="0"/>
    <x v="1"/>
  </r>
  <r>
    <x v="2254"/>
    <s v="Kaitlin Bennett"/>
    <x v="53"/>
    <x v="1"/>
    <x v="2"/>
    <x v="2213"/>
    <x v="196"/>
    <x v="99"/>
    <x v="6"/>
    <x v="5"/>
    <n v="300831.89"/>
    <x v="1"/>
    <x v="9"/>
  </r>
  <r>
    <x v="2255"/>
    <s v="Lawrence Clark"/>
    <x v="61"/>
    <x v="1"/>
    <x v="5"/>
    <x v="2214"/>
    <x v="282"/>
    <x v="268"/>
    <x v="9"/>
    <x v="4"/>
    <n v="359290.49"/>
    <x v="0"/>
    <x v="7"/>
  </r>
  <r>
    <x v="2256"/>
    <s v="Kristen Anderson"/>
    <x v="72"/>
    <x v="0"/>
    <x v="6"/>
    <x v="2215"/>
    <x v="247"/>
    <x v="252"/>
    <x v="5"/>
    <x v="4"/>
    <n v="343871.6"/>
    <x v="0"/>
    <x v="7"/>
  </r>
  <r>
    <x v="2257"/>
    <s v="Daniel Herrera"/>
    <x v="38"/>
    <x v="0"/>
    <x v="4"/>
    <x v="2216"/>
    <x v="88"/>
    <x v="354"/>
    <x v="2"/>
    <x v="1"/>
    <n v="210380.74"/>
    <x v="2"/>
    <x v="12"/>
  </r>
  <r>
    <x v="2258"/>
    <s v="Sheri Perez"/>
    <x v="48"/>
    <x v="0"/>
    <x v="0"/>
    <x v="2217"/>
    <x v="155"/>
    <x v="188"/>
    <x v="0"/>
    <x v="4"/>
    <n v="120676.1"/>
    <x v="2"/>
    <x v="6"/>
  </r>
  <r>
    <x v="2259"/>
    <s v="Raymond Butler"/>
    <x v="71"/>
    <x v="0"/>
    <x v="3"/>
    <x v="2218"/>
    <x v="305"/>
    <x v="320"/>
    <x v="9"/>
    <x v="0"/>
    <n v="297761.15999999997"/>
    <x v="1"/>
    <x v="14"/>
  </r>
  <r>
    <x v="2260"/>
    <s v="Jo Boyd"/>
    <x v="40"/>
    <x v="0"/>
    <x v="2"/>
    <x v="2219"/>
    <x v="281"/>
    <x v="235"/>
    <x v="4"/>
    <x v="0"/>
    <n v="486644.69"/>
    <x v="2"/>
    <x v="4"/>
  </r>
  <r>
    <x v="2261"/>
    <s v="Ann Henson"/>
    <x v="85"/>
    <x v="0"/>
    <x v="1"/>
    <x v="2220"/>
    <x v="177"/>
    <x v="320"/>
    <x v="9"/>
    <x v="5"/>
    <n v="138170.81"/>
    <x v="2"/>
    <x v="8"/>
  </r>
  <r>
    <x v="2262"/>
    <s v="Timothy Carter"/>
    <x v="81"/>
    <x v="1"/>
    <x v="0"/>
    <x v="2221"/>
    <x v="320"/>
    <x v="80"/>
    <x v="2"/>
    <x v="5"/>
    <n v="444060.47"/>
    <x v="0"/>
    <x v="12"/>
  </r>
  <r>
    <x v="2263"/>
    <s v="Robert Sullivan"/>
    <x v="60"/>
    <x v="0"/>
    <x v="5"/>
    <x v="2222"/>
    <x v="40"/>
    <x v="338"/>
    <x v="0"/>
    <x v="1"/>
    <n v="305208.69"/>
    <x v="0"/>
    <x v="12"/>
  </r>
  <r>
    <x v="2264"/>
    <s v="Michael Hopkins"/>
    <x v="84"/>
    <x v="0"/>
    <x v="4"/>
    <x v="2223"/>
    <x v="128"/>
    <x v="192"/>
    <x v="8"/>
    <x v="5"/>
    <n v="404053.9"/>
    <x v="2"/>
    <x v="14"/>
  </r>
  <r>
    <x v="2265"/>
    <s v="Scott Hall"/>
    <x v="29"/>
    <x v="1"/>
    <x v="4"/>
    <x v="2224"/>
    <x v="201"/>
    <x v="331"/>
    <x v="2"/>
    <x v="5"/>
    <n v="50858.87"/>
    <x v="2"/>
    <x v="0"/>
  </r>
  <r>
    <x v="2266"/>
    <s v="Terry Bradford"/>
    <x v="88"/>
    <x v="0"/>
    <x v="3"/>
    <x v="2225"/>
    <x v="220"/>
    <x v="211"/>
    <x v="4"/>
    <x v="5"/>
    <n v="493097.43"/>
    <x v="1"/>
    <x v="1"/>
  </r>
  <r>
    <x v="2267"/>
    <s v="Timothy Kelley"/>
    <x v="0"/>
    <x v="0"/>
    <x v="6"/>
    <x v="2226"/>
    <x v="274"/>
    <x v="267"/>
    <x v="8"/>
    <x v="1"/>
    <n v="260517.58"/>
    <x v="2"/>
    <x v="0"/>
  </r>
  <r>
    <x v="2268"/>
    <s v="Debbie Rojas"/>
    <x v="43"/>
    <x v="0"/>
    <x v="3"/>
    <x v="2227"/>
    <x v="164"/>
    <x v="318"/>
    <x v="1"/>
    <x v="4"/>
    <n v="191610.36"/>
    <x v="1"/>
    <x v="1"/>
  </r>
  <r>
    <x v="2269"/>
    <s v="Willie Adkins"/>
    <x v="42"/>
    <x v="1"/>
    <x v="4"/>
    <x v="2228"/>
    <x v="182"/>
    <x v="228"/>
    <x v="4"/>
    <x v="1"/>
    <n v="105790.13"/>
    <x v="1"/>
    <x v="11"/>
  </r>
  <r>
    <x v="2270"/>
    <s v="Sara Brennan"/>
    <x v="32"/>
    <x v="0"/>
    <x v="4"/>
    <x v="2229"/>
    <x v="99"/>
    <x v="107"/>
    <x v="0"/>
    <x v="4"/>
    <n v="6995.8"/>
    <x v="1"/>
    <x v="7"/>
  </r>
  <r>
    <x v="2271"/>
    <s v="Robert Villanueva"/>
    <x v="63"/>
    <x v="1"/>
    <x v="6"/>
    <x v="2230"/>
    <x v="227"/>
    <x v="273"/>
    <x v="5"/>
    <x v="2"/>
    <n v="378946.33"/>
    <x v="1"/>
    <x v="10"/>
  </r>
  <r>
    <x v="2272"/>
    <s v="Jennifer Russell"/>
    <x v="49"/>
    <x v="0"/>
    <x v="0"/>
    <x v="2231"/>
    <x v="255"/>
    <x v="335"/>
    <x v="0"/>
    <x v="4"/>
    <n v="32890.32"/>
    <x v="2"/>
    <x v="3"/>
  </r>
  <r>
    <x v="2273"/>
    <s v="Jeremy Lambert"/>
    <x v="53"/>
    <x v="0"/>
    <x v="6"/>
    <x v="2232"/>
    <x v="138"/>
    <x v="160"/>
    <x v="0"/>
    <x v="2"/>
    <n v="178249.39"/>
    <x v="0"/>
    <x v="2"/>
  </r>
  <r>
    <x v="2274"/>
    <s v="Joshua Lawrence"/>
    <x v="42"/>
    <x v="1"/>
    <x v="1"/>
    <x v="2233"/>
    <x v="4"/>
    <x v="4"/>
    <x v="4"/>
    <x v="4"/>
    <n v="271749.59999999998"/>
    <x v="1"/>
    <x v="4"/>
  </r>
  <r>
    <x v="2275"/>
    <s v="Gerald Gonzalez"/>
    <x v="15"/>
    <x v="0"/>
    <x v="1"/>
    <x v="2234"/>
    <x v="24"/>
    <x v="91"/>
    <x v="4"/>
    <x v="1"/>
    <n v="303471.88"/>
    <x v="2"/>
    <x v="14"/>
  </r>
  <r>
    <x v="2276"/>
    <s v="Catherine Ryan"/>
    <x v="52"/>
    <x v="0"/>
    <x v="4"/>
    <x v="2235"/>
    <x v="4"/>
    <x v="304"/>
    <x v="3"/>
    <x v="3"/>
    <n v="9293.01"/>
    <x v="0"/>
    <x v="0"/>
  </r>
  <r>
    <x v="2277"/>
    <s v="Angela Andrews"/>
    <x v="63"/>
    <x v="0"/>
    <x v="4"/>
    <x v="2236"/>
    <x v="264"/>
    <x v="100"/>
    <x v="4"/>
    <x v="5"/>
    <n v="338355.73"/>
    <x v="0"/>
    <x v="8"/>
  </r>
  <r>
    <x v="2278"/>
    <s v="Kimberly Daugherty"/>
    <x v="82"/>
    <x v="1"/>
    <x v="5"/>
    <x v="2237"/>
    <x v="85"/>
    <x v="172"/>
    <x v="8"/>
    <x v="4"/>
    <n v="431826.15"/>
    <x v="2"/>
    <x v="7"/>
  </r>
  <r>
    <x v="2279"/>
    <s v="Jeffrey Dickerson"/>
    <x v="71"/>
    <x v="0"/>
    <x v="4"/>
    <x v="2238"/>
    <x v="363"/>
    <x v="238"/>
    <x v="5"/>
    <x v="0"/>
    <n v="101186.8"/>
    <x v="2"/>
    <x v="5"/>
  </r>
  <r>
    <x v="2280"/>
    <s v="Wanda Haley"/>
    <x v="0"/>
    <x v="1"/>
    <x v="6"/>
    <x v="2239"/>
    <x v="212"/>
    <x v="138"/>
    <x v="3"/>
    <x v="2"/>
    <n v="433887.69"/>
    <x v="2"/>
    <x v="13"/>
  </r>
  <r>
    <x v="2281"/>
    <s v="Kevin Barton"/>
    <x v="76"/>
    <x v="1"/>
    <x v="0"/>
    <x v="2240"/>
    <x v="39"/>
    <x v="243"/>
    <x v="6"/>
    <x v="3"/>
    <n v="482190.34"/>
    <x v="1"/>
    <x v="14"/>
  </r>
  <r>
    <x v="2282"/>
    <s v="Angela Logan"/>
    <x v="35"/>
    <x v="0"/>
    <x v="2"/>
    <x v="2241"/>
    <x v="213"/>
    <x v="340"/>
    <x v="3"/>
    <x v="2"/>
    <n v="486333.57"/>
    <x v="0"/>
    <x v="4"/>
  </r>
  <r>
    <x v="2283"/>
    <s v="Allison Rogers"/>
    <x v="15"/>
    <x v="1"/>
    <x v="6"/>
    <x v="2242"/>
    <x v="65"/>
    <x v="106"/>
    <x v="2"/>
    <x v="5"/>
    <n v="258658.99"/>
    <x v="0"/>
    <x v="8"/>
  </r>
  <r>
    <x v="2284"/>
    <s v="Clayton Ross"/>
    <x v="8"/>
    <x v="0"/>
    <x v="2"/>
    <x v="2243"/>
    <x v="362"/>
    <x v="358"/>
    <x v="0"/>
    <x v="5"/>
    <n v="303819.78000000003"/>
    <x v="0"/>
    <x v="5"/>
  </r>
  <r>
    <x v="2285"/>
    <s v="Daniel Vaughan"/>
    <x v="58"/>
    <x v="1"/>
    <x v="6"/>
    <x v="2244"/>
    <x v="332"/>
    <x v="239"/>
    <x v="0"/>
    <x v="4"/>
    <n v="210569.04"/>
    <x v="0"/>
    <x v="6"/>
  </r>
  <r>
    <x v="2286"/>
    <s v="Christine Glenn"/>
    <x v="0"/>
    <x v="0"/>
    <x v="5"/>
    <x v="2245"/>
    <x v="245"/>
    <x v="141"/>
    <x v="9"/>
    <x v="3"/>
    <n v="415497.99"/>
    <x v="0"/>
    <x v="11"/>
  </r>
  <r>
    <x v="2287"/>
    <s v="Alan Hooper"/>
    <x v="37"/>
    <x v="0"/>
    <x v="2"/>
    <x v="2246"/>
    <x v="87"/>
    <x v="15"/>
    <x v="4"/>
    <x v="3"/>
    <n v="97994.85"/>
    <x v="0"/>
    <x v="14"/>
  </r>
  <r>
    <x v="2288"/>
    <s v="Jose Hughes"/>
    <x v="35"/>
    <x v="0"/>
    <x v="6"/>
    <x v="2247"/>
    <x v="275"/>
    <x v="204"/>
    <x v="2"/>
    <x v="0"/>
    <n v="211622.17"/>
    <x v="1"/>
    <x v="9"/>
  </r>
  <r>
    <x v="2289"/>
    <s v="Timothy Green"/>
    <x v="59"/>
    <x v="1"/>
    <x v="0"/>
    <x v="2248"/>
    <x v="132"/>
    <x v="306"/>
    <x v="5"/>
    <x v="4"/>
    <n v="352709.59"/>
    <x v="2"/>
    <x v="14"/>
  </r>
  <r>
    <x v="2290"/>
    <s v="Barbara Roman"/>
    <x v="62"/>
    <x v="1"/>
    <x v="5"/>
    <x v="2249"/>
    <x v="268"/>
    <x v="366"/>
    <x v="2"/>
    <x v="0"/>
    <n v="247662.93"/>
    <x v="1"/>
    <x v="8"/>
  </r>
  <r>
    <x v="2291"/>
    <s v="Barbara Smith"/>
    <x v="29"/>
    <x v="1"/>
    <x v="0"/>
    <x v="2250"/>
    <x v="159"/>
    <x v="358"/>
    <x v="5"/>
    <x v="1"/>
    <n v="229234.42"/>
    <x v="0"/>
    <x v="4"/>
  </r>
  <r>
    <x v="2292"/>
    <s v="Mrs. Jennifer Rodriguez"/>
    <x v="37"/>
    <x v="0"/>
    <x v="0"/>
    <x v="2251"/>
    <x v="106"/>
    <x v="124"/>
    <x v="8"/>
    <x v="2"/>
    <n v="359340.12"/>
    <x v="0"/>
    <x v="1"/>
  </r>
  <r>
    <x v="2293"/>
    <s v="Heather Robinson"/>
    <x v="30"/>
    <x v="0"/>
    <x v="6"/>
    <x v="2252"/>
    <x v="307"/>
    <x v="141"/>
    <x v="0"/>
    <x v="4"/>
    <n v="345055.65"/>
    <x v="1"/>
    <x v="9"/>
  </r>
  <r>
    <x v="2294"/>
    <s v="Jessica Ortiz"/>
    <x v="11"/>
    <x v="1"/>
    <x v="4"/>
    <x v="2253"/>
    <x v="68"/>
    <x v="170"/>
    <x v="3"/>
    <x v="1"/>
    <n v="200185.98"/>
    <x v="2"/>
    <x v="0"/>
  </r>
  <r>
    <x v="2295"/>
    <s v="Grace Martinez"/>
    <x v="63"/>
    <x v="1"/>
    <x v="1"/>
    <x v="2254"/>
    <x v="293"/>
    <x v="138"/>
    <x v="6"/>
    <x v="2"/>
    <n v="499587.38"/>
    <x v="1"/>
    <x v="14"/>
  </r>
  <r>
    <x v="2296"/>
    <s v="Nathan Miranda"/>
    <x v="44"/>
    <x v="1"/>
    <x v="2"/>
    <x v="2255"/>
    <x v="9"/>
    <x v="64"/>
    <x v="8"/>
    <x v="3"/>
    <n v="169446.77"/>
    <x v="2"/>
    <x v="3"/>
  </r>
  <r>
    <x v="2297"/>
    <s v="Michelle Baker"/>
    <x v="55"/>
    <x v="1"/>
    <x v="6"/>
    <x v="2256"/>
    <x v="10"/>
    <x v="346"/>
    <x v="8"/>
    <x v="1"/>
    <n v="264984.32000000001"/>
    <x v="0"/>
    <x v="1"/>
  </r>
  <r>
    <x v="2298"/>
    <s v="Paul King"/>
    <x v="44"/>
    <x v="1"/>
    <x v="3"/>
    <x v="2257"/>
    <x v="164"/>
    <x v="347"/>
    <x v="8"/>
    <x v="5"/>
    <n v="159112.79999999999"/>
    <x v="2"/>
    <x v="9"/>
  </r>
  <r>
    <x v="2299"/>
    <s v="Heather Malone"/>
    <x v="58"/>
    <x v="0"/>
    <x v="3"/>
    <x v="2258"/>
    <x v="193"/>
    <x v="334"/>
    <x v="8"/>
    <x v="3"/>
    <n v="79394.89"/>
    <x v="2"/>
    <x v="11"/>
  </r>
  <r>
    <x v="2300"/>
    <s v="Matthew Wong"/>
    <x v="48"/>
    <x v="0"/>
    <x v="3"/>
    <x v="2259"/>
    <x v="204"/>
    <x v="371"/>
    <x v="7"/>
    <x v="1"/>
    <n v="395128.44"/>
    <x v="0"/>
    <x v="13"/>
  </r>
  <r>
    <x v="2301"/>
    <s v="Dennis Thomas"/>
    <x v="20"/>
    <x v="1"/>
    <x v="6"/>
    <x v="2260"/>
    <x v="231"/>
    <x v="193"/>
    <x v="8"/>
    <x v="2"/>
    <n v="220562.15"/>
    <x v="2"/>
    <x v="4"/>
  </r>
  <r>
    <x v="2302"/>
    <s v="Alexander Jenkins"/>
    <x v="9"/>
    <x v="1"/>
    <x v="2"/>
    <x v="2261"/>
    <x v="177"/>
    <x v="173"/>
    <x v="0"/>
    <x v="3"/>
    <n v="341717.88"/>
    <x v="0"/>
    <x v="11"/>
  </r>
  <r>
    <x v="2303"/>
    <s v="Jennifer Boyer"/>
    <x v="20"/>
    <x v="0"/>
    <x v="3"/>
    <x v="2262"/>
    <x v="91"/>
    <x v="34"/>
    <x v="9"/>
    <x v="5"/>
    <n v="103944.04"/>
    <x v="0"/>
    <x v="14"/>
  </r>
  <r>
    <x v="2304"/>
    <s v="Dr. Lori Robertson MD"/>
    <x v="30"/>
    <x v="0"/>
    <x v="4"/>
    <x v="2263"/>
    <x v="158"/>
    <x v="334"/>
    <x v="4"/>
    <x v="1"/>
    <n v="190664.33"/>
    <x v="0"/>
    <x v="6"/>
  </r>
  <r>
    <x v="2305"/>
    <s v="Jennifer Frye"/>
    <x v="15"/>
    <x v="0"/>
    <x v="4"/>
    <x v="2264"/>
    <x v="146"/>
    <x v="262"/>
    <x v="4"/>
    <x v="0"/>
    <n v="304876.15000000002"/>
    <x v="1"/>
    <x v="11"/>
  </r>
  <r>
    <x v="2306"/>
    <s v="Brittany Pearson"/>
    <x v="6"/>
    <x v="1"/>
    <x v="4"/>
    <x v="2265"/>
    <x v="143"/>
    <x v="145"/>
    <x v="2"/>
    <x v="4"/>
    <n v="220095.12"/>
    <x v="1"/>
    <x v="14"/>
  </r>
  <r>
    <x v="2307"/>
    <s v="Jacob Carter"/>
    <x v="41"/>
    <x v="1"/>
    <x v="5"/>
    <x v="2266"/>
    <x v="162"/>
    <x v="189"/>
    <x v="7"/>
    <x v="1"/>
    <n v="14054.71"/>
    <x v="1"/>
    <x v="11"/>
  </r>
  <r>
    <x v="2308"/>
    <s v="Christine Nixon"/>
    <x v="55"/>
    <x v="1"/>
    <x v="6"/>
    <x v="2267"/>
    <x v="339"/>
    <x v="199"/>
    <x v="2"/>
    <x v="1"/>
    <n v="366273.51"/>
    <x v="0"/>
    <x v="4"/>
  </r>
  <r>
    <x v="2309"/>
    <s v="Kathleen Johnson"/>
    <x v="70"/>
    <x v="1"/>
    <x v="1"/>
    <x v="2268"/>
    <x v="362"/>
    <x v="111"/>
    <x v="9"/>
    <x v="2"/>
    <n v="115805.41"/>
    <x v="2"/>
    <x v="10"/>
  </r>
  <r>
    <x v="2310"/>
    <s v="Felicia Sullivan"/>
    <x v="73"/>
    <x v="0"/>
    <x v="3"/>
    <x v="2269"/>
    <x v="346"/>
    <x v="129"/>
    <x v="1"/>
    <x v="2"/>
    <n v="350230.4"/>
    <x v="1"/>
    <x v="5"/>
  </r>
  <r>
    <x v="2311"/>
    <s v="Jacob Miranda"/>
    <x v="6"/>
    <x v="0"/>
    <x v="0"/>
    <x v="2270"/>
    <x v="33"/>
    <x v="349"/>
    <x v="6"/>
    <x v="3"/>
    <n v="481166.23"/>
    <x v="1"/>
    <x v="0"/>
  </r>
  <r>
    <x v="2312"/>
    <s v="Jennifer King"/>
    <x v="49"/>
    <x v="0"/>
    <x v="0"/>
    <x v="2271"/>
    <x v="49"/>
    <x v="325"/>
    <x v="5"/>
    <x v="5"/>
    <n v="400114.95"/>
    <x v="0"/>
    <x v="2"/>
  </r>
  <r>
    <x v="2313"/>
    <s v="Zachary Donovan"/>
    <x v="66"/>
    <x v="0"/>
    <x v="1"/>
    <x v="1714"/>
    <x v="364"/>
    <x v="218"/>
    <x v="0"/>
    <x v="5"/>
    <n v="152863.53"/>
    <x v="1"/>
    <x v="5"/>
  </r>
  <r>
    <x v="2314"/>
    <s v="Tyler Olson"/>
    <x v="70"/>
    <x v="1"/>
    <x v="2"/>
    <x v="2272"/>
    <x v="207"/>
    <x v="321"/>
    <x v="4"/>
    <x v="2"/>
    <n v="193939.6"/>
    <x v="2"/>
    <x v="9"/>
  </r>
  <r>
    <x v="2315"/>
    <s v="Tamara Lowe"/>
    <x v="21"/>
    <x v="0"/>
    <x v="5"/>
    <x v="2273"/>
    <x v="78"/>
    <x v="294"/>
    <x v="4"/>
    <x v="5"/>
    <n v="390359.9"/>
    <x v="2"/>
    <x v="2"/>
  </r>
  <r>
    <x v="2316"/>
    <s v="Yolanda Taylor"/>
    <x v="89"/>
    <x v="1"/>
    <x v="6"/>
    <x v="2274"/>
    <x v="305"/>
    <x v="340"/>
    <x v="3"/>
    <x v="5"/>
    <n v="35762.589999999997"/>
    <x v="0"/>
    <x v="2"/>
  </r>
  <r>
    <x v="2317"/>
    <s v="Kristin Wilson"/>
    <x v="69"/>
    <x v="0"/>
    <x v="1"/>
    <x v="2275"/>
    <x v="353"/>
    <x v="367"/>
    <x v="8"/>
    <x v="1"/>
    <n v="64616.959999999999"/>
    <x v="2"/>
    <x v="3"/>
  </r>
  <r>
    <x v="2318"/>
    <s v="Jason Arellano"/>
    <x v="41"/>
    <x v="1"/>
    <x v="3"/>
    <x v="2276"/>
    <x v="35"/>
    <x v="285"/>
    <x v="4"/>
    <x v="1"/>
    <n v="127021.18"/>
    <x v="1"/>
    <x v="2"/>
  </r>
  <r>
    <x v="2319"/>
    <s v="Amanda Wall"/>
    <x v="33"/>
    <x v="0"/>
    <x v="6"/>
    <x v="2277"/>
    <x v="185"/>
    <x v="261"/>
    <x v="2"/>
    <x v="3"/>
    <n v="109329.4"/>
    <x v="1"/>
    <x v="3"/>
  </r>
  <r>
    <x v="2320"/>
    <s v="Barry Logan"/>
    <x v="59"/>
    <x v="1"/>
    <x v="3"/>
    <x v="2278"/>
    <x v="314"/>
    <x v="86"/>
    <x v="6"/>
    <x v="5"/>
    <n v="168746.15"/>
    <x v="0"/>
    <x v="0"/>
  </r>
  <r>
    <x v="2321"/>
    <s v="David Hudson"/>
    <x v="15"/>
    <x v="0"/>
    <x v="6"/>
    <x v="2279"/>
    <x v="38"/>
    <x v="246"/>
    <x v="6"/>
    <x v="4"/>
    <n v="458952.8"/>
    <x v="1"/>
    <x v="14"/>
  </r>
  <r>
    <x v="2322"/>
    <s v="Elizabeth Bennett"/>
    <x v="41"/>
    <x v="0"/>
    <x v="1"/>
    <x v="2280"/>
    <x v="334"/>
    <x v="67"/>
    <x v="0"/>
    <x v="5"/>
    <n v="253736.78"/>
    <x v="0"/>
    <x v="3"/>
  </r>
  <r>
    <x v="2323"/>
    <s v="Jason Walsh"/>
    <x v="3"/>
    <x v="0"/>
    <x v="5"/>
    <x v="2281"/>
    <x v="19"/>
    <x v="126"/>
    <x v="3"/>
    <x v="3"/>
    <n v="243704.88"/>
    <x v="2"/>
    <x v="9"/>
  </r>
  <r>
    <x v="2324"/>
    <s v="Samantha Trevino"/>
    <x v="81"/>
    <x v="0"/>
    <x v="5"/>
    <x v="2282"/>
    <x v="98"/>
    <x v="53"/>
    <x v="0"/>
    <x v="4"/>
    <n v="194490.17"/>
    <x v="1"/>
    <x v="1"/>
  </r>
  <r>
    <x v="2325"/>
    <s v="Justin Lucas"/>
    <x v="45"/>
    <x v="1"/>
    <x v="3"/>
    <x v="2283"/>
    <x v="348"/>
    <x v="320"/>
    <x v="9"/>
    <x v="2"/>
    <n v="14200.51"/>
    <x v="0"/>
    <x v="5"/>
  </r>
  <r>
    <x v="2326"/>
    <s v="Robert Price"/>
    <x v="56"/>
    <x v="0"/>
    <x v="4"/>
    <x v="2284"/>
    <x v="120"/>
    <x v="247"/>
    <x v="6"/>
    <x v="5"/>
    <n v="214903.24"/>
    <x v="1"/>
    <x v="13"/>
  </r>
  <r>
    <x v="2327"/>
    <s v="Andrea Wall"/>
    <x v="25"/>
    <x v="1"/>
    <x v="5"/>
    <x v="2285"/>
    <x v="216"/>
    <x v="294"/>
    <x v="8"/>
    <x v="3"/>
    <n v="330381.59000000003"/>
    <x v="1"/>
    <x v="13"/>
  </r>
  <r>
    <x v="2328"/>
    <s v="Thomas Davis"/>
    <x v="29"/>
    <x v="1"/>
    <x v="5"/>
    <x v="2286"/>
    <x v="171"/>
    <x v="79"/>
    <x v="6"/>
    <x v="5"/>
    <n v="171335.13"/>
    <x v="0"/>
    <x v="5"/>
  </r>
  <r>
    <x v="2329"/>
    <s v="Margaret Zimmerman"/>
    <x v="65"/>
    <x v="1"/>
    <x v="6"/>
    <x v="2287"/>
    <x v="27"/>
    <x v="29"/>
    <x v="5"/>
    <x v="5"/>
    <n v="106433.54"/>
    <x v="0"/>
    <x v="2"/>
  </r>
  <r>
    <x v="2330"/>
    <s v="Karen Alvarado"/>
    <x v="67"/>
    <x v="0"/>
    <x v="4"/>
    <x v="2288"/>
    <x v="349"/>
    <x v="0"/>
    <x v="4"/>
    <x v="1"/>
    <n v="41136.44"/>
    <x v="2"/>
    <x v="2"/>
  </r>
  <r>
    <x v="2331"/>
    <s v="Emily Conway"/>
    <x v="19"/>
    <x v="0"/>
    <x v="2"/>
    <x v="2289"/>
    <x v="241"/>
    <x v="33"/>
    <x v="8"/>
    <x v="3"/>
    <n v="370541"/>
    <x v="0"/>
    <x v="2"/>
  </r>
  <r>
    <x v="2332"/>
    <s v="Sheri Baker MD"/>
    <x v="89"/>
    <x v="0"/>
    <x v="4"/>
    <x v="2290"/>
    <x v="290"/>
    <x v="245"/>
    <x v="9"/>
    <x v="5"/>
    <n v="414294.69"/>
    <x v="1"/>
    <x v="12"/>
  </r>
  <r>
    <x v="2333"/>
    <s v="Kristine Davis"/>
    <x v="23"/>
    <x v="0"/>
    <x v="1"/>
    <x v="2291"/>
    <x v="254"/>
    <x v="230"/>
    <x v="3"/>
    <x v="5"/>
    <n v="185491.05"/>
    <x v="1"/>
    <x v="0"/>
  </r>
  <r>
    <x v="2334"/>
    <s v="Tabitha Miranda"/>
    <x v="31"/>
    <x v="0"/>
    <x v="1"/>
    <x v="2105"/>
    <x v="30"/>
    <x v="33"/>
    <x v="5"/>
    <x v="3"/>
    <n v="216470.65"/>
    <x v="1"/>
    <x v="0"/>
  </r>
  <r>
    <x v="2335"/>
    <s v="Jay Rice"/>
    <x v="14"/>
    <x v="1"/>
    <x v="0"/>
    <x v="2292"/>
    <x v="243"/>
    <x v="131"/>
    <x v="4"/>
    <x v="3"/>
    <n v="375990.43"/>
    <x v="2"/>
    <x v="13"/>
  </r>
  <r>
    <x v="2336"/>
    <s v="Marcus Strong"/>
    <x v="84"/>
    <x v="1"/>
    <x v="6"/>
    <x v="2293"/>
    <x v="64"/>
    <x v="206"/>
    <x v="9"/>
    <x v="1"/>
    <n v="104088.49"/>
    <x v="2"/>
    <x v="10"/>
  </r>
  <r>
    <x v="2337"/>
    <s v="Caitlin Knight"/>
    <x v="51"/>
    <x v="1"/>
    <x v="2"/>
    <x v="2294"/>
    <x v="341"/>
    <x v="151"/>
    <x v="7"/>
    <x v="5"/>
    <n v="85035.28"/>
    <x v="2"/>
    <x v="11"/>
  </r>
  <r>
    <x v="2338"/>
    <s v="Tamara Callahan"/>
    <x v="36"/>
    <x v="0"/>
    <x v="0"/>
    <x v="2295"/>
    <x v="311"/>
    <x v="370"/>
    <x v="9"/>
    <x v="2"/>
    <n v="431209.46"/>
    <x v="1"/>
    <x v="2"/>
  </r>
  <r>
    <x v="2339"/>
    <s v="Bonnie Turner"/>
    <x v="27"/>
    <x v="0"/>
    <x v="1"/>
    <x v="2296"/>
    <x v="260"/>
    <x v="365"/>
    <x v="4"/>
    <x v="4"/>
    <n v="297755.42"/>
    <x v="2"/>
    <x v="2"/>
  </r>
  <r>
    <x v="2340"/>
    <s v="Caleb Aguilar"/>
    <x v="28"/>
    <x v="1"/>
    <x v="5"/>
    <x v="2297"/>
    <x v="9"/>
    <x v="256"/>
    <x v="2"/>
    <x v="5"/>
    <n v="138635.28"/>
    <x v="1"/>
    <x v="5"/>
  </r>
  <r>
    <x v="2341"/>
    <s v="Dennis Anderson"/>
    <x v="19"/>
    <x v="0"/>
    <x v="5"/>
    <x v="2298"/>
    <x v="193"/>
    <x v="113"/>
    <x v="2"/>
    <x v="3"/>
    <n v="272767.45"/>
    <x v="0"/>
    <x v="12"/>
  </r>
  <r>
    <x v="2342"/>
    <s v="Pamela Drake"/>
    <x v="17"/>
    <x v="1"/>
    <x v="4"/>
    <x v="2299"/>
    <x v="150"/>
    <x v="11"/>
    <x v="1"/>
    <x v="2"/>
    <n v="347174.94"/>
    <x v="2"/>
    <x v="0"/>
  </r>
  <r>
    <x v="2343"/>
    <s v="Manuel Sloan"/>
    <x v="34"/>
    <x v="1"/>
    <x v="4"/>
    <x v="2300"/>
    <x v="2"/>
    <x v="241"/>
    <x v="4"/>
    <x v="0"/>
    <n v="110487.23"/>
    <x v="1"/>
    <x v="11"/>
  </r>
  <r>
    <x v="2344"/>
    <s v="Ryan Shelton"/>
    <x v="24"/>
    <x v="1"/>
    <x v="5"/>
    <x v="2301"/>
    <x v="37"/>
    <x v="325"/>
    <x v="8"/>
    <x v="5"/>
    <n v="92345.19"/>
    <x v="0"/>
    <x v="14"/>
  </r>
  <r>
    <x v="2345"/>
    <s v="Deborah Johnson"/>
    <x v="53"/>
    <x v="1"/>
    <x v="0"/>
    <x v="2302"/>
    <x v="207"/>
    <x v="78"/>
    <x v="2"/>
    <x v="1"/>
    <n v="9707.0499999999993"/>
    <x v="2"/>
    <x v="11"/>
  </r>
  <r>
    <x v="2346"/>
    <s v="Rodney Lopez"/>
    <x v="52"/>
    <x v="1"/>
    <x v="4"/>
    <x v="2303"/>
    <x v="123"/>
    <x v="280"/>
    <x v="0"/>
    <x v="0"/>
    <n v="333666.65000000002"/>
    <x v="2"/>
    <x v="5"/>
  </r>
  <r>
    <x v="2347"/>
    <s v="Daniel Garza"/>
    <x v="29"/>
    <x v="0"/>
    <x v="4"/>
    <x v="2304"/>
    <x v="26"/>
    <x v="120"/>
    <x v="8"/>
    <x v="3"/>
    <n v="414842.96"/>
    <x v="1"/>
    <x v="7"/>
  </r>
  <r>
    <x v="2348"/>
    <s v="Joseph Arias"/>
    <x v="45"/>
    <x v="0"/>
    <x v="2"/>
    <x v="2305"/>
    <x v="236"/>
    <x v="320"/>
    <x v="7"/>
    <x v="0"/>
    <n v="200848.86"/>
    <x v="1"/>
    <x v="7"/>
  </r>
  <r>
    <x v="2349"/>
    <s v="Craig Brooks"/>
    <x v="35"/>
    <x v="0"/>
    <x v="6"/>
    <x v="2306"/>
    <x v="289"/>
    <x v="82"/>
    <x v="9"/>
    <x v="1"/>
    <n v="38787.31"/>
    <x v="0"/>
    <x v="13"/>
  </r>
  <r>
    <x v="2350"/>
    <s v="Ian Tyler"/>
    <x v="66"/>
    <x v="1"/>
    <x v="0"/>
    <x v="2307"/>
    <x v="248"/>
    <x v="236"/>
    <x v="8"/>
    <x v="2"/>
    <n v="29025.57"/>
    <x v="2"/>
    <x v="5"/>
  </r>
  <r>
    <x v="2351"/>
    <s v="Sharon Graham"/>
    <x v="1"/>
    <x v="1"/>
    <x v="3"/>
    <x v="2308"/>
    <x v="226"/>
    <x v="139"/>
    <x v="6"/>
    <x v="2"/>
    <n v="293020.34999999998"/>
    <x v="0"/>
    <x v="5"/>
  </r>
  <r>
    <x v="2352"/>
    <s v="Chad Stephenson"/>
    <x v="22"/>
    <x v="1"/>
    <x v="4"/>
    <x v="2309"/>
    <x v="337"/>
    <x v="49"/>
    <x v="8"/>
    <x v="2"/>
    <n v="408373.13"/>
    <x v="0"/>
    <x v="14"/>
  </r>
  <r>
    <x v="2353"/>
    <s v="Terri Morrison"/>
    <x v="11"/>
    <x v="0"/>
    <x v="3"/>
    <x v="2310"/>
    <x v="82"/>
    <x v="32"/>
    <x v="5"/>
    <x v="4"/>
    <n v="461439.84"/>
    <x v="1"/>
    <x v="13"/>
  </r>
  <r>
    <x v="2354"/>
    <s v="Crystal Floyd"/>
    <x v="13"/>
    <x v="1"/>
    <x v="6"/>
    <x v="2311"/>
    <x v="271"/>
    <x v="268"/>
    <x v="1"/>
    <x v="3"/>
    <n v="372527.77"/>
    <x v="1"/>
    <x v="0"/>
  </r>
  <r>
    <x v="2355"/>
    <s v="Natalie Juarez"/>
    <x v="47"/>
    <x v="0"/>
    <x v="5"/>
    <x v="2312"/>
    <x v="162"/>
    <x v="139"/>
    <x v="1"/>
    <x v="3"/>
    <n v="185500.39"/>
    <x v="2"/>
    <x v="3"/>
  </r>
  <r>
    <x v="2356"/>
    <s v="Cindy Ray"/>
    <x v="14"/>
    <x v="0"/>
    <x v="5"/>
    <x v="2313"/>
    <x v="223"/>
    <x v="18"/>
    <x v="1"/>
    <x v="5"/>
    <n v="377561.8"/>
    <x v="2"/>
    <x v="14"/>
  </r>
  <r>
    <x v="2357"/>
    <s v="Marissa Morris"/>
    <x v="42"/>
    <x v="1"/>
    <x v="5"/>
    <x v="2314"/>
    <x v="132"/>
    <x v="326"/>
    <x v="7"/>
    <x v="1"/>
    <n v="179684.1"/>
    <x v="1"/>
    <x v="8"/>
  </r>
  <r>
    <x v="2358"/>
    <s v="Dale Robertson"/>
    <x v="10"/>
    <x v="1"/>
    <x v="5"/>
    <x v="2315"/>
    <x v="287"/>
    <x v="275"/>
    <x v="4"/>
    <x v="5"/>
    <n v="436920.73"/>
    <x v="1"/>
    <x v="4"/>
  </r>
  <r>
    <x v="2359"/>
    <s v="Taylor Olson"/>
    <x v="46"/>
    <x v="1"/>
    <x v="6"/>
    <x v="2316"/>
    <x v="50"/>
    <x v="301"/>
    <x v="3"/>
    <x v="3"/>
    <n v="312907.84999999998"/>
    <x v="1"/>
    <x v="5"/>
  </r>
  <r>
    <x v="2360"/>
    <s v="Logan Moore"/>
    <x v="28"/>
    <x v="1"/>
    <x v="6"/>
    <x v="2317"/>
    <x v="193"/>
    <x v="174"/>
    <x v="7"/>
    <x v="1"/>
    <n v="388255.8"/>
    <x v="2"/>
    <x v="7"/>
  </r>
  <r>
    <x v="2361"/>
    <s v="Richard Sanders"/>
    <x v="28"/>
    <x v="0"/>
    <x v="0"/>
    <x v="2318"/>
    <x v="294"/>
    <x v="124"/>
    <x v="5"/>
    <x v="0"/>
    <n v="216012.06"/>
    <x v="1"/>
    <x v="11"/>
  </r>
  <r>
    <x v="2362"/>
    <s v="Robert Rogers"/>
    <x v="86"/>
    <x v="1"/>
    <x v="4"/>
    <x v="2319"/>
    <x v="126"/>
    <x v="360"/>
    <x v="1"/>
    <x v="5"/>
    <n v="195640.08"/>
    <x v="1"/>
    <x v="10"/>
  </r>
  <r>
    <x v="2363"/>
    <s v="Brianna Nguyen"/>
    <x v="51"/>
    <x v="0"/>
    <x v="4"/>
    <x v="2320"/>
    <x v="34"/>
    <x v="272"/>
    <x v="5"/>
    <x v="4"/>
    <n v="333150.25"/>
    <x v="2"/>
    <x v="5"/>
  </r>
  <r>
    <x v="2364"/>
    <s v="Morgan Smith"/>
    <x v="28"/>
    <x v="0"/>
    <x v="3"/>
    <x v="2321"/>
    <x v="253"/>
    <x v="11"/>
    <x v="8"/>
    <x v="0"/>
    <n v="434424.73"/>
    <x v="1"/>
    <x v="9"/>
  </r>
  <r>
    <x v="2365"/>
    <s v="Danielle Charles"/>
    <x v="29"/>
    <x v="1"/>
    <x v="3"/>
    <x v="2322"/>
    <x v="48"/>
    <x v="102"/>
    <x v="8"/>
    <x v="0"/>
    <n v="271787.78000000003"/>
    <x v="2"/>
    <x v="2"/>
  </r>
  <r>
    <x v="2366"/>
    <s v="John Richards"/>
    <x v="74"/>
    <x v="0"/>
    <x v="6"/>
    <x v="2323"/>
    <x v="343"/>
    <x v="355"/>
    <x v="0"/>
    <x v="2"/>
    <n v="389284.12"/>
    <x v="0"/>
    <x v="11"/>
  </r>
  <r>
    <x v="2367"/>
    <s v="Matthew Mckinney"/>
    <x v="31"/>
    <x v="0"/>
    <x v="3"/>
    <x v="2324"/>
    <x v="101"/>
    <x v="195"/>
    <x v="8"/>
    <x v="0"/>
    <n v="436858.11"/>
    <x v="1"/>
    <x v="3"/>
  </r>
  <r>
    <x v="2368"/>
    <s v="Jay Shaw"/>
    <x v="22"/>
    <x v="1"/>
    <x v="3"/>
    <x v="2325"/>
    <x v="291"/>
    <x v="259"/>
    <x v="7"/>
    <x v="1"/>
    <n v="300901.05"/>
    <x v="2"/>
    <x v="5"/>
  </r>
  <r>
    <x v="2369"/>
    <s v="Vanessa Wade"/>
    <x v="23"/>
    <x v="0"/>
    <x v="0"/>
    <x v="2326"/>
    <x v="146"/>
    <x v="12"/>
    <x v="1"/>
    <x v="0"/>
    <n v="394077.14"/>
    <x v="2"/>
    <x v="1"/>
  </r>
  <r>
    <x v="2370"/>
    <s v="Elizabeth Smith"/>
    <x v="25"/>
    <x v="0"/>
    <x v="4"/>
    <x v="2327"/>
    <x v="251"/>
    <x v="110"/>
    <x v="3"/>
    <x v="0"/>
    <n v="431620.42"/>
    <x v="1"/>
    <x v="12"/>
  </r>
  <r>
    <x v="2371"/>
    <s v="Daniel Stevenson"/>
    <x v="46"/>
    <x v="0"/>
    <x v="3"/>
    <x v="2328"/>
    <x v="216"/>
    <x v="272"/>
    <x v="2"/>
    <x v="5"/>
    <n v="419096.37"/>
    <x v="1"/>
    <x v="14"/>
  </r>
  <r>
    <x v="2372"/>
    <s v="Charles Torres"/>
    <x v="38"/>
    <x v="0"/>
    <x v="0"/>
    <x v="2329"/>
    <x v="202"/>
    <x v="84"/>
    <x v="2"/>
    <x v="3"/>
    <n v="347650.45"/>
    <x v="0"/>
    <x v="14"/>
  </r>
  <r>
    <x v="2373"/>
    <s v="Joshua Murphy"/>
    <x v="67"/>
    <x v="1"/>
    <x v="5"/>
    <x v="2330"/>
    <x v="144"/>
    <x v="237"/>
    <x v="1"/>
    <x v="4"/>
    <n v="499549.69"/>
    <x v="2"/>
    <x v="6"/>
  </r>
  <r>
    <x v="2374"/>
    <s v="Timothy Neal"/>
    <x v="46"/>
    <x v="1"/>
    <x v="6"/>
    <x v="2331"/>
    <x v="268"/>
    <x v="63"/>
    <x v="6"/>
    <x v="3"/>
    <n v="315991.28999999998"/>
    <x v="1"/>
    <x v="11"/>
  </r>
  <r>
    <x v="2375"/>
    <s v="Brittney Green"/>
    <x v="7"/>
    <x v="1"/>
    <x v="4"/>
    <x v="2332"/>
    <x v="199"/>
    <x v="168"/>
    <x v="6"/>
    <x v="5"/>
    <n v="180382.59"/>
    <x v="1"/>
    <x v="13"/>
  </r>
  <r>
    <x v="2376"/>
    <s v="Charles Pruitt"/>
    <x v="44"/>
    <x v="0"/>
    <x v="4"/>
    <x v="2333"/>
    <x v="146"/>
    <x v="228"/>
    <x v="4"/>
    <x v="0"/>
    <n v="152022.76"/>
    <x v="2"/>
    <x v="7"/>
  </r>
  <r>
    <x v="2377"/>
    <s v="Ann Gallegos"/>
    <x v="54"/>
    <x v="1"/>
    <x v="3"/>
    <x v="2334"/>
    <x v="200"/>
    <x v="219"/>
    <x v="3"/>
    <x v="2"/>
    <n v="89187.07"/>
    <x v="1"/>
    <x v="2"/>
  </r>
  <r>
    <x v="2378"/>
    <s v="Debra Rivera"/>
    <x v="77"/>
    <x v="0"/>
    <x v="2"/>
    <x v="706"/>
    <x v="181"/>
    <x v="323"/>
    <x v="4"/>
    <x v="1"/>
    <n v="368037.55"/>
    <x v="0"/>
    <x v="0"/>
  </r>
  <r>
    <x v="2379"/>
    <s v="Kevin Cohen"/>
    <x v="62"/>
    <x v="1"/>
    <x v="6"/>
    <x v="2335"/>
    <x v="362"/>
    <x v="37"/>
    <x v="0"/>
    <x v="0"/>
    <n v="362984.02"/>
    <x v="2"/>
    <x v="12"/>
  </r>
  <r>
    <x v="2380"/>
    <s v="Jeremy Williams"/>
    <x v="56"/>
    <x v="0"/>
    <x v="3"/>
    <x v="2336"/>
    <x v="11"/>
    <x v="242"/>
    <x v="4"/>
    <x v="3"/>
    <n v="262846.08000000002"/>
    <x v="0"/>
    <x v="3"/>
  </r>
  <r>
    <x v="2381"/>
    <s v="Daniel Smith"/>
    <x v="50"/>
    <x v="1"/>
    <x v="5"/>
    <x v="2337"/>
    <x v="300"/>
    <x v="194"/>
    <x v="6"/>
    <x v="5"/>
    <n v="380168.09"/>
    <x v="2"/>
    <x v="4"/>
  </r>
  <r>
    <x v="2382"/>
    <s v="Nicholas Kim"/>
    <x v="29"/>
    <x v="0"/>
    <x v="4"/>
    <x v="2338"/>
    <x v="165"/>
    <x v="309"/>
    <x v="2"/>
    <x v="3"/>
    <n v="445553.56"/>
    <x v="0"/>
    <x v="10"/>
  </r>
  <r>
    <x v="2383"/>
    <s v="Kevin Hodge"/>
    <x v="71"/>
    <x v="0"/>
    <x v="3"/>
    <x v="2339"/>
    <x v="181"/>
    <x v="325"/>
    <x v="2"/>
    <x v="1"/>
    <n v="270486.83"/>
    <x v="1"/>
    <x v="13"/>
  </r>
  <r>
    <x v="2384"/>
    <s v="William Kelly"/>
    <x v="76"/>
    <x v="0"/>
    <x v="2"/>
    <x v="2340"/>
    <x v="218"/>
    <x v="41"/>
    <x v="6"/>
    <x v="4"/>
    <n v="41956.61"/>
    <x v="0"/>
    <x v="9"/>
  </r>
  <r>
    <x v="2385"/>
    <s v="Jeffrey Briggs"/>
    <x v="72"/>
    <x v="1"/>
    <x v="1"/>
    <x v="796"/>
    <x v="33"/>
    <x v="288"/>
    <x v="4"/>
    <x v="2"/>
    <n v="319788.52"/>
    <x v="1"/>
    <x v="10"/>
  </r>
  <r>
    <x v="2386"/>
    <s v="Luis Williams"/>
    <x v="71"/>
    <x v="0"/>
    <x v="2"/>
    <x v="2341"/>
    <x v="279"/>
    <x v="158"/>
    <x v="0"/>
    <x v="5"/>
    <n v="360270.61"/>
    <x v="2"/>
    <x v="14"/>
  </r>
  <r>
    <x v="2387"/>
    <s v="Paul Bean"/>
    <x v="64"/>
    <x v="1"/>
    <x v="3"/>
    <x v="2342"/>
    <x v="246"/>
    <x v="21"/>
    <x v="7"/>
    <x v="1"/>
    <n v="283212.92"/>
    <x v="1"/>
    <x v="8"/>
  </r>
  <r>
    <x v="2388"/>
    <s v="Kimberly Beard"/>
    <x v="18"/>
    <x v="0"/>
    <x v="1"/>
    <x v="2343"/>
    <x v="111"/>
    <x v="349"/>
    <x v="3"/>
    <x v="4"/>
    <n v="115901.21"/>
    <x v="1"/>
    <x v="5"/>
  </r>
  <r>
    <x v="2389"/>
    <s v="Robert Ware"/>
    <x v="3"/>
    <x v="1"/>
    <x v="1"/>
    <x v="2344"/>
    <x v="165"/>
    <x v="288"/>
    <x v="0"/>
    <x v="2"/>
    <n v="247377.71"/>
    <x v="2"/>
    <x v="1"/>
  </r>
  <r>
    <x v="2390"/>
    <s v="Joe Davis"/>
    <x v="87"/>
    <x v="1"/>
    <x v="3"/>
    <x v="2345"/>
    <x v="356"/>
    <x v="230"/>
    <x v="6"/>
    <x v="2"/>
    <n v="472700.27"/>
    <x v="1"/>
    <x v="11"/>
  </r>
  <r>
    <x v="2391"/>
    <s v="Thomas Smith"/>
    <x v="36"/>
    <x v="1"/>
    <x v="1"/>
    <x v="2346"/>
    <x v="299"/>
    <x v="55"/>
    <x v="3"/>
    <x v="4"/>
    <n v="5845.77"/>
    <x v="1"/>
    <x v="7"/>
  </r>
  <r>
    <x v="2392"/>
    <s v="Peter Hernandez"/>
    <x v="75"/>
    <x v="0"/>
    <x v="1"/>
    <x v="2347"/>
    <x v="26"/>
    <x v="301"/>
    <x v="8"/>
    <x v="4"/>
    <n v="200485.61"/>
    <x v="1"/>
    <x v="0"/>
  </r>
  <r>
    <x v="2393"/>
    <s v="Christopher Cooper"/>
    <x v="26"/>
    <x v="1"/>
    <x v="2"/>
    <x v="2348"/>
    <x v="115"/>
    <x v="246"/>
    <x v="2"/>
    <x v="4"/>
    <n v="254837.17"/>
    <x v="2"/>
    <x v="11"/>
  </r>
  <r>
    <x v="2394"/>
    <s v="Christian Norris"/>
    <x v="38"/>
    <x v="0"/>
    <x v="5"/>
    <x v="2349"/>
    <x v="343"/>
    <x v="329"/>
    <x v="9"/>
    <x v="1"/>
    <n v="358190.84"/>
    <x v="0"/>
    <x v="13"/>
  </r>
  <r>
    <x v="2395"/>
    <s v="Theresa Lopez"/>
    <x v="61"/>
    <x v="1"/>
    <x v="2"/>
    <x v="2350"/>
    <x v="104"/>
    <x v="169"/>
    <x v="6"/>
    <x v="0"/>
    <n v="304539.42"/>
    <x v="1"/>
    <x v="13"/>
  </r>
  <r>
    <x v="2396"/>
    <s v="Danielle Holland"/>
    <x v="65"/>
    <x v="0"/>
    <x v="2"/>
    <x v="2351"/>
    <x v="17"/>
    <x v="117"/>
    <x v="6"/>
    <x v="1"/>
    <n v="378129.15"/>
    <x v="1"/>
    <x v="1"/>
  </r>
  <r>
    <x v="2397"/>
    <s v="Thomas Martinez"/>
    <x v="42"/>
    <x v="0"/>
    <x v="5"/>
    <x v="2352"/>
    <x v="193"/>
    <x v="339"/>
    <x v="7"/>
    <x v="3"/>
    <n v="79629.990000000005"/>
    <x v="2"/>
    <x v="14"/>
  </r>
  <r>
    <x v="2398"/>
    <s v="Jeremy Edwards"/>
    <x v="52"/>
    <x v="0"/>
    <x v="0"/>
    <x v="2353"/>
    <x v="178"/>
    <x v="260"/>
    <x v="4"/>
    <x v="5"/>
    <n v="175056.73"/>
    <x v="2"/>
    <x v="8"/>
  </r>
  <r>
    <x v="2399"/>
    <s v="Melinda Bennett"/>
    <x v="3"/>
    <x v="1"/>
    <x v="6"/>
    <x v="2354"/>
    <x v="291"/>
    <x v="76"/>
    <x v="0"/>
    <x v="1"/>
    <n v="425841.47"/>
    <x v="2"/>
    <x v="7"/>
  </r>
  <r>
    <x v="2400"/>
    <s v="Tina Serrano"/>
    <x v="1"/>
    <x v="1"/>
    <x v="0"/>
    <x v="2355"/>
    <x v="80"/>
    <x v="83"/>
    <x v="0"/>
    <x v="0"/>
    <n v="471777.9"/>
    <x v="1"/>
    <x v="14"/>
  </r>
  <r>
    <x v="2401"/>
    <s v="Rhonda Valenzuela"/>
    <x v="50"/>
    <x v="1"/>
    <x v="1"/>
    <x v="2237"/>
    <x v="294"/>
    <x v="367"/>
    <x v="9"/>
    <x v="4"/>
    <n v="379270.81"/>
    <x v="1"/>
    <x v="1"/>
  </r>
  <r>
    <x v="2402"/>
    <s v="Keith Cole"/>
    <x v="16"/>
    <x v="1"/>
    <x v="3"/>
    <x v="401"/>
    <x v="249"/>
    <x v="299"/>
    <x v="6"/>
    <x v="4"/>
    <n v="19922.12"/>
    <x v="2"/>
    <x v="9"/>
  </r>
  <r>
    <x v="2403"/>
    <s v="Justin Martinez"/>
    <x v="79"/>
    <x v="0"/>
    <x v="0"/>
    <x v="2356"/>
    <x v="290"/>
    <x v="230"/>
    <x v="7"/>
    <x v="3"/>
    <n v="277492.92"/>
    <x v="0"/>
    <x v="7"/>
  </r>
  <r>
    <x v="2404"/>
    <s v="Lawrence Martin"/>
    <x v="17"/>
    <x v="0"/>
    <x v="3"/>
    <x v="2357"/>
    <x v="79"/>
    <x v="359"/>
    <x v="6"/>
    <x v="1"/>
    <n v="402526.24"/>
    <x v="0"/>
    <x v="9"/>
  </r>
  <r>
    <x v="2405"/>
    <s v="Courtney Allen"/>
    <x v="80"/>
    <x v="0"/>
    <x v="4"/>
    <x v="2358"/>
    <x v="69"/>
    <x v="193"/>
    <x v="8"/>
    <x v="1"/>
    <n v="378828.11"/>
    <x v="0"/>
    <x v="3"/>
  </r>
  <r>
    <x v="2406"/>
    <s v="Michael Shah"/>
    <x v="67"/>
    <x v="0"/>
    <x v="6"/>
    <x v="2359"/>
    <x v="250"/>
    <x v="35"/>
    <x v="5"/>
    <x v="5"/>
    <n v="32572.74"/>
    <x v="1"/>
    <x v="8"/>
  </r>
  <r>
    <x v="2407"/>
    <s v="Stephanie Bennett"/>
    <x v="73"/>
    <x v="1"/>
    <x v="4"/>
    <x v="2360"/>
    <x v="56"/>
    <x v="242"/>
    <x v="0"/>
    <x v="1"/>
    <n v="472942.43"/>
    <x v="2"/>
    <x v="2"/>
  </r>
  <r>
    <x v="2408"/>
    <s v="Alexander Phillips"/>
    <x v="23"/>
    <x v="0"/>
    <x v="5"/>
    <x v="2361"/>
    <x v="311"/>
    <x v="135"/>
    <x v="2"/>
    <x v="0"/>
    <n v="24453.65"/>
    <x v="2"/>
    <x v="7"/>
  </r>
  <r>
    <x v="2409"/>
    <s v="Cassandra Martinez"/>
    <x v="21"/>
    <x v="0"/>
    <x v="0"/>
    <x v="844"/>
    <x v="122"/>
    <x v="83"/>
    <x v="4"/>
    <x v="1"/>
    <n v="271170.74"/>
    <x v="0"/>
    <x v="7"/>
  </r>
  <r>
    <x v="2410"/>
    <s v="Xavier Reed"/>
    <x v="17"/>
    <x v="0"/>
    <x v="0"/>
    <x v="950"/>
    <x v="175"/>
    <x v="350"/>
    <x v="8"/>
    <x v="4"/>
    <n v="103243.35"/>
    <x v="1"/>
    <x v="11"/>
  </r>
  <r>
    <x v="2411"/>
    <s v="Kristin Randolph"/>
    <x v="55"/>
    <x v="1"/>
    <x v="0"/>
    <x v="2362"/>
    <x v="320"/>
    <x v="249"/>
    <x v="5"/>
    <x v="1"/>
    <n v="34197.279999999999"/>
    <x v="1"/>
    <x v="10"/>
  </r>
  <r>
    <x v="2412"/>
    <s v="Elijah Brown"/>
    <x v="68"/>
    <x v="0"/>
    <x v="1"/>
    <x v="2363"/>
    <x v="364"/>
    <x v="90"/>
    <x v="7"/>
    <x v="4"/>
    <n v="135443.47"/>
    <x v="2"/>
    <x v="12"/>
  </r>
  <r>
    <x v="2413"/>
    <s v="Jim Lopez"/>
    <x v="58"/>
    <x v="1"/>
    <x v="6"/>
    <x v="2364"/>
    <x v="340"/>
    <x v="36"/>
    <x v="7"/>
    <x v="5"/>
    <n v="183842.72"/>
    <x v="1"/>
    <x v="13"/>
  </r>
  <r>
    <x v="2414"/>
    <s v="Amy Carr"/>
    <x v="25"/>
    <x v="0"/>
    <x v="0"/>
    <x v="2365"/>
    <x v="351"/>
    <x v="237"/>
    <x v="3"/>
    <x v="3"/>
    <n v="205611.61"/>
    <x v="0"/>
    <x v="2"/>
  </r>
  <r>
    <x v="2415"/>
    <s v="Rebecca Blankenship"/>
    <x v="66"/>
    <x v="0"/>
    <x v="3"/>
    <x v="2366"/>
    <x v="174"/>
    <x v="149"/>
    <x v="8"/>
    <x v="1"/>
    <n v="144223.57999999999"/>
    <x v="2"/>
    <x v="13"/>
  </r>
  <r>
    <x v="2416"/>
    <s v="Adam French"/>
    <x v="52"/>
    <x v="0"/>
    <x v="4"/>
    <x v="2367"/>
    <x v="22"/>
    <x v="211"/>
    <x v="2"/>
    <x v="2"/>
    <n v="348007.94"/>
    <x v="0"/>
    <x v="0"/>
  </r>
  <r>
    <x v="2417"/>
    <s v="Dylan Anderson"/>
    <x v="35"/>
    <x v="1"/>
    <x v="3"/>
    <x v="2368"/>
    <x v="77"/>
    <x v="371"/>
    <x v="2"/>
    <x v="1"/>
    <n v="354556.7"/>
    <x v="1"/>
    <x v="0"/>
  </r>
  <r>
    <x v="2418"/>
    <s v="David Allen"/>
    <x v="56"/>
    <x v="0"/>
    <x v="4"/>
    <x v="2369"/>
    <x v="340"/>
    <x v="298"/>
    <x v="0"/>
    <x v="2"/>
    <n v="114881.06"/>
    <x v="2"/>
    <x v="1"/>
  </r>
  <r>
    <x v="2419"/>
    <s v="Joshua Munoz"/>
    <x v="23"/>
    <x v="0"/>
    <x v="5"/>
    <x v="2370"/>
    <x v="79"/>
    <x v="195"/>
    <x v="9"/>
    <x v="4"/>
    <n v="411935.83"/>
    <x v="1"/>
    <x v="14"/>
  </r>
  <r>
    <x v="2420"/>
    <s v="Jerome Nichols"/>
    <x v="79"/>
    <x v="1"/>
    <x v="4"/>
    <x v="2371"/>
    <x v="193"/>
    <x v="306"/>
    <x v="5"/>
    <x v="4"/>
    <n v="317074.77"/>
    <x v="1"/>
    <x v="4"/>
  </r>
  <r>
    <x v="2421"/>
    <s v="Maria Young"/>
    <x v="36"/>
    <x v="1"/>
    <x v="6"/>
    <x v="2372"/>
    <x v="349"/>
    <x v="186"/>
    <x v="9"/>
    <x v="1"/>
    <n v="471736.32000000001"/>
    <x v="1"/>
    <x v="0"/>
  </r>
  <r>
    <x v="2422"/>
    <s v="Maria Good"/>
    <x v="43"/>
    <x v="1"/>
    <x v="5"/>
    <x v="2373"/>
    <x v="24"/>
    <x v="58"/>
    <x v="1"/>
    <x v="3"/>
    <n v="116955.95"/>
    <x v="1"/>
    <x v="6"/>
  </r>
  <r>
    <x v="2423"/>
    <s v="Dillon Brewer"/>
    <x v="69"/>
    <x v="1"/>
    <x v="4"/>
    <x v="2374"/>
    <x v="46"/>
    <x v="180"/>
    <x v="2"/>
    <x v="5"/>
    <n v="461964.01"/>
    <x v="2"/>
    <x v="12"/>
  </r>
  <r>
    <x v="2424"/>
    <s v="Madison Dunn"/>
    <x v="22"/>
    <x v="0"/>
    <x v="5"/>
    <x v="2375"/>
    <x v="66"/>
    <x v="57"/>
    <x v="5"/>
    <x v="0"/>
    <n v="168333.65"/>
    <x v="2"/>
    <x v="11"/>
  </r>
  <r>
    <x v="2425"/>
    <s v="Colleen Yates"/>
    <x v="59"/>
    <x v="1"/>
    <x v="2"/>
    <x v="2376"/>
    <x v="185"/>
    <x v="52"/>
    <x v="4"/>
    <x v="4"/>
    <n v="390580.12"/>
    <x v="2"/>
    <x v="10"/>
  </r>
  <r>
    <x v="2426"/>
    <s v="Jordan Roberts"/>
    <x v="13"/>
    <x v="1"/>
    <x v="4"/>
    <x v="2377"/>
    <x v="272"/>
    <x v="226"/>
    <x v="2"/>
    <x v="5"/>
    <n v="371508.17"/>
    <x v="1"/>
    <x v="12"/>
  </r>
  <r>
    <x v="2427"/>
    <s v="Crystal Conway"/>
    <x v="20"/>
    <x v="0"/>
    <x v="5"/>
    <x v="2378"/>
    <x v="341"/>
    <x v="179"/>
    <x v="0"/>
    <x v="2"/>
    <n v="347992.73"/>
    <x v="2"/>
    <x v="4"/>
  </r>
  <r>
    <x v="2428"/>
    <s v="Christopher Stevens DDS"/>
    <x v="3"/>
    <x v="1"/>
    <x v="2"/>
    <x v="2379"/>
    <x v="213"/>
    <x v="115"/>
    <x v="3"/>
    <x v="2"/>
    <n v="358471.98"/>
    <x v="0"/>
    <x v="8"/>
  </r>
  <r>
    <x v="2429"/>
    <s v="Timothy Smith"/>
    <x v="31"/>
    <x v="0"/>
    <x v="2"/>
    <x v="2380"/>
    <x v="355"/>
    <x v="336"/>
    <x v="5"/>
    <x v="1"/>
    <n v="35146.129999999997"/>
    <x v="2"/>
    <x v="5"/>
  </r>
  <r>
    <x v="2430"/>
    <s v="Christine King"/>
    <x v="65"/>
    <x v="0"/>
    <x v="4"/>
    <x v="2381"/>
    <x v="304"/>
    <x v="360"/>
    <x v="4"/>
    <x v="1"/>
    <n v="479243.59"/>
    <x v="2"/>
    <x v="5"/>
  </r>
  <r>
    <x v="2431"/>
    <s v="Dr. Kenneth Johnson MD"/>
    <x v="1"/>
    <x v="0"/>
    <x v="4"/>
    <x v="2382"/>
    <x v="90"/>
    <x v="187"/>
    <x v="3"/>
    <x v="4"/>
    <n v="183288.38"/>
    <x v="0"/>
    <x v="11"/>
  </r>
  <r>
    <x v="2432"/>
    <s v="Emily Price"/>
    <x v="31"/>
    <x v="1"/>
    <x v="2"/>
    <x v="2383"/>
    <x v="204"/>
    <x v="171"/>
    <x v="2"/>
    <x v="5"/>
    <n v="482051.86"/>
    <x v="0"/>
    <x v="4"/>
  </r>
  <r>
    <x v="2433"/>
    <s v="James Robertson"/>
    <x v="71"/>
    <x v="1"/>
    <x v="4"/>
    <x v="2384"/>
    <x v="319"/>
    <x v="61"/>
    <x v="3"/>
    <x v="5"/>
    <n v="164833.9"/>
    <x v="2"/>
    <x v="10"/>
  </r>
  <r>
    <x v="2434"/>
    <s v="Vincent Savage"/>
    <x v="22"/>
    <x v="0"/>
    <x v="3"/>
    <x v="2385"/>
    <x v="330"/>
    <x v="191"/>
    <x v="6"/>
    <x v="3"/>
    <n v="29557.62"/>
    <x v="1"/>
    <x v="7"/>
  </r>
  <r>
    <x v="2435"/>
    <s v="Deborah Greene"/>
    <x v="61"/>
    <x v="0"/>
    <x v="2"/>
    <x v="2386"/>
    <x v="137"/>
    <x v="292"/>
    <x v="3"/>
    <x v="4"/>
    <n v="90529.25"/>
    <x v="2"/>
    <x v="4"/>
  </r>
  <r>
    <x v="2436"/>
    <s v="Jacob Greene"/>
    <x v="58"/>
    <x v="0"/>
    <x v="5"/>
    <x v="2387"/>
    <x v="251"/>
    <x v="118"/>
    <x v="7"/>
    <x v="5"/>
    <n v="60921.66"/>
    <x v="0"/>
    <x v="7"/>
  </r>
  <r>
    <x v="2437"/>
    <s v="Dr. Amber Marquez"/>
    <x v="41"/>
    <x v="0"/>
    <x v="3"/>
    <x v="2388"/>
    <x v="255"/>
    <x v="173"/>
    <x v="1"/>
    <x v="0"/>
    <n v="408599.95"/>
    <x v="2"/>
    <x v="6"/>
  </r>
  <r>
    <x v="2438"/>
    <s v="Anthony Graham"/>
    <x v="47"/>
    <x v="1"/>
    <x v="1"/>
    <x v="2389"/>
    <x v="192"/>
    <x v="113"/>
    <x v="5"/>
    <x v="4"/>
    <n v="480396.68"/>
    <x v="1"/>
    <x v="10"/>
  </r>
  <r>
    <x v="2439"/>
    <s v="Patty Simon"/>
    <x v="62"/>
    <x v="0"/>
    <x v="3"/>
    <x v="2390"/>
    <x v="150"/>
    <x v="133"/>
    <x v="4"/>
    <x v="3"/>
    <n v="471003.43"/>
    <x v="2"/>
    <x v="4"/>
  </r>
  <r>
    <x v="2440"/>
    <s v="Timothy Cline"/>
    <x v="31"/>
    <x v="1"/>
    <x v="4"/>
    <x v="2391"/>
    <x v="297"/>
    <x v="46"/>
    <x v="1"/>
    <x v="5"/>
    <n v="277998.77"/>
    <x v="2"/>
    <x v="3"/>
  </r>
  <r>
    <x v="2441"/>
    <s v="Brooke Miller"/>
    <x v="78"/>
    <x v="1"/>
    <x v="0"/>
    <x v="2392"/>
    <x v="26"/>
    <x v="186"/>
    <x v="5"/>
    <x v="5"/>
    <n v="38786.17"/>
    <x v="2"/>
    <x v="10"/>
  </r>
  <r>
    <x v="2442"/>
    <s v="Laurie Baker"/>
    <x v="60"/>
    <x v="1"/>
    <x v="1"/>
    <x v="2393"/>
    <x v="97"/>
    <x v="143"/>
    <x v="6"/>
    <x v="1"/>
    <n v="53898.34"/>
    <x v="0"/>
    <x v="5"/>
  </r>
  <r>
    <x v="2443"/>
    <s v="Sandra Hall"/>
    <x v="34"/>
    <x v="1"/>
    <x v="1"/>
    <x v="2394"/>
    <x v="213"/>
    <x v="115"/>
    <x v="5"/>
    <x v="5"/>
    <n v="405600.36"/>
    <x v="2"/>
    <x v="8"/>
  </r>
  <r>
    <x v="2444"/>
    <s v="Mrs. Dawn Gregory MD"/>
    <x v="35"/>
    <x v="0"/>
    <x v="6"/>
    <x v="2395"/>
    <x v="164"/>
    <x v="318"/>
    <x v="5"/>
    <x v="1"/>
    <n v="246127.32"/>
    <x v="1"/>
    <x v="1"/>
  </r>
  <r>
    <x v="2445"/>
    <s v="Tracy Roberts"/>
    <x v="65"/>
    <x v="1"/>
    <x v="6"/>
    <x v="2396"/>
    <x v="185"/>
    <x v="327"/>
    <x v="5"/>
    <x v="3"/>
    <n v="10916.45"/>
    <x v="1"/>
    <x v="2"/>
  </r>
  <r>
    <x v="2446"/>
    <s v="Joseph Montoya"/>
    <x v="31"/>
    <x v="1"/>
    <x v="0"/>
    <x v="2397"/>
    <x v="224"/>
    <x v="363"/>
    <x v="3"/>
    <x v="4"/>
    <n v="373830.42"/>
    <x v="1"/>
    <x v="5"/>
  </r>
  <r>
    <x v="2447"/>
    <s v="Valerie Foley"/>
    <x v="75"/>
    <x v="0"/>
    <x v="3"/>
    <x v="1107"/>
    <x v="267"/>
    <x v="259"/>
    <x v="1"/>
    <x v="4"/>
    <n v="202382.18"/>
    <x v="1"/>
    <x v="3"/>
  </r>
  <r>
    <x v="2448"/>
    <s v="Jennifer Taylor"/>
    <x v="89"/>
    <x v="0"/>
    <x v="0"/>
    <x v="2398"/>
    <x v="357"/>
    <x v="289"/>
    <x v="5"/>
    <x v="3"/>
    <n v="271747.65000000002"/>
    <x v="0"/>
    <x v="14"/>
  </r>
  <r>
    <x v="2449"/>
    <s v="Kevin Thompson"/>
    <x v="25"/>
    <x v="1"/>
    <x v="6"/>
    <x v="2399"/>
    <x v="20"/>
    <x v="87"/>
    <x v="9"/>
    <x v="1"/>
    <n v="21559.279999999999"/>
    <x v="1"/>
    <x v="2"/>
  </r>
  <r>
    <x v="2450"/>
    <s v="Michael Armstrong"/>
    <x v="60"/>
    <x v="0"/>
    <x v="2"/>
    <x v="2400"/>
    <x v="58"/>
    <x v="80"/>
    <x v="3"/>
    <x v="1"/>
    <n v="180473.87"/>
    <x v="2"/>
    <x v="1"/>
  </r>
  <r>
    <x v="2451"/>
    <s v="Kara Bates"/>
    <x v="87"/>
    <x v="0"/>
    <x v="5"/>
    <x v="2401"/>
    <x v="261"/>
    <x v="297"/>
    <x v="7"/>
    <x v="1"/>
    <n v="189863.47"/>
    <x v="1"/>
    <x v="4"/>
  </r>
  <r>
    <x v="2452"/>
    <s v="Alexis Hawkins"/>
    <x v="78"/>
    <x v="0"/>
    <x v="6"/>
    <x v="2402"/>
    <x v="10"/>
    <x v="300"/>
    <x v="3"/>
    <x v="1"/>
    <n v="306336.2"/>
    <x v="1"/>
    <x v="6"/>
  </r>
  <r>
    <x v="2453"/>
    <s v="Cassandra Mcintyre"/>
    <x v="7"/>
    <x v="0"/>
    <x v="4"/>
    <x v="2403"/>
    <x v="298"/>
    <x v="134"/>
    <x v="3"/>
    <x v="0"/>
    <n v="112699.32"/>
    <x v="0"/>
    <x v="14"/>
  </r>
  <r>
    <x v="2454"/>
    <s v="Karen Huang"/>
    <x v="21"/>
    <x v="1"/>
    <x v="5"/>
    <x v="2404"/>
    <x v="246"/>
    <x v="365"/>
    <x v="1"/>
    <x v="4"/>
    <n v="159545.73000000001"/>
    <x v="1"/>
    <x v="7"/>
  </r>
  <r>
    <x v="2455"/>
    <s v="Riley Cisneros"/>
    <x v="12"/>
    <x v="0"/>
    <x v="4"/>
    <x v="2405"/>
    <x v="99"/>
    <x v="369"/>
    <x v="2"/>
    <x v="3"/>
    <n v="28815.88"/>
    <x v="1"/>
    <x v="6"/>
  </r>
  <r>
    <x v="2456"/>
    <s v="Joseph Hopkins"/>
    <x v="71"/>
    <x v="1"/>
    <x v="5"/>
    <x v="2406"/>
    <x v="329"/>
    <x v="367"/>
    <x v="9"/>
    <x v="2"/>
    <n v="316913.59999999998"/>
    <x v="0"/>
    <x v="4"/>
  </r>
  <r>
    <x v="2457"/>
    <s v="Brian Mccormick"/>
    <x v="68"/>
    <x v="0"/>
    <x v="6"/>
    <x v="2407"/>
    <x v="53"/>
    <x v="174"/>
    <x v="9"/>
    <x v="5"/>
    <n v="149302.21"/>
    <x v="1"/>
    <x v="13"/>
  </r>
  <r>
    <x v="2458"/>
    <s v="Jason Jones"/>
    <x v="68"/>
    <x v="1"/>
    <x v="2"/>
    <x v="2408"/>
    <x v="35"/>
    <x v="291"/>
    <x v="9"/>
    <x v="5"/>
    <n v="334535.37"/>
    <x v="2"/>
    <x v="10"/>
  </r>
  <r>
    <x v="2459"/>
    <s v="Joshua Lopez"/>
    <x v="15"/>
    <x v="1"/>
    <x v="2"/>
    <x v="2409"/>
    <x v="232"/>
    <x v="36"/>
    <x v="7"/>
    <x v="3"/>
    <n v="343374.47"/>
    <x v="1"/>
    <x v="3"/>
  </r>
  <r>
    <x v="2460"/>
    <s v="Brittany Olsen"/>
    <x v="25"/>
    <x v="0"/>
    <x v="4"/>
    <x v="2410"/>
    <x v="201"/>
    <x v="160"/>
    <x v="5"/>
    <x v="1"/>
    <n v="358192.3"/>
    <x v="0"/>
    <x v="6"/>
  </r>
  <r>
    <x v="2461"/>
    <s v="Joy Payne"/>
    <x v="74"/>
    <x v="1"/>
    <x v="3"/>
    <x v="2411"/>
    <x v="162"/>
    <x v="85"/>
    <x v="8"/>
    <x v="1"/>
    <n v="122932.17"/>
    <x v="0"/>
    <x v="12"/>
  </r>
  <r>
    <x v="2462"/>
    <s v="Tamara Andrews"/>
    <x v="89"/>
    <x v="0"/>
    <x v="0"/>
    <x v="2412"/>
    <x v="215"/>
    <x v="156"/>
    <x v="1"/>
    <x v="4"/>
    <n v="50530.19"/>
    <x v="0"/>
    <x v="13"/>
  </r>
  <r>
    <x v="2463"/>
    <s v="Alexandra Carlson"/>
    <x v="77"/>
    <x v="0"/>
    <x v="2"/>
    <x v="2413"/>
    <x v="34"/>
    <x v="294"/>
    <x v="2"/>
    <x v="0"/>
    <n v="353487.93"/>
    <x v="1"/>
    <x v="0"/>
  </r>
  <r>
    <x v="2464"/>
    <s v="Michael Barr"/>
    <x v="66"/>
    <x v="1"/>
    <x v="5"/>
    <x v="2414"/>
    <x v="5"/>
    <x v="83"/>
    <x v="1"/>
    <x v="2"/>
    <n v="305212.62"/>
    <x v="2"/>
    <x v="13"/>
  </r>
  <r>
    <x v="2465"/>
    <s v="Ryan Melendez"/>
    <x v="53"/>
    <x v="1"/>
    <x v="6"/>
    <x v="2415"/>
    <x v="82"/>
    <x v="53"/>
    <x v="3"/>
    <x v="5"/>
    <n v="91175.81"/>
    <x v="0"/>
    <x v="10"/>
  </r>
  <r>
    <x v="2466"/>
    <s v="Brandon Clark"/>
    <x v="14"/>
    <x v="0"/>
    <x v="4"/>
    <x v="2416"/>
    <x v="91"/>
    <x v="34"/>
    <x v="2"/>
    <x v="5"/>
    <n v="171343.07"/>
    <x v="1"/>
    <x v="14"/>
  </r>
  <r>
    <x v="2467"/>
    <s v="Joshua Harris"/>
    <x v="65"/>
    <x v="0"/>
    <x v="0"/>
    <x v="2417"/>
    <x v="116"/>
    <x v="284"/>
    <x v="8"/>
    <x v="4"/>
    <n v="201676.31"/>
    <x v="0"/>
    <x v="3"/>
  </r>
  <r>
    <x v="2468"/>
    <s v="Keith Holland"/>
    <x v="71"/>
    <x v="1"/>
    <x v="5"/>
    <x v="2418"/>
    <x v="277"/>
    <x v="21"/>
    <x v="7"/>
    <x v="4"/>
    <n v="9364.9699999999993"/>
    <x v="0"/>
    <x v="14"/>
  </r>
  <r>
    <x v="2469"/>
    <s v="Tara Young"/>
    <x v="26"/>
    <x v="0"/>
    <x v="3"/>
    <x v="2419"/>
    <x v="185"/>
    <x v="103"/>
    <x v="6"/>
    <x v="3"/>
    <n v="187459.05"/>
    <x v="1"/>
    <x v="7"/>
  </r>
  <r>
    <x v="2470"/>
    <s v="Virginia Parker"/>
    <x v="83"/>
    <x v="0"/>
    <x v="2"/>
    <x v="2420"/>
    <x v="207"/>
    <x v="336"/>
    <x v="6"/>
    <x v="4"/>
    <n v="76320.740000000005"/>
    <x v="1"/>
    <x v="10"/>
  </r>
  <r>
    <x v="2471"/>
    <s v="Rebecca Rodriguez"/>
    <x v="80"/>
    <x v="1"/>
    <x v="3"/>
    <x v="1770"/>
    <x v="337"/>
    <x v="10"/>
    <x v="9"/>
    <x v="4"/>
    <n v="69130.62"/>
    <x v="2"/>
    <x v="2"/>
  </r>
  <r>
    <x v="2472"/>
    <s v="Eric Norton"/>
    <x v="15"/>
    <x v="1"/>
    <x v="1"/>
    <x v="2421"/>
    <x v="45"/>
    <x v="36"/>
    <x v="3"/>
    <x v="4"/>
    <n v="449880.62"/>
    <x v="2"/>
    <x v="11"/>
  </r>
  <r>
    <x v="2473"/>
    <s v="Brian Neal"/>
    <x v="60"/>
    <x v="0"/>
    <x v="3"/>
    <x v="2422"/>
    <x v="261"/>
    <x v="132"/>
    <x v="7"/>
    <x v="1"/>
    <n v="358444.93"/>
    <x v="2"/>
    <x v="6"/>
  </r>
  <r>
    <x v="2474"/>
    <s v="Jeffrey Wilson"/>
    <x v="72"/>
    <x v="1"/>
    <x v="3"/>
    <x v="2423"/>
    <x v="209"/>
    <x v="219"/>
    <x v="9"/>
    <x v="1"/>
    <n v="88294.32"/>
    <x v="0"/>
    <x v="5"/>
  </r>
  <r>
    <x v="2475"/>
    <s v="Rebecca Howard"/>
    <x v="83"/>
    <x v="1"/>
    <x v="4"/>
    <x v="2424"/>
    <x v="116"/>
    <x v="123"/>
    <x v="5"/>
    <x v="4"/>
    <n v="467033.17"/>
    <x v="2"/>
    <x v="7"/>
  </r>
  <r>
    <x v="2476"/>
    <s v="Marie Lucas"/>
    <x v="32"/>
    <x v="1"/>
    <x v="1"/>
    <x v="2425"/>
    <x v="194"/>
    <x v="217"/>
    <x v="3"/>
    <x v="0"/>
    <n v="364939.3"/>
    <x v="0"/>
    <x v="11"/>
  </r>
  <r>
    <x v="2477"/>
    <s v="Marie James"/>
    <x v="57"/>
    <x v="1"/>
    <x v="1"/>
    <x v="2426"/>
    <x v="348"/>
    <x v="33"/>
    <x v="6"/>
    <x v="1"/>
    <n v="375856.74"/>
    <x v="0"/>
    <x v="1"/>
  </r>
  <r>
    <x v="2478"/>
    <s v="Stacy Whitaker"/>
    <x v="10"/>
    <x v="1"/>
    <x v="6"/>
    <x v="2427"/>
    <x v="338"/>
    <x v="179"/>
    <x v="6"/>
    <x v="0"/>
    <n v="262356.57"/>
    <x v="1"/>
    <x v="5"/>
  </r>
  <r>
    <x v="2479"/>
    <s v="Vincent Williamson"/>
    <x v="33"/>
    <x v="0"/>
    <x v="6"/>
    <x v="2428"/>
    <x v="65"/>
    <x v="13"/>
    <x v="4"/>
    <x v="3"/>
    <n v="102345.57"/>
    <x v="1"/>
    <x v="9"/>
  </r>
  <r>
    <x v="2480"/>
    <s v="Robert Lee"/>
    <x v="79"/>
    <x v="1"/>
    <x v="1"/>
    <x v="2429"/>
    <x v="167"/>
    <x v="101"/>
    <x v="7"/>
    <x v="5"/>
    <n v="117926.9"/>
    <x v="1"/>
    <x v="8"/>
  </r>
  <r>
    <x v="2481"/>
    <s v="Kathleen Petty DVM"/>
    <x v="20"/>
    <x v="0"/>
    <x v="0"/>
    <x v="2430"/>
    <x v="362"/>
    <x v="0"/>
    <x v="7"/>
    <x v="4"/>
    <n v="236878.86"/>
    <x v="1"/>
    <x v="9"/>
  </r>
  <r>
    <x v="2482"/>
    <s v="Natalie Sloan DDS"/>
    <x v="12"/>
    <x v="0"/>
    <x v="0"/>
    <x v="2431"/>
    <x v="8"/>
    <x v="294"/>
    <x v="8"/>
    <x v="1"/>
    <n v="118277.19"/>
    <x v="0"/>
    <x v="9"/>
  </r>
  <r>
    <x v="2483"/>
    <s v="Nicholas Reyes"/>
    <x v="88"/>
    <x v="0"/>
    <x v="2"/>
    <x v="2432"/>
    <x v="262"/>
    <x v="112"/>
    <x v="7"/>
    <x v="4"/>
    <n v="274165.96999999997"/>
    <x v="2"/>
    <x v="1"/>
  </r>
  <r>
    <x v="2484"/>
    <s v="Stephanie Gutierrez"/>
    <x v="82"/>
    <x v="0"/>
    <x v="6"/>
    <x v="2433"/>
    <x v="352"/>
    <x v="352"/>
    <x v="5"/>
    <x v="5"/>
    <n v="279767.44"/>
    <x v="2"/>
    <x v="5"/>
  </r>
  <r>
    <x v="2485"/>
    <s v="Kyle Butler"/>
    <x v="77"/>
    <x v="0"/>
    <x v="2"/>
    <x v="2434"/>
    <x v="244"/>
    <x v="278"/>
    <x v="8"/>
    <x v="2"/>
    <n v="137253.1"/>
    <x v="0"/>
    <x v="0"/>
  </r>
  <r>
    <x v="2486"/>
    <s v="Christopher Perez"/>
    <x v="39"/>
    <x v="0"/>
    <x v="3"/>
    <x v="2435"/>
    <x v="80"/>
    <x v="14"/>
    <x v="6"/>
    <x v="0"/>
    <n v="128797.8"/>
    <x v="0"/>
    <x v="1"/>
  </r>
  <r>
    <x v="2487"/>
    <s v="Carla Smith"/>
    <x v="67"/>
    <x v="1"/>
    <x v="5"/>
    <x v="2436"/>
    <x v="107"/>
    <x v="75"/>
    <x v="3"/>
    <x v="1"/>
    <n v="442188.11"/>
    <x v="0"/>
    <x v="13"/>
  </r>
  <r>
    <x v="2488"/>
    <s v="Richard Mills"/>
    <x v="15"/>
    <x v="1"/>
    <x v="0"/>
    <x v="2437"/>
    <x v="330"/>
    <x v="187"/>
    <x v="6"/>
    <x v="5"/>
    <n v="103779.69"/>
    <x v="1"/>
    <x v="5"/>
  </r>
  <r>
    <x v="2489"/>
    <s v="Hector Watson"/>
    <x v="24"/>
    <x v="0"/>
    <x v="6"/>
    <x v="2438"/>
    <x v="328"/>
    <x v="113"/>
    <x v="9"/>
    <x v="3"/>
    <n v="45538.2"/>
    <x v="2"/>
    <x v="11"/>
  </r>
  <r>
    <x v="2490"/>
    <s v="Paula Davis"/>
    <x v="62"/>
    <x v="1"/>
    <x v="1"/>
    <x v="2439"/>
    <x v="153"/>
    <x v="313"/>
    <x v="4"/>
    <x v="2"/>
    <n v="309883.3"/>
    <x v="2"/>
    <x v="10"/>
  </r>
  <r>
    <x v="2491"/>
    <s v="James Campbell"/>
    <x v="36"/>
    <x v="1"/>
    <x v="4"/>
    <x v="2440"/>
    <x v="57"/>
    <x v="51"/>
    <x v="3"/>
    <x v="5"/>
    <n v="220593.69"/>
    <x v="0"/>
    <x v="6"/>
  </r>
  <r>
    <x v="2492"/>
    <s v="Haley Blevins"/>
    <x v="85"/>
    <x v="0"/>
    <x v="2"/>
    <x v="2441"/>
    <x v="128"/>
    <x v="70"/>
    <x v="9"/>
    <x v="1"/>
    <n v="201632.52"/>
    <x v="1"/>
    <x v="0"/>
  </r>
  <r>
    <x v="2493"/>
    <s v="Kristine Solomon"/>
    <x v="3"/>
    <x v="0"/>
    <x v="5"/>
    <x v="2442"/>
    <x v="160"/>
    <x v="320"/>
    <x v="7"/>
    <x v="3"/>
    <n v="138576.72"/>
    <x v="0"/>
    <x v="12"/>
  </r>
  <r>
    <x v="2494"/>
    <s v="Judy Pacheco"/>
    <x v="71"/>
    <x v="1"/>
    <x v="2"/>
    <x v="2443"/>
    <x v="246"/>
    <x v="221"/>
    <x v="1"/>
    <x v="5"/>
    <n v="380953.85"/>
    <x v="0"/>
    <x v="5"/>
  </r>
  <r>
    <x v="2495"/>
    <s v="Jason Castillo"/>
    <x v="4"/>
    <x v="0"/>
    <x v="4"/>
    <x v="2444"/>
    <x v="230"/>
    <x v="316"/>
    <x v="2"/>
    <x v="2"/>
    <n v="308306.78000000003"/>
    <x v="2"/>
    <x v="14"/>
  </r>
  <r>
    <x v="2496"/>
    <s v="Tammie Ramirez MD"/>
    <x v="41"/>
    <x v="0"/>
    <x v="1"/>
    <x v="2445"/>
    <x v="227"/>
    <x v="218"/>
    <x v="9"/>
    <x v="0"/>
    <n v="319786.14"/>
    <x v="0"/>
    <x v="3"/>
  </r>
  <r>
    <x v="2497"/>
    <s v="Jennifer Rhodes"/>
    <x v="68"/>
    <x v="0"/>
    <x v="6"/>
    <x v="2446"/>
    <x v="236"/>
    <x v="33"/>
    <x v="5"/>
    <x v="4"/>
    <n v="178887.46"/>
    <x v="2"/>
    <x v="8"/>
  </r>
  <r>
    <x v="2498"/>
    <s v="Noah Johnson"/>
    <x v="73"/>
    <x v="1"/>
    <x v="0"/>
    <x v="2447"/>
    <x v="278"/>
    <x v="375"/>
    <x v="5"/>
    <x v="3"/>
    <n v="351586.98"/>
    <x v="2"/>
    <x v="4"/>
  </r>
  <r>
    <x v="2499"/>
    <s v="Hailey Caldwell"/>
    <x v="52"/>
    <x v="0"/>
    <x v="0"/>
    <x v="2448"/>
    <x v="205"/>
    <x v="355"/>
    <x v="1"/>
    <x v="2"/>
    <n v="301065.09999999998"/>
    <x v="0"/>
    <x v="8"/>
  </r>
  <r>
    <x v="2500"/>
    <s v="Carl Boyd"/>
    <x v="42"/>
    <x v="1"/>
    <x v="4"/>
    <x v="2449"/>
    <x v="287"/>
    <x v="347"/>
    <x v="9"/>
    <x v="2"/>
    <n v="369069.78"/>
    <x v="0"/>
    <x v="8"/>
  </r>
  <r>
    <x v="2501"/>
    <s v="Michael Walker"/>
    <x v="84"/>
    <x v="0"/>
    <x v="1"/>
    <x v="2450"/>
    <x v="28"/>
    <x v="19"/>
    <x v="1"/>
    <x v="5"/>
    <n v="8952.33"/>
    <x v="2"/>
    <x v="2"/>
  </r>
  <r>
    <x v="2502"/>
    <s v="Kevin Wilson"/>
    <x v="69"/>
    <x v="0"/>
    <x v="3"/>
    <x v="2451"/>
    <x v="88"/>
    <x v="103"/>
    <x v="5"/>
    <x v="2"/>
    <n v="311885.56"/>
    <x v="0"/>
    <x v="1"/>
  </r>
  <r>
    <x v="2503"/>
    <s v="Clayton Cox"/>
    <x v="35"/>
    <x v="0"/>
    <x v="2"/>
    <x v="2452"/>
    <x v="179"/>
    <x v="171"/>
    <x v="0"/>
    <x v="3"/>
    <n v="382767.85"/>
    <x v="2"/>
    <x v="2"/>
  </r>
  <r>
    <x v="2504"/>
    <s v="Bonnie Hill"/>
    <x v="48"/>
    <x v="1"/>
    <x v="3"/>
    <x v="2453"/>
    <x v="106"/>
    <x v="289"/>
    <x v="5"/>
    <x v="1"/>
    <n v="183112.05"/>
    <x v="2"/>
    <x v="5"/>
  </r>
  <r>
    <x v="2505"/>
    <s v="Gregory Anderson"/>
    <x v="26"/>
    <x v="1"/>
    <x v="2"/>
    <x v="2454"/>
    <x v="78"/>
    <x v="237"/>
    <x v="2"/>
    <x v="4"/>
    <n v="54289.3"/>
    <x v="0"/>
    <x v="14"/>
  </r>
  <r>
    <x v="2506"/>
    <s v="David Pope"/>
    <x v="46"/>
    <x v="0"/>
    <x v="6"/>
    <x v="2455"/>
    <x v="180"/>
    <x v="76"/>
    <x v="8"/>
    <x v="0"/>
    <n v="176988.72"/>
    <x v="2"/>
    <x v="11"/>
  </r>
  <r>
    <x v="2507"/>
    <s v="Mr. Mark Mcclure"/>
    <x v="37"/>
    <x v="1"/>
    <x v="1"/>
    <x v="2456"/>
    <x v="42"/>
    <x v="40"/>
    <x v="6"/>
    <x v="2"/>
    <n v="474877.09"/>
    <x v="1"/>
    <x v="10"/>
  </r>
  <r>
    <x v="2508"/>
    <s v="Richard Alvarez"/>
    <x v="43"/>
    <x v="0"/>
    <x v="5"/>
    <x v="2457"/>
    <x v="229"/>
    <x v="176"/>
    <x v="4"/>
    <x v="5"/>
    <n v="422128.7"/>
    <x v="1"/>
    <x v="1"/>
  </r>
  <r>
    <x v="2509"/>
    <s v="Emily Hansen"/>
    <x v="21"/>
    <x v="1"/>
    <x v="2"/>
    <x v="2458"/>
    <x v="17"/>
    <x v="278"/>
    <x v="4"/>
    <x v="0"/>
    <n v="461541.39"/>
    <x v="2"/>
    <x v="12"/>
  </r>
  <r>
    <x v="2510"/>
    <s v="Ann Taylor"/>
    <x v="24"/>
    <x v="0"/>
    <x v="2"/>
    <x v="2459"/>
    <x v="194"/>
    <x v="18"/>
    <x v="0"/>
    <x v="0"/>
    <n v="315830.56"/>
    <x v="0"/>
    <x v="7"/>
  </r>
  <r>
    <x v="2511"/>
    <s v="Lauren Spears"/>
    <x v="67"/>
    <x v="0"/>
    <x v="1"/>
    <x v="2460"/>
    <x v="74"/>
    <x v="119"/>
    <x v="2"/>
    <x v="2"/>
    <n v="190309.37"/>
    <x v="1"/>
    <x v="11"/>
  </r>
  <r>
    <x v="2512"/>
    <s v="Trevor Wood"/>
    <x v="22"/>
    <x v="0"/>
    <x v="1"/>
    <x v="2461"/>
    <x v="87"/>
    <x v="75"/>
    <x v="7"/>
    <x v="1"/>
    <n v="187013.43"/>
    <x v="1"/>
    <x v="9"/>
  </r>
  <r>
    <x v="2513"/>
    <s v="Douglas Wilkinson"/>
    <x v="70"/>
    <x v="0"/>
    <x v="3"/>
    <x v="2462"/>
    <x v="43"/>
    <x v="140"/>
    <x v="3"/>
    <x v="3"/>
    <n v="65583.039999999994"/>
    <x v="0"/>
    <x v="4"/>
  </r>
  <r>
    <x v="2514"/>
    <s v="Linda Allison"/>
    <x v="84"/>
    <x v="0"/>
    <x v="4"/>
    <x v="2463"/>
    <x v="51"/>
    <x v="139"/>
    <x v="0"/>
    <x v="5"/>
    <n v="143835.07"/>
    <x v="2"/>
    <x v="8"/>
  </r>
  <r>
    <x v="2515"/>
    <s v="Kimberly Norton"/>
    <x v="20"/>
    <x v="0"/>
    <x v="2"/>
    <x v="2464"/>
    <x v="108"/>
    <x v="264"/>
    <x v="7"/>
    <x v="1"/>
    <n v="461693.38"/>
    <x v="1"/>
    <x v="11"/>
  </r>
  <r>
    <x v="2516"/>
    <s v="Paul Martinez"/>
    <x v="71"/>
    <x v="0"/>
    <x v="1"/>
    <x v="2465"/>
    <x v="274"/>
    <x v="72"/>
    <x v="2"/>
    <x v="0"/>
    <n v="441623.24"/>
    <x v="1"/>
    <x v="3"/>
  </r>
  <r>
    <x v="2517"/>
    <s v="Joshua Cooley"/>
    <x v="72"/>
    <x v="0"/>
    <x v="3"/>
    <x v="2466"/>
    <x v="60"/>
    <x v="216"/>
    <x v="7"/>
    <x v="2"/>
    <n v="457142.71"/>
    <x v="2"/>
    <x v="8"/>
  </r>
  <r>
    <x v="2518"/>
    <s v="Jonathan Williams"/>
    <x v="32"/>
    <x v="1"/>
    <x v="5"/>
    <x v="2467"/>
    <x v="207"/>
    <x v="376"/>
    <x v="3"/>
    <x v="1"/>
    <n v="99774.8"/>
    <x v="1"/>
    <x v="0"/>
  </r>
  <r>
    <x v="2519"/>
    <s v="Melissa Stokes"/>
    <x v="27"/>
    <x v="1"/>
    <x v="5"/>
    <x v="2468"/>
    <x v="302"/>
    <x v="184"/>
    <x v="5"/>
    <x v="0"/>
    <n v="391144.76"/>
    <x v="2"/>
    <x v="14"/>
  </r>
  <r>
    <x v="2520"/>
    <s v="Sarah Rollins"/>
    <x v="41"/>
    <x v="0"/>
    <x v="5"/>
    <x v="2469"/>
    <x v="226"/>
    <x v="207"/>
    <x v="3"/>
    <x v="5"/>
    <n v="65301.45"/>
    <x v="0"/>
    <x v="10"/>
  </r>
  <r>
    <x v="2521"/>
    <s v="James Aguilar"/>
    <x v="75"/>
    <x v="0"/>
    <x v="5"/>
    <x v="2470"/>
    <x v="271"/>
    <x v="307"/>
    <x v="2"/>
    <x v="3"/>
    <n v="322320.69"/>
    <x v="2"/>
    <x v="2"/>
  </r>
  <r>
    <x v="2522"/>
    <s v="Bruce Kramer MD"/>
    <x v="14"/>
    <x v="0"/>
    <x v="4"/>
    <x v="2471"/>
    <x v="236"/>
    <x v="135"/>
    <x v="6"/>
    <x v="1"/>
    <n v="421801.47"/>
    <x v="2"/>
    <x v="5"/>
  </r>
  <r>
    <x v="2523"/>
    <s v="Lori Bradley"/>
    <x v="76"/>
    <x v="0"/>
    <x v="6"/>
    <x v="2472"/>
    <x v="67"/>
    <x v="264"/>
    <x v="0"/>
    <x v="4"/>
    <n v="300283.26"/>
    <x v="2"/>
    <x v="7"/>
  </r>
  <r>
    <x v="2524"/>
    <s v="Scott Phillips"/>
    <x v="27"/>
    <x v="1"/>
    <x v="3"/>
    <x v="2473"/>
    <x v="1"/>
    <x v="203"/>
    <x v="6"/>
    <x v="2"/>
    <n v="493489.11"/>
    <x v="0"/>
    <x v="13"/>
  </r>
  <r>
    <x v="2525"/>
    <s v="Charles Lewis"/>
    <x v="50"/>
    <x v="1"/>
    <x v="2"/>
    <x v="2474"/>
    <x v="361"/>
    <x v="88"/>
    <x v="9"/>
    <x v="4"/>
    <n v="26289.74"/>
    <x v="0"/>
    <x v="10"/>
  </r>
  <r>
    <x v="2526"/>
    <s v="Brian Hayes"/>
    <x v="52"/>
    <x v="1"/>
    <x v="5"/>
    <x v="2475"/>
    <x v="263"/>
    <x v="189"/>
    <x v="0"/>
    <x v="4"/>
    <n v="296407.34000000003"/>
    <x v="0"/>
    <x v="6"/>
  </r>
  <r>
    <x v="2527"/>
    <s v="Susan Davis"/>
    <x v="71"/>
    <x v="1"/>
    <x v="1"/>
    <x v="2476"/>
    <x v="312"/>
    <x v="307"/>
    <x v="6"/>
    <x v="2"/>
    <n v="479073.58"/>
    <x v="2"/>
    <x v="12"/>
  </r>
  <r>
    <x v="2528"/>
    <s v="Dana Russell"/>
    <x v="80"/>
    <x v="1"/>
    <x v="5"/>
    <x v="2477"/>
    <x v="339"/>
    <x v="143"/>
    <x v="1"/>
    <x v="2"/>
    <n v="233456.98"/>
    <x v="0"/>
    <x v="13"/>
  </r>
  <r>
    <x v="2529"/>
    <s v="Justin Mcfarland"/>
    <x v="40"/>
    <x v="0"/>
    <x v="4"/>
    <x v="2478"/>
    <x v="250"/>
    <x v="42"/>
    <x v="3"/>
    <x v="2"/>
    <n v="128428.6"/>
    <x v="2"/>
    <x v="4"/>
  </r>
  <r>
    <x v="2530"/>
    <s v="Robert Johnson"/>
    <x v="4"/>
    <x v="0"/>
    <x v="0"/>
    <x v="2479"/>
    <x v="240"/>
    <x v="216"/>
    <x v="4"/>
    <x v="4"/>
    <n v="464819.89"/>
    <x v="0"/>
    <x v="0"/>
  </r>
  <r>
    <x v="2531"/>
    <s v="Jessica Cummings"/>
    <x v="2"/>
    <x v="1"/>
    <x v="1"/>
    <x v="1110"/>
    <x v="353"/>
    <x v="58"/>
    <x v="9"/>
    <x v="5"/>
    <n v="392128.38"/>
    <x v="0"/>
    <x v="5"/>
  </r>
  <r>
    <x v="2532"/>
    <s v="Brittney Martin"/>
    <x v="39"/>
    <x v="1"/>
    <x v="3"/>
    <x v="2480"/>
    <x v="184"/>
    <x v="49"/>
    <x v="2"/>
    <x v="3"/>
    <n v="276289.93"/>
    <x v="1"/>
    <x v="7"/>
  </r>
  <r>
    <x v="2533"/>
    <s v="Carla Martinez"/>
    <x v="29"/>
    <x v="1"/>
    <x v="6"/>
    <x v="2481"/>
    <x v="147"/>
    <x v="10"/>
    <x v="1"/>
    <x v="1"/>
    <n v="280919.7"/>
    <x v="1"/>
    <x v="14"/>
  </r>
  <r>
    <x v="2534"/>
    <s v="Julie Young"/>
    <x v="75"/>
    <x v="0"/>
    <x v="1"/>
    <x v="2482"/>
    <x v="5"/>
    <x v="129"/>
    <x v="9"/>
    <x v="2"/>
    <n v="18308.93"/>
    <x v="1"/>
    <x v="10"/>
  </r>
  <r>
    <x v="2535"/>
    <s v="Megan Berry"/>
    <x v="31"/>
    <x v="0"/>
    <x v="3"/>
    <x v="2483"/>
    <x v="346"/>
    <x v="134"/>
    <x v="6"/>
    <x v="5"/>
    <n v="32925.79"/>
    <x v="2"/>
    <x v="7"/>
  </r>
  <r>
    <x v="2536"/>
    <s v="Joseph Pruitt"/>
    <x v="0"/>
    <x v="1"/>
    <x v="1"/>
    <x v="2484"/>
    <x v="348"/>
    <x v="27"/>
    <x v="9"/>
    <x v="0"/>
    <n v="450045.63"/>
    <x v="1"/>
    <x v="4"/>
  </r>
  <r>
    <x v="2537"/>
    <s v="Timothy Howard"/>
    <x v="37"/>
    <x v="1"/>
    <x v="2"/>
    <x v="2485"/>
    <x v="153"/>
    <x v="33"/>
    <x v="4"/>
    <x v="3"/>
    <n v="229895.23"/>
    <x v="2"/>
    <x v="9"/>
  </r>
  <r>
    <x v="2538"/>
    <s v="Jason Price"/>
    <x v="29"/>
    <x v="0"/>
    <x v="2"/>
    <x v="2486"/>
    <x v="263"/>
    <x v="13"/>
    <x v="0"/>
    <x v="5"/>
    <n v="474887.32"/>
    <x v="0"/>
    <x v="5"/>
  </r>
  <r>
    <x v="2539"/>
    <s v="Tiffany Woodward"/>
    <x v="5"/>
    <x v="0"/>
    <x v="5"/>
    <x v="2487"/>
    <x v="213"/>
    <x v="250"/>
    <x v="5"/>
    <x v="5"/>
    <n v="166898"/>
    <x v="1"/>
    <x v="5"/>
  </r>
  <r>
    <x v="2540"/>
    <s v="Theresa Esparza"/>
    <x v="70"/>
    <x v="0"/>
    <x v="6"/>
    <x v="2488"/>
    <x v="209"/>
    <x v="122"/>
    <x v="7"/>
    <x v="3"/>
    <n v="111472.83"/>
    <x v="1"/>
    <x v="6"/>
  </r>
  <r>
    <x v="2541"/>
    <s v="William Rodriguez"/>
    <x v="40"/>
    <x v="1"/>
    <x v="1"/>
    <x v="2489"/>
    <x v="49"/>
    <x v="229"/>
    <x v="0"/>
    <x v="0"/>
    <n v="80425.06"/>
    <x v="0"/>
    <x v="10"/>
  </r>
  <r>
    <x v="2542"/>
    <s v="Shane Tucker"/>
    <x v="48"/>
    <x v="0"/>
    <x v="2"/>
    <x v="2490"/>
    <x v="344"/>
    <x v="197"/>
    <x v="2"/>
    <x v="1"/>
    <n v="209417.56"/>
    <x v="2"/>
    <x v="11"/>
  </r>
  <r>
    <x v="2543"/>
    <s v="Jesse Turner"/>
    <x v="43"/>
    <x v="0"/>
    <x v="1"/>
    <x v="2491"/>
    <x v="177"/>
    <x v="313"/>
    <x v="4"/>
    <x v="4"/>
    <n v="107515.65"/>
    <x v="0"/>
    <x v="9"/>
  </r>
  <r>
    <x v="2544"/>
    <s v="Jodi Pineda"/>
    <x v="6"/>
    <x v="1"/>
    <x v="1"/>
    <x v="2492"/>
    <x v="215"/>
    <x v="3"/>
    <x v="5"/>
    <x v="1"/>
    <n v="450538.55"/>
    <x v="1"/>
    <x v="6"/>
  </r>
  <r>
    <x v="2545"/>
    <s v="Tiffany Green"/>
    <x v="88"/>
    <x v="0"/>
    <x v="3"/>
    <x v="2493"/>
    <x v="232"/>
    <x v="47"/>
    <x v="4"/>
    <x v="3"/>
    <n v="320613.19"/>
    <x v="1"/>
    <x v="0"/>
  </r>
  <r>
    <x v="2546"/>
    <s v="Kevin Barry"/>
    <x v="19"/>
    <x v="1"/>
    <x v="1"/>
    <x v="2494"/>
    <x v="91"/>
    <x v="222"/>
    <x v="7"/>
    <x v="0"/>
    <n v="292302.65999999997"/>
    <x v="2"/>
    <x v="2"/>
  </r>
  <r>
    <x v="2547"/>
    <s v="Kathy Johnston"/>
    <x v="16"/>
    <x v="0"/>
    <x v="5"/>
    <x v="2495"/>
    <x v="358"/>
    <x v="126"/>
    <x v="2"/>
    <x v="5"/>
    <n v="374246.05"/>
    <x v="0"/>
    <x v="0"/>
  </r>
  <r>
    <x v="2548"/>
    <s v="Anne Scott"/>
    <x v="17"/>
    <x v="1"/>
    <x v="0"/>
    <x v="2496"/>
    <x v="232"/>
    <x v="113"/>
    <x v="7"/>
    <x v="0"/>
    <n v="416797.62"/>
    <x v="2"/>
    <x v="7"/>
  </r>
  <r>
    <x v="2549"/>
    <s v="Mrs. Maria Fischer"/>
    <x v="56"/>
    <x v="0"/>
    <x v="6"/>
    <x v="2497"/>
    <x v="46"/>
    <x v="109"/>
    <x v="2"/>
    <x v="5"/>
    <n v="496876.66"/>
    <x v="0"/>
    <x v="13"/>
  </r>
  <r>
    <x v="2550"/>
    <s v="Stacy Smith"/>
    <x v="54"/>
    <x v="0"/>
    <x v="0"/>
    <x v="2498"/>
    <x v="355"/>
    <x v="321"/>
    <x v="7"/>
    <x v="1"/>
    <n v="476687.11"/>
    <x v="0"/>
    <x v="3"/>
  </r>
  <r>
    <x v="2551"/>
    <s v="Anna Reed"/>
    <x v="25"/>
    <x v="1"/>
    <x v="2"/>
    <x v="2499"/>
    <x v="209"/>
    <x v="312"/>
    <x v="2"/>
    <x v="1"/>
    <n v="416368.96"/>
    <x v="0"/>
    <x v="9"/>
  </r>
  <r>
    <x v="2552"/>
    <s v="George Snow"/>
    <x v="85"/>
    <x v="0"/>
    <x v="3"/>
    <x v="2500"/>
    <x v="354"/>
    <x v="106"/>
    <x v="1"/>
    <x v="2"/>
    <n v="355647.43"/>
    <x v="0"/>
    <x v="5"/>
  </r>
  <r>
    <x v="2553"/>
    <s v="Angela Boyer"/>
    <x v="29"/>
    <x v="1"/>
    <x v="0"/>
    <x v="2501"/>
    <x v="173"/>
    <x v="89"/>
    <x v="6"/>
    <x v="0"/>
    <n v="209904.31"/>
    <x v="2"/>
    <x v="13"/>
  </r>
  <r>
    <x v="2554"/>
    <s v="Rachel Grimes"/>
    <x v="75"/>
    <x v="0"/>
    <x v="5"/>
    <x v="2502"/>
    <x v="146"/>
    <x v="65"/>
    <x v="1"/>
    <x v="4"/>
    <n v="422120.21"/>
    <x v="2"/>
    <x v="6"/>
  </r>
  <r>
    <x v="2555"/>
    <s v="James Mclaughlin"/>
    <x v="24"/>
    <x v="0"/>
    <x v="0"/>
    <x v="2503"/>
    <x v="130"/>
    <x v="210"/>
    <x v="0"/>
    <x v="1"/>
    <n v="229086.5"/>
    <x v="2"/>
    <x v="6"/>
  </r>
  <r>
    <x v="2556"/>
    <s v="Keith Leon"/>
    <x v="75"/>
    <x v="1"/>
    <x v="6"/>
    <x v="2504"/>
    <x v="294"/>
    <x v="124"/>
    <x v="9"/>
    <x v="3"/>
    <n v="434867.7"/>
    <x v="1"/>
    <x v="11"/>
  </r>
  <r>
    <x v="2557"/>
    <s v="Todd Rodgers"/>
    <x v="30"/>
    <x v="0"/>
    <x v="0"/>
    <x v="2505"/>
    <x v="252"/>
    <x v="178"/>
    <x v="9"/>
    <x v="2"/>
    <n v="131038.34"/>
    <x v="0"/>
    <x v="6"/>
  </r>
  <r>
    <x v="2558"/>
    <s v="Rebecca Henderson"/>
    <x v="47"/>
    <x v="0"/>
    <x v="0"/>
    <x v="2506"/>
    <x v="2"/>
    <x v="168"/>
    <x v="7"/>
    <x v="2"/>
    <n v="126738.2"/>
    <x v="0"/>
    <x v="3"/>
  </r>
  <r>
    <x v="2559"/>
    <s v="Thomas Carroll"/>
    <x v="80"/>
    <x v="1"/>
    <x v="2"/>
    <x v="2507"/>
    <x v="262"/>
    <x v="95"/>
    <x v="1"/>
    <x v="3"/>
    <n v="218658.25"/>
    <x v="2"/>
    <x v="2"/>
  </r>
  <r>
    <x v="2560"/>
    <s v="Patricia Wall"/>
    <x v="6"/>
    <x v="0"/>
    <x v="1"/>
    <x v="2508"/>
    <x v="357"/>
    <x v="290"/>
    <x v="5"/>
    <x v="3"/>
    <n v="111600.76"/>
    <x v="2"/>
    <x v="3"/>
  </r>
  <r>
    <x v="2561"/>
    <s v="Roberta Carson"/>
    <x v="11"/>
    <x v="1"/>
    <x v="6"/>
    <x v="2509"/>
    <x v="201"/>
    <x v="160"/>
    <x v="8"/>
    <x v="2"/>
    <n v="274014.09999999998"/>
    <x v="1"/>
    <x v="6"/>
  </r>
  <r>
    <x v="2562"/>
    <s v="Tabitha Rogers"/>
    <x v="62"/>
    <x v="1"/>
    <x v="5"/>
    <x v="2510"/>
    <x v="212"/>
    <x v="37"/>
    <x v="4"/>
    <x v="3"/>
    <n v="416965.86"/>
    <x v="2"/>
    <x v="6"/>
  </r>
  <r>
    <x v="2563"/>
    <s v="Brian Hernandez"/>
    <x v="2"/>
    <x v="0"/>
    <x v="5"/>
    <x v="2511"/>
    <x v="164"/>
    <x v="268"/>
    <x v="6"/>
    <x v="2"/>
    <n v="244186.37"/>
    <x v="2"/>
    <x v="11"/>
  </r>
  <r>
    <x v="2564"/>
    <s v="Kenneth Alexander"/>
    <x v="73"/>
    <x v="0"/>
    <x v="3"/>
    <x v="2512"/>
    <x v="22"/>
    <x v="300"/>
    <x v="1"/>
    <x v="3"/>
    <n v="271161.3"/>
    <x v="1"/>
    <x v="2"/>
  </r>
  <r>
    <x v="2565"/>
    <s v="Timothy Glass"/>
    <x v="43"/>
    <x v="1"/>
    <x v="5"/>
    <x v="2513"/>
    <x v="296"/>
    <x v="56"/>
    <x v="1"/>
    <x v="0"/>
    <n v="296761.09000000003"/>
    <x v="2"/>
    <x v="5"/>
  </r>
  <r>
    <x v="2566"/>
    <s v="Mary Austin"/>
    <x v="16"/>
    <x v="0"/>
    <x v="5"/>
    <x v="2514"/>
    <x v="164"/>
    <x v="100"/>
    <x v="4"/>
    <x v="4"/>
    <n v="300450.90000000002"/>
    <x v="2"/>
    <x v="2"/>
  </r>
  <r>
    <x v="2567"/>
    <s v="Lydia Yang"/>
    <x v="77"/>
    <x v="1"/>
    <x v="6"/>
    <x v="2515"/>
    <x v="122"/>
    <x v="363"/>
    <x v="9"/>
    <x v="1"/>
    <n v="335297.34999999998"/>
    <x v="1"/>
    <x v="0"/>
  </r>
  <r>
    <x v="2568"/>
    <s v="Sarah Sosa"/>
    <x v="53"/>
    <x v="0"/>
    <x v="1"/>
    <x v="2516"/>
    <x v="258"/>
    <x v="345"/>
    <x v="8"/>
    <x v="0"/>
    <n v="205625.64"/>
    <x v="1"/>
    <x v="5"/>
  </r>
  <r>
    <x v="2569"/>
    <s v="Ann Austin"/>
    <x v="49"/>
    <x v="0"/>
    <x v="2"/>
    <x v="2517"/>
    <x v="169"/>
    <x v="45"/>
    <x v="8"/>
    <x v="2"/>
    <n v="128646.8"/>
    <x v="2"/>
    <x v="13"/>
  </r>
  <r>
    <x v="2570"/>
    <s v="Jose Daniel"/>
    <x v="44"/>
    <x v="1"/>
    <x v="0"/>
    <x v="2518"/>
    <x v="74"/>
    <x v="309"/>
    <x v="7"/>
    <x v="1"/>
    <n v="218707.56"/>
    <x v="0"/>
    <x v="1"/>
  </r>
  <r>
    <x v="2571"/>
    <s v="Shirley Fowler"/>
    <x v="7"/>
    <x v="1"/>
    <x v="5"/>
    <x v="2519"/>
    <x v="297"/>
    <x v="48"/>
    <x v="1"/>
    <x v="5"/>
    <n v="384069.75"/>
    <x v="2"/>
    <x v="14"/>
  </r>
  <r>
    <x v="2572"/>
    <s v="Stephanie Dixon"/>
    <x v="39"/>
    <x v="1"/>
    <x v="4"/>
    <x v="2520"/>
    <x v="282"/>
    <x v="307"/>
    <x v="7"/>
    <x v="1"/>
    <n v="212485.26"/>
    <x v="0"/>
    <x v="8"/>
  </r>
  <r>
    <x v="2573"/>
    <s v="Mary Tucker"/>
    <x v="69"/>
    <x v="0"/>
    <x v="4"/>
    <x v="2521"/>
    <x v="90"/>
    <x v="71"/>
    <x v="9"/>
    <x v="5"/>
    <n v="142562.23999999999"/>
    <x v="0"/>
    <x v="0"/>
  </r>
  <r>
    <x v="2574"/>
    <s v="Michael Rojas"/>
    <x v="71"/>
    <x v="1"/>
    <x v="4"/>
    <x v="2522"/>
    <x v="297"/>
    <x v="296"/>
    <x v="3"/>
    <x v="5"/>
    <n v="385577.55"/>
    <x v="0"/>
    <x v="5"/>
  </r>
  <r>
    <x v="2575"/>
    <s v="Zachary Benitez"/>
    <x v="61"/>
    <x v="1"/>
    <x v="5"/>
    <x v="2523"/>
    <x v="66"/>
    <x v="119"/>
    <x v="3"/>
    <x v="5"/>
    <n v="220786.6"/>
    <x v="1"/>
    <x v="8"/>
  </r>
  <r>
    <x v="2576"/>
    <s v="Aaron Thomas"/>
    <x v="3"/>
    <x v="0"/>
    <x v="4"/>
    <x v="2524"/>
    <x v="29"/>
    <x v="242"/>
    <x v="6"/>
    <x v="2"/>
    <n v="261420.18"/>
    <x v="2"/>
    <x v="9"/>
  </r>
  <r>
    <x v="2577"/>
    <s v="Stephanie Brown"/>
    <x v="14"/>
    <x v="0"/>
    <x v="4"/>
    <x v="2525"/>
    <x v="17"/>
    <x v="196"/>
    <x v="7"/>
    <x v="4"/>
    <n v="49290.37"/>
    <x v="1"/>
    <x v="4"/>
  </r>
  <r>
    <x v="2578"/>
    <s v="Kimberly Parsons MD"/>
    <x v="39"/>
    <x v="0"/>
    <x v="1"/>
    <x v="2526"/>
    <x v="172"/>
    <x v="375"/>
    <x v="1"/>
    <x v="5"/>
    <n v="144964.06"/>
    <x v="0"/>
    <x v="9"/>
  </r>
  <r>
    <x v="2579"/>
    <s v="Jeremy Craig"/>
    <x v="5"/>
    <x v="0"/>
    <x v="0"/>
    <x v="2527"/>
    <x v="352"/>
    <x v="255"/>
    <x v="1"/>
    <x v="3"/>
    <n v="172625.53"/>
    <x v="2"/>
    <x v="3"/>
  </r>
  <r>
    <x v="2580"/>
    <s v="Alison Peterson"/>
    <x v="12"/>
    <x v="0"/>
    <x v="2"/>
    <x v="2528"/>
    <x v="124"/>
    <x v="224"/>
    <x v="9"/>
    <x v="2"/>
    <n v="193782.35"/>
    <x v="0"/>
    <x v="14"/>
  </r>
  <r>
    <x v="2581"/>
    <s v="Frederick Simmons"/>
    <x v="11"/>
    <x v="1"/>
    <x v="4"/>
    <x v="2529"/>
    <x v="253"/>
    <x v="342"/>
    <x v="1"/>
    <x v="3"/>
    <n v="432011.45"/>
    <x v="2"/>
    <x v="8"/>
  </r>
  <r>
    <x v="2582"/>
    <s v="Anna Ellis"/>
    <x v="33"/>
    <x v="0"/>
    <x v="0"/>
    <x v="2530"/>
    <x v="104"/>
    <x v="288"/>
    <x v="8"/>
    <x v="2"/>
    <n v="183664.79"/>
    <x v="2"/>
    <x v="12"/>
  </r>
  <r>
    <x v="2583"/>
    <s v="Hannah Flores"/>
    <x v="87"/>
    <x v="1"/>
    <x v="2"/>
    <x v="1474"/>
    <x v="336"/>
    <x v="219"/>
    <x v="9"/>
    <x v="1"/>
    <n v="9951.57"/>
    <x v="1"/>
    <x v="1"/>
  </r>
  <r>
    <x v="2584"/>
    <s v="Susan Wallace"/>
    <x v="26"/>
    <x v="1"/>
    <x v="4"/>
    <x v="2531"/>
    <x v="119"/>
    <x v="264"/>
    <x v="3"/>
    <x v="3"/>
    <n v="482768.81"/>
    <x v="2"/>
    <x v="4"/>
  </r>
  <r>
    <x v="2585"/>
    <s v="Karen Chase"/>
    <x v="2"/>
    <x v="0"/>
    <x v="3"/>
    <x v="2532"/>
    <x v="184"/>
    <x v="187"/>
    <x v="1"/>
    <x v="1"/>
    <n v="74300.94"/>
    <x v="2"/>
    <x v="4"/>
  </r>
  <r>
    <x v="2586"/>
    <s v="Kristin Saunders"/>
    <x v="16"/>
    <x v="1"/>
    <x v="2"/>
    <x v="2533"/>
    <x v="191"/>
    <x v="275"/>
    <x v="4"/>
    <x v="5"/>
    <n v="60923.65"/>
    <x v="1"/>
    <x v="12"/>
  </r>
  <r>
    <x v="2587"/>
    <s v="Michael Atkins"/>
    <x v="35"/>
    <x v="0"/>
    <x v="5"/>
    <x v="2534"/>
    <x v="159"/>
    <x v="0"/>
    <x v="9"/>
    <x v="0"/>
    <n v="388590.26"/>
    <x v="0"/>
    <x v="8"/>
  </r>
  <r>
    <x v="2588"/>
    <s v="Sarah Ward"/>
    <x v="6"/>
    <x v="0"/>
    <x v="0"/>
    <x v="2535"/>
    <x v="30"/>
    <x v="313"/>
    <x v="5"/>
    <x v="2"/>
    <n v="270218.90000000002"/>
    <x v="0"/>
    <x v="11"/>
  </r>
  <r>
    <x v="2589"/>
    <s v="Robert Shepard"/>
    <x v="33"/>
    <x v="0"/>
    <x v="5"/>
    <x v="2536"/>
    <x v="158"/>
    <x v="47"/>
    <x v="6"/>
    <x v="5"/>
    <n v="142294.26"/>
    <x v="1"/>
    <x v="14"/>
  </r>
  <r>
    <x v="2590"/>
    <s v="David Hart"/>
    <x v="33"/>
    <x v="1"/>
    <x v="4"/>
    <x v="2537"/>
    <x v="68"/>
    <x v="0"/>
    <x v="5"/>
    <x v="2"/>
    <n v="458282.6"/>
    <x v="2"/>
    <x v="5"/>
  </r>
  <r>
    <x v="2591"/>
    <s v="Beth Wright"/>
    <x v="1"/>
    <x v="0"/>
    <x v="4"/>
    <x v="2538"/>
    <x v="76"/>
    <x v="144"/>
    <x v="0"/>
    <x v="0"/>
    <n v="407693.31"/>
    <x v="2"/>
    <x v="1"/>
  </r>
  <r>
    <x v="2592"/>
    <s v="Michelle Figueroa"/>
    <x v="83"/>
    <x v="1"/>
    <x v="2"/>
    <x v="2539"/>
    <x v="271"/>
    <x v="275"/>
    <x v="0"/>
    <x v="5"/>
    <n v="113858.61"/>
    <x v="2"/>
    <x v="3"/>
  </r>
  <r>
    <x v="2593"/>
    <s v="Aaron Ortiz"/>
    <x v="9"/>
    <x v="1"/>
    <x v="1"/>
    <x v="2540"/>
    <x v="183"/>
    <x v="16"/>
    <x v="9"/>
    <x v="1"/>
    <n v="5886.97"/>
    <x v="0"/>
    <x v="13"/>
  </r>
  <r>
    <x v="2594"/>
    <s v="Catherine Kelley"/>
    <x v="58"/>
    <x v="1"/>
    <x v="0"/>
    <x v="2541"/>
    <x v="262"/>
    <x v="145"/>
    <x v="9"/>
    <x v="2"/>
    <n v="83207.09"/>
    <x v="0"/>
    <x v="5"/>
  </r>
  <r>
    <x v="2595"/>
    <s v="Bobby Alexander"/>
    <x v="26"/>
    <x v="0"/>
    <x v="3"/>
    <x v="2542"/>
    <x v="222"/>
    <x v="362"/>
    <x v="1"/>
    <x v="1"/>
    <n v="215119.46"/>
    <x v="1"/>
    <x v="11"/>
  </r>
  <r>
    <x v="2596"/>
    <s v="Theresa Schultz"/>
    <x v="69"/>
    <x v="1"/>
    <x v="1"/>
    <x v="2543"/>
    <x v="109"/>
    <x v="29"/>
    <x v="9"/>
    <x v="1"/>
    <n v="393134.38"/>
    <x v="1"/>
    <x v="4"/>
  </r>
  <r>
    <x v="2597"/>
    <s v="Danielle Martinez"/>
    <x v="24"/>
    <x v="0"/>
    <x v="3"/>
    <x v="2544"/>
    <x v="60"/>
    <x v="26"/>
    <x v="6"/>
    <x v="2"/>
    <n v="167024.42000000001"/>
    <x v="2"/>
    <x v="3"/>
  </r>
  <r>
    <x v="2598"/>
    <s v="Christine Garrett"/>
    <x v="16"/>
    <x v="0"/>
    <x v="5"/>
    <x v="2545"/>
    <x v="331"/>
    <x v="89"/>
    <x v="0"/>
    <x v="1"/>
    <n v="155445.42000000001"/>
    <x v="0"/>
    <x v="1"/>
  </r>
  <r>
    <x v="2599"/>
    <s v="Jennifer Hicks"/>
    <x v="29"/>
    <x v="0"/>
    <x v="3"/>
    <x v="2546"/>
    <x v="168"/>
    <x v="83"/>
    <x v="8"/>
    <x v="4"/>
    <n v="102608.24"/>
    <x v="1"/>
    <x v="3"/>
  </r>
  <r>
    <x v="2600"/>
    <s v="Jonathan Pena"/>
    <x v="84"/>
    <x v="0"/>
    <x v="3"/>
    <x v="2547"/>
    <x v="201"/>
    <x v="4"/>
    <x v="9"/>
    <x v="3"/>
    <n v="127605.79"/>
    <x v="0"/>
    <x v="13"/>
  </r>
  <r>
    <x v="2601"/>
    <s v="Jessica Weaver"/>
    <x v="47"/>
    <x v="1"/>
    <x v="3"/>
    <x v="2548"/>
    <x v="178"/>
    <x v="61"/>
    <x v="1"/>
    <x v="4"/>
    <n v="267581.84000000003"/>
    <x v="1"/>
    <x v="6"/>
  </r>
  <r>
    <x v="2602"/>
    <s v="Shannon Sullivan"/>
    <x v="89"/>
    <x v="1"/>
    <x v="6"/>
    <x v="2549"/>
    <x v="222"/>
    <x v="221"/>
    <x v="1"/>
    <x v="0"/>
    <n v="223408.57"/>
    <x v="2"/>
    <x v="10"/>
  </r>
  <r>
    <x v="2603"/>
    <s v="Kathryn Wagner"/>
    <x v="68"/>
    <x v="1"/>
    <x v="4"/>
    <x v="2550"/>
    <x v="224"/>
    <x v="126"/>
    <x v="3"/>
    <x v="4"/>
    <n v="76234.509999999995"/>
    <x v="1"/>
    <x v="7"/>
  </r>
  <r>
    <x v="2604"/>
    <s v="Danielle Cook"/>
    <x v="85"/>
    <x v="0"/>
    <x v="2"/>
    <x v="2551"/>
    <x v="300"/>
    <x v="194"/>
    <x v="2"/>
    <x v="4"/>
    <n v="119292.84"/>
    <x v="2"/>
    <x v="4"/>
  </r>
  <r>
    <x v="2605"/>
    <s v="Charles Schaefer"/>
    <x v="74"/>
    <x v="1"/>
    <x v="4"/>
    <x v="2552"/>
    <x v="340"/>
    <x v="77"/>
    <x v="5"/>
    <x v="4"/>
    <n v="457878.96"/>
    <x v="2"/>
    <x v="7"/>
  </r>
  <r>
    <x v="2606"/>
    <s v="Richard Castro"/>
    <x v="19"/>
    <x v="0"/>
    <x v="3"/>
    <x v="2553"/>
    <x v="167"/>
    <x v="84"/>
    <x v="4"/>
    <x v="5"/>
    <n v="275008.69"/>
    <x v="1"/>
    <x v="11"/>
  </r>
  <r>
    <x v="2607"/>
    <s v="Marvin Reyes"/>
    <x v="79"/>
    <x v="1"/>
    <x v="3"/>
    <x v="2554"/>
    <x v="181"/>
    <x v="270"/>
    <x v="7"/>
    <x v="5"/>
    <n v="83251.75"/>
    <x v="2"/>
    <x v="9"/>
  </r>
  <r>
    <x v="2608"/>
    <s v="Chad Benton"/>
    <x v="67"/>
    <x v="0"/>
    <x v="5"/>
    <x v="2555"/>
    <x v="257"/>
    <x v="281"/>
    <x v="7"/>
    <x v="2"/>
    <n v="394298.36"/>
    <x v="0"/>
    <x v="1"/>
  </r>
  <r>
    <x v="2609"/>
    <s v="Stephanie Harris"/>
    <x v="3"/>
    <x v="0"/>
    <x v="6"/>
    <x v="2556"/>
    <x v="342"/>
    <x v="249"/>
    <x v="4"/>
    <x v="3"/>
    <n v="81132.800000000003"/>
    <x v="0"/>
    <x v="2"/>
  </r>
  <r>
    <x v="2610"/>
    <s v="Keith Chen"/>
    <x v="64"/>
    <x v="1"/>
    <x v="1"/>
    <x v="2557"/>
    <x v="76"/>
    <x v="145"/>
    <x v="9"/>
    <x v="5"/>
    <n v="90009.39"/>
    <x v="1"/>
    <x v="9"/>
  </r>
  <r>
    <x v="2611"/>
    <s v="Steven Nguyen"/>
    <x v="11"/>
    <x v="0"/>
    <x v="2"/>
    <x v="2558"/>
    <x v="136"/>
    <x v="187"/>
    <x v="2"/>
    <x v="0"/>
    <n v="400526.8"/>
    <x v="2"/>
    <x v="3"/>
  </r>
  <r>
    <x v="2612"/>
    <s v="Emma Waters"/>
    <x v="24"/>
    <x v="0"/>
    <x v="4"/>
    <x v="2559"/>
    <x v="129"/>
    <x v="132"/>
    <x v="6"/>
    <x v="2"/>
    <n v="385495.73"/>
    <x v="1"/>
    <x v="4"/>
  </r>
  <r>
    <x v="2613"/>
    <s v="Chris Mata"/>
    <x v="79"/>
    <x v="0"/>
    <x v="3"/>
    <x v="2560"/>
    <x v="135"/>
    <x v="54"/>
    <x v="6"/>
    <x v="4"/>
    <n v="318970.15000000002"/>
    <x v="2"/>
    <x v="0"/>
  </r>
  <r>
    <x v="2614"/>
    <s v="Roger Russell DDS"/>
    <x v="81"/>
    <x v="0"/>
    <x v="5"/>
    <x v="2561"/>
    <x v="297"/>
    <x v="53"/>
    <x v="6"/>
    <x v="3"/>
    <n v="170563.11"/>
    <x v="0"/>
    <x v="7"/>
  </r>
  <r>
    <x v="2615"/>
    <s v="Lindsay Lewis"/>
    <x v="78"/>
    <x v="1"/>
    <x v="3"/>
    <x v="2562"/>
    <x v="182"/>
    <x v="285"/>
    <x v="3"/>
    <x v="5"/>
    <n v="261402.78"/>
    <x v="1"/>
    <x v="0"/>
  </r>
  <r>
    <x v="2616"/>
    <s v="Danielle Valencia"/>
    <x v="40"/>
    <x v="0"/>
    <x v="6"/>
    <x v="733"/>
    <x v="298"/>
    <x v="107"/>
    <x v="8"/>
    <x v="0"/>
    <n v="350709.6"/>
    <x v="1"/>
    <x v="9"/>
  </r>
  <r>
    <x v="2617"/>
    <s v="Jesse Miller"/>
    <x v="25"/>
    <x v="1"/>
    <x v="3"/>
    <x v="2563"/>
    <x v="317"/>
    <x v="39"/>
    <x v="8"/>
    <x v="3"/>
    <n v="60832.04"/>
    <x v="1"/>
    <x v="6"/>
  </r>
  <r>
    <x v="2618"/>
    <s v="Hunter Johnston"/>
    <x v="40"/>
    <x v="0"/>
    <x v="6"/>
    <x v="2545"/>
    <x v="133"/>
    <x v="368"/>
    <x v="7"/>
    <x v="2"/>
    <n v="94609.67"/>
    <x v="0"/>
    <x v="8"/>
  </r>
  <r>
    <x v="2619"/>
    <s v="Deanna Moore"/>
    <x v="78"/>
    <x v="1"/>
    <x v="2"/>
    <x v="2564"/>
    <x v="107"/>
    <x v="273"/>
    <x v="7"/>
    <x v="5"/>
    <n v="145867.71"/>
    <x v="2"/>
    <x v="14"/>
  </r>
  <r>
    <x v="2620"/>
    <s v="Heather Ballard"/>
    <x v="17"/>
    <x v="1"/>
    <x v="0"/>
    <x v="2565"/>
    <x v="193"/>
    <x v="375"/>
    <x v="9"/>
    <x v="1"/>
    <n v="206854.7"/>
    <x v="1"/>
    <x v="6"/>
  </r>
  <r>
    <x v="2621"/>
    <s v="Ryan Ray"/>
    <x v="56"/>
    <x v="0"/>
    <x v="1"/>
    <x v="2566"/>
    <x v="263"/>
    <x v="139"/>
    <x v="9"/>
    <x v="5"/>
    <n v="47740.67"/>
    <x v="0"/>
    <x v="11"/>
  </r>
  <r>
    <x v="2622"/>
    <s v="Michael Martin"/>
    <x v="22"/>
    <x v="1"/>
    <x v="6"/>
    <x v="2567"/>
    <x v="144"/>
    <x v="272"/>
    <x v="7"/>
    <x v="1"/>
    <n v="306167.02"/>
    <x v="0"/>
    <x v="11"/>
  </r>
  <r>
    <x v="2623"/>
    <s v="Ashley Allen"/>
    <x v="51"/>
    <x v="1"/>
    <x v="2"/>
    <x v="2568"/>
    <x v="98"/>
    <x v="256"/>
    <x v="5"/>
    <x v="3"/>
    <n v="367776.38"/>
    <x v="0"/>
    <x v="13"/>
  </r>
  <r>
    <x v="2624"/>
    <s v="Robert Leonard"/>
    <x v="59"/>
    <x v="0"/>
    <x v="0"/>
    <x v="2569"/>
    <x v="317"/>
    <x v="39"/>
    <x v="6"/>
    <x v="1"/>
    <n v="175277.83"/>
    <x v="1"/>
    <x v="6"/>
  </r>
  <r>
    <x v="2625"/>
    <s v="Justin Macias"/>
    <x v="89"/>
    <x v="0"/>
    <x v="6"/>
    <x v="2570"/>
    <x v="147"/>
    <x v="257"/>
    <x v="5"/>
    <x v="0"/>
    <n v="401571.09"/>
    <x v="2"/>
    <x v="10"/>
  </r>
  <r>
    <x v="2626"/>
    <s v="Alexander Parker"/>
    <x v="17"/>
    <x v="1"/>
    <x v="4"/>
    <x v="2571"/>
    <x v="260"/>
    <x v="59"/>
    <x v="1"/>
    <x v="1"/>
    <n v="369984.61"/>
    <x v="2"/>
    <x v="0"/>
  </r>
  <r>
    <x v="2627"/>
    <s v="Matthew Hughes"/>
    <x v="84"/>
    <x v="1"/>
    <x v="6"/>
    <x v="2572"/>
    <x v="163"/>
    <x v="25"/>
    <x v="9"/>
    <x v="2"/>
    <n v="292608.84999999998"/>
    <x v="0"/>
    <x v="5"/>
  </r>
  <r>
    <x v="2628"/>
    <s v="Jessica Smith"/>
    <x v="40"/>
    <x v="1"/>
    <x v="3"/>
    <x v="2573"/>
    <x v="263"/>
    <x v="373"/>
    <x v="8"/>
    <x v="5"/>
    <n v="94117.36"/>
    <x v="0"/>
    <x v="0"/>
  </r>
  <r>
    <x v="2629"/>
    <s v="Mary Lambert"/>
    <x v="44"/>
    <x v="1"/>
    <x v="6"/>
    <x v="2574"/>
    <x v="244"/>
    <x v="61"/>
    <x v="4"/>
    <x v="2"/>
    <n v="430371.87"/>
    <x v="2"/>
    <x v="1"/>
  </r>
  <r>
    <x v="2630"/>
    <s v="Joshua Carrillo"/>
    <x v="20"/>
    <x v="1"/>
    <x v="2"/>
    <x v="2575"/>
    <x v="263"/>
    <x v="106"/>
    <x v="3"/>
    <x v="2"/>
    <n v="28665.439999999999"/>
    <x v="2"/>
    <x v="4"/>
  </r>
  <r>
    <x v="2631"/>
    <s v="Teresa Mcdonald"/>
    <x v="53"/>
    <x v="1"/>
    <x v="5"/>
    <x v="2576"/>
    <x v="254"/>
    <x v="371"/>
    <x v="6"/>
    <x v="5"/>
    <n v="159267.68"/>
    <x v="1"/>
    <x v="14"/>
  </r>
  <r>
    <x v="2632"/>
    <s v="Edwin Park"/>
    <x v="19"/>
    <x v="0"/>
    <x v="2"/>
    <x v="2577"/>
    <x v="137"/>
    <x v="29"/>
    <x v="5"/>
    <x v="1"/>
    <n v="12585.68"/>
    <x v="1"/>
    <x v="7"/>
  </r>
  <r>
    <x v="2633"/>
    <s v="John Flores"/>
    <x v="62"/>
    <x v="1"/>
    <x v="1"/>
    <x v="2578"/>
    <x v="327"/>
    <x v="248"/>
    <x v="7"/>
    <x v="5"/>
    <n v="296396.76"/>
    <x v="2"/>
    <x v="1"/>
  </r>
  <r>
    <x v="2634"/>
    <s v="David Collins"/>
    <x v="53"/>
    <x v="1"/>
    <x v="2"/>
    <x v="2579"/>
    <x v="299"/>
    <x v="339"/>
    <x v="2"/>
    <x v="4"/>
    <n v="253502.21"/>
    <x v="2"/>
    <x v="13"/>
  </r>
  <r>
    <x v="2635"/>
    <s v="James Craig"/>
    <x v="15"/>
    <x v="0"/>
    <x v="0"/>
    <x v="2580"/>
    <x v="328"/>
    <x v="169"/>
    <x v="4"/>
    <x v="3"/>
    <n v="64235.54"/>
    <x v="0"/>
    <x v="5"/>
  </r>
  <r>
    <x v="2636"/>
    <s v="Michaela Mcdonald"/>
    <x v="72"/>
    <x v="1"/>
    <x v="1"/>
    <x v="2581"/>
    <x v="305"/>
    <x v="340"/>
    <x v="5"/>
    <x v="3"/>
    <n v="224955.74"/>
    <x v="1"/>
    <x v="2"/>
  </r>
  <r>
    <x v="2637"/>
    <s v="Michelle Hughes"/>
    <x v="27"/>
    <x v="0"/>
    <x v="6"/>
    <x v="2582"/>
    <x v="301"/>
    <x v="169"/>
    <x v="4"/>
    <x v="1"/>
    <n v="372208.86"/>
    <x v="2"/>
    <x v="4"/>
  </r>
  <r>
    <x v="2638"/>
    <s v="Kathy Jenkins"/>
    <x v="34"/>
    <x v="1"/>
    <x v="6"/>
    <x v="2583"/>
    <x v="130"/>
    <x v="144"/>
    <x v="6"/>
    <x v="5"/>
    <n v="177125.68"/>
    <x v="1"/>
    <x v="2"/>
  </r>
  <r>
    <x v="2639"/>
    <s v="Aaron Dickson"/>
    <x v="13"/>
    <x v="1"/>
    <x v="0"/>
    <x v="2584"/>
    <x v="103"/>
    <x v="65"/>
    <x v="2"/>
    <x v="0"/>
    <n v="243393.55"/>
    <x v="0"/>
    <x v="8"/>
  </r>
  <r>
    <x v="2640"/>
    <s v="Sarah Nelson"/>
    <x v="77"/>
    <x v="1"/>
    <x v="3"/>
    <x v="2585"/>
    <x v="56"/>
    <x v="242"/>
    <x v="7"/>
    <x v="5"/>
    <n v="141171.54999999999"/>
    <x v="2"/>
    <x v="2"/>
  </r>
  <r>
    <x v="2641"/>
    <s v="Kristen Adams"/>
    <x v="57"/>
    <x v="1"/>
    <x v="1"/>
    <x v="2586"/>
    <x v="86"/>
    <x v="59"/>
    <x v="8"/>
    <x v="5"/>
    <n v="356186.77"/>
    <x v="1"/>
    <x v="5"/>
  </r>
  <r>
    <x v="2642"/>
    <s v="Patricia Moore"/>
    <x v="12"/>
    <x v="0"/>
    <x v="4"/>
    <x v="2587"/>
    <x v="76"/>
    <x v="253"/>
    <x v="0"/>
    <x v="3"/>
    <n v="113105.24"/>
    <x v="1"/>
    <x v="13"/>
  </r>
  <r>
    <x v="2643"/>
    <s v="Joseph Yates"/>
    <x v="62"/>
    <x v="0"/>
    <x v="6"/>
    <x v="2588"/>
    <x v="359"/>
    <x v="155"/>
    <x v="3"/>
    <x v="2"/>
    <n v="195559.21"/>
    <x v="0"/>
    <x v="13"/>
  </r>
  <r>
    <x v="2644"/>
    <s v="Thomas Knight"/>
    <x v="36"/>
    <x v="0"/>
    <x v="4"/>
    <x v="2589"/>
    <x v="109"/>
    <x v="267"/>
    <x v="8"/>
    <x v="3"/>
    <n v="169896.1"/>
    <x v="0"/>
    <x v="2"/>
  </r>
  <r>
    <x v="2645"/>
    <s v="Emily Rosales"/>
    <x v="63"/>
    <x v="1"/>
    <x v="0"/>
    <x v="2590"/>
    <x v="147"/>
    <x v="282"/>
    <x v="8"/>
    <x v="2"/>
    <n v="249704"/>
    <x v="1"/>
    <x v="4"/>
  </r>
  <r>
    <x v="2646"/>
    <s v="Jessica Bartlett"/>
    <x v="68"/>
    <x v="0"/>
    <x v="6"/>
    <x v="2591"/>
    <x v="55"/>
    <x v="74"/>
    <x v="8"/>
    <x v="0"/>
    <n v="87439.11"/>
    <x v="0"/>
    <x v="8"/>
  </r>
  <r>
    <x v="2647"/>
    <s v="Teresa Price"/>
    <x v="6"/>
    <x v="1"/>
    <x v="5"/>
    <x v="2592"/>
    <x v="29"/>
    <x v="31"/>
    <x v="9"/>
    <x v="5"/>
    <n v="134071.51999999999"/>
    <x v="0"/>
    <x v="13"/>
  </r>
  <r>
    <x v="2648"/>
    <s v="Joshua Wolf"/>
    <x v="23"/>
    <x v="0"/>
    <x v="4"/>
    <x v="1052"/>
    <x v="316"/>
    <x v="45"/>
    <x v="8"/>
    <x v="0"/>
    <n v="437527.67"/>
    <x v="2"/>
    <x v="7"/>
  </r>
  <r>
    <x v="2649"/>
    <s v="Gregory Gray"/>
    <x v="44"/>
    <x v="0"/>
    <x v="1"/>
    <x v="2593"/>
    <x v="301"/>
    <x v="349"/>
    <x v="0"/>
    <x v="0"/>
    <n v="204997.46"/>
    <x v="2"/>
    <x v="10"/>
  </r>
  <r>
    <x v="2650"/>
    <s v="Amy White"/>
    <x v="64"/>
    <x v="1"/>
    <x v="4"/>
    <x v="2594"/>
    <x v="123"/>
    <x v="212"/>
    <x v="5"/>
    <x v="3"/>
    <n v="378464.8"/>
    <x v="1"/>
    <x v="0"/>
  </r>
  <r>
    <x v="2651"/>
    <s v="Jill Hudson"/>
    <x v="9"/>
    <x v="1"/>
    <x v="1"/>
    <x v="2595"/>
    <x v="190"/>
    <x v="86"/>
    <x v="1"/>
    <x v="0"/>
    <n v="262840.96999999997"/>
    <x v="0"/>
    <x v="3"/>
  </r>
  <r>
    <x v="2652"/>
    <s v="Emily Morris"/>
    <x v="66"/>
    <x v="1"/>
    <x v="5"/>
    <x v="2596"/>
    <x v="36"/>
    <x v="42"/>
    <x v="4"/>
    <x v="1"/>
    <n v="471441.18"/>
    <x v="0"/>
    <x v="14"/>
  </r>
  <r>
    <x v="2653"/>
    <s v="Michael Soto"/>
    <x v="7"/>
    <x v="0"/>
    <x v="0"/>
    <x v="2597"/>
    <x v="347"/>
    <x v="60"/>
    <x v="0"/>
    <x v="5"/>
    <n v="349798.12"/>
    <x v="1"/>
    <x v="7"/>
  </r>
  <r>
    <x v="2654"/>
    <s v="Seth Hicks"/>
    <x v="17"/>
    <x v="0"/>
    <x v="6"/>
    <x v="2598"/>
    <x v="60"/>
    <x v="171"/>
    <x v="0"/>
    <x v="4"/>
    <n v="397417.16"/>
    <x v="1"/>
    <x v="10"/>
  </r>
  <r>
    <x v="2655"/>
    <s v="Andrew Campos"/>
    <x v="49"/>
    <x v="0"/>
    <x v="5"/>
    <x v="2599"/>
    <x v="13"/>
    <x v="68"/>
    <x v="1"/>
    <x v="2"/>
    <n v="52296.74"/>
    <x v="2"/>
    <x v="9"/>
  </r>
  <r>
    <x v="2656"/>
    <s v="Toni Cruz"/>
    <x v="48"/>
    <x v="1"/>
    <x v="0"/>
    <x v="2600"/>
    <x v="82"/>
    <x v="13"/>
    <x v="8"/>
    <x v="4"/>
    <n v="366678.02"/>
    <x v="0"/>
    <x v="6"/>
  </r>
  <r>
    <x v="2657"/>
    <s v="Julia Thompson"/>
    <x v="87"/>
    <x v="1"/>
    <x v="2"/>
    <x v="2601"/>
    <x v="144"/>
    <x v="222"/>
    <x v="5"/>
    <x v="5"/>
    <n v="167847.09"/>
    <x v="0"/>
    <x v="12"/>
  </r>
  <r>
    <x v="2658"/>
    <s v="Anthony Walker"/>
    <x v="50"/>
    <x v="1"/>
    <x v="2"/>
    <x v="2602"/>
    <x v="328"/>
    <x v="47"/>
    <x v="1"/>
    <x v="2"/>
    <n v="475233.09"/>
    <x v="1"/>
    <x v="10"/>
  </r>
  <r>
    <x v="2659"/>
    <s v="Jordan Walker"/>
    <x v="56"/>
    <x v="1"/>
    <x v="6"/>
    <x v="2603"/>
    <x v="141"/>
    <x v="284"/>
    <x v="8"/>
    <x v="2"/>
    <n v="390235.13"/>
    <x v="1"/>
    <x v="13"/>
  </r>
  <r>
    <x v="2660"/>
    <s v="Austin Robinson"/>
    <x v="16"/>
    <x v="0"/>
    <x v="1"/>
    <x v="2604"/>
    <x v="179"/>
    <x v="26"/>
    <x v="9"/>
    <x v="2"/>
    <n v="207825.67"/>
    <x v="1"/>
    <x v="0"/>
  </r>
  <r>
    <x v="2661"/>
    <s v="Pamela Davila"/>
    <x v="36"/>
    <x v="0"/>
    <x v="1"/>
    <x v="2605"/>
    <x v="0"/>
    <x v="28"/>
    <x v="4"/>
    <x v="3"/>
    <n v="447549.52"/>
    <x v="0"/>
    <x v="2"/>
  </r>
  <r>
    <x v="2662"/>
    <s v="Jonathan Perez"/>
    <x v="68"/>
    <x v="0"/>
    <x v="6"/>
    <x v="2606"/>
    <x v="187"/>
    <x v="37"/>
    <x v="2"/>
    <x v="4"/>
    <n v="91786.95"/>
    <x v="1"/>
    <x v="14"/>
  </r>
  <r>
    <x v="2663"/>
    <s v="Andrew Sheppard II"/>
    <x v="55"/>
    <x v="0"/>
    <x v="1"/>
    <x v="2607"/>
    <x v="240"/>
    <x v="63"/>
    <x v="2"/>
    <x v="5"/>
    <n v="478992.68"/>
    <x v="2"/>
    <x v="6"/>
  </r>
  <r>
    <x v="2664"/>
    <s v="Michelle Black"/>
    <x v="12"/>
    <x v="1"/>
    <x v="0"/>
    <x v="2608"/>
    <x v="221"/>
    <x v="251"/>
    <x v="8"/>
    <x v="4"/>
    <n v="227570.64"/>
    <x v="0"/>
    <x v="1"/>
  </r>
  <r>
    <x v="2665"/>
    <s v="Sarah Carter"/>
    <x v="8"/>
    <x v="1"/>
    <x v="4"/>
    <x v="2609"/>
    <x v="14"/>
    <x v="310"/>
    <x v="7"/>
    <x v="1"/>
    <n v="161277.74"/>
    <x v="2"/>
    <x v="2"/>
  </r>
  <r>
    <x v="2666"/>
    <s v="Andrew Olson"/>
    <x v="53"/>
    <x v="0"/>
    <x v="1"/>
    <x v="2610"/>
    <x v="168"/>
    <x v="282"/>
    <x v="6"/>
    <x v="2"/>
    <n v="67062.37"/>
    <x v="0"/>
    <x v="1"/>
  </r>
  <r>
    <x v="2667"/>
    <s v="John Carlson"/>
    <x v="81"/>
    <x v="1"/>
    <x v="0"/>
    <x v="2611"/>
    <x v="331"/>
    <x v="341"/>
    <x v="1"/>
    <x v="3"/>
    <n v="216083.78"/>
    <x v="1"/>
    <x v="14"/>
  </r>
  <r>
    <x v="2668"/>
    <s v="William Mitchell"/>
    <x v="30"/>
    <x v="1"/>
    <x v="4"/>
    <x v="2612"/>
    <x v="254"/>
    <x v="158"/>
    <x v="3"/>
    <x v="4"/>
    <n v="446642.32"/>
    <x v="0"/>
    <x v="11"/>
  </r>
  <r>
    <x v="2669"/>
    <s v="Joseph Gordon"/>
    <x v="52"/>
    <x v="0"/>
    <x v="5"/>
    <x v="2613"/>
    <x v="206"/>
    <x v="94"/>
    <x v="0"/>
    <x v="0"/>
    <n v="25021.65"/>
    <x v="2"/>
    <x v="11"/>
  </r>
  <r>
    <x v="2670"/>
    <s v="Caroline Robinson"/>
    <x v="23"/>
    <x v="1"/>
    <x v="6"/>
    <x v="2614"/>
    <x v="10"/>
    <x v="211"/>
    <x v="8"/>
    <x v="3"/>
    <n v="408707.91"/>
    <x v="1"/>
    <x v="2"/>
  </r>
  <r>
    <x v="2671"/>
    <s v="Ashley Gomez"/>
    <x v="12"/>
    <x v="0"/>
    <x v="5"/>
    <x v="2615"/>
    <x v="258"/>
    <x v="10"/>
    <x v="3"/>
    <x v="3"/>
    <n v="456973.37"/>
    <x v="0"/>
    <x v="11"/>
  </r>
  <r>
    <x v="2672"/>
    <s v="Melissa Smith"/>
    <x v="39"/>
    <x v="1"/>
    <x v="4"/>
    <x v="2616"/>
    <x v="166"/>
    <x v="231"/>
    <x v="9"/>
    <x v="5"/>
    <n v="25446.29"/>
    <x v="0"/>
    <x v="0"/>
  </r>
  <r>
    <x v="2673"/>
    <s v="Susan Stewart"/>
    <x v="83"/>
    <x v="0"/>
    <x v="0"/>
    <x v="2617"/>
    <x v="314"/>
    <x v="368"/>
    <x v="3"/>
    <x v="1"/>
    <n v="360034.31"/>
    <x v="1"/>
    <x v="12"/>
  </r>
  <r>
    <x v="2674"/>
    <s v="Mr. James Oneill"/>
    <x v="88"/>
    <x v="0"/>
    <x v="1"/>
    <x v="2618"/>
    <x v="134"/>
    <x v="329"/>
    <x v="2"/>
    <x v="1"/>
    <n v="254516.25"/>
    <x v="1"/>
    <x v="6"/>
  </r>
  <r>
    <x v="2675"/>
    <s v="Heather Dunn"/>
    <x v="70"/>
    <x v="1"/>
    <x v="3"/>
    <x v="2619"/>
    <x v="59"/>
    <x v="361"/>
    <x v="8"/>
    <x v="2"/>
    <n v="81948.06"/>
    <x v="2"/>
    <x v="12"/>
  </r>
  <r>
    <x v="2676"/>
    <s v="Kevin Wright"/>
    <x v="54"/>
    <x v="1"/>
    <x v="3"/>
    <x v="1251"/>
    <x v="39"/>
    <x v="289"/>
    <x v="6"/>
    <x v="4"/>
    <n v="199410.65"/>
    <x v="0"/>
    <x v="13"/>
  </r>
  <r>
    <x v="2677"/>
    <s v="Lindsey Ellis"/>
    <x v="42"/>
    <x v="1"/>
    <x v="6"/>
    <x v="2620"/>
    <x v="172"/>
    <x v="252"/>
    <x v="0"/>
    <x v="0"/>
    <n v="346330.32"/>
    <x v="1"/>
    <x v="2"/>
  </r>
  <r>
    <x v="2678"/>
    <s v="David Robinson"/>
    <x v="71"/>
    <x v="1"/>
    <x v="5"/>
    <x v="1462"/>
    <x v="357"/>
    <x v="336"/>
    <x v="2"/>
    <x v="0"/>
    <n v="23747.3"/>
    <x v="1"/>
    <x v="13"/>
  </r>
  <r>
    <x v="2679"/>
    <s v="Jonathan Cooper"/>
    <x v="34"/>
    <x v="1"/>
    <x v="4"/>
    <x v="2621"/>
    <x v="99"/>
    <x v="310"/>
    <x v="7"/>
    <x v="3"/>
    <n v="465405.34"/>
    <x v="1"/>
    <x v="11"/>
  </r>
  <r>
    <x v="2680"/>
    <s v="Joshua Foster"/>
    <x v="65"/>
    <x v="1"/>
    <x v="3"/>
    <x v="2622"/>
    <x v="130"/>
    <x v="80"/>
    <x v="4"/>
    <x v="1"/>
    <n v="290114.19"/>
    <x v="1"/>
    <x v="0"/>
  </r>
  <r>
    <x v="2681"/>
    <s v="Roberto Sanchez"/>
    <x v="19"/>
    <x v="1"/>
    <x v="2"/>
    <x v="2623"/>
    <x v="116"/>
    <x v="56"/>
    <x v="5"/>
    <x v="1"/>
    <n v="244369.33"/>
    <x v="1"/>
    <x v="1"/>
  </r>
  <r>
    <x v="2682"/>
    <s v="Virginia Cole"/>
    <x v="29"/>
    <x v="0"/>
    <x v="2"/>
    <x v="2624"/>
    <x v="143"/>
    <x v="65"/>
    <x v="5"/>
    <x v="1"/>
    <n v="348949.78"/>
    <x v="1"/>
    <x v="1"/>
  </r>
  <r>
    <x v="2683"/>
    <s v="Kathryn Silva"/>
    <x v="69"/>
    <x v="1"/>
    <x v="2"/>
    <x v="2625"/>
    <x v="9"/>
    <x v="284"/>
    <x v="9"/>
    <x v="3"/>
    <n v="476065.46"/>
    <x v="0"/>
    <x v="8"/>
  </r>
  <r>
    <x v="2684"/>
    <s v="Adam Baxter"/>
    <x v="38"/>
    <x v="1"/>
    <x v="1"/>
    <x v="2626"/>
    <x v="96"/>
    <x v="357"/>
    <x v="3"/>
    <x v="0"/>
    <n v="33556.94"/>
    <x v="1"/>
    <x v="5"/>
  </r>
  <r>
    <x v="2685"/>
    <s v="Troy Hurley"/>
    <x v="38"/>
    <x v="1"/>
    <x v="6"/>
    <x v="2627"/>
    <x v="105"/>
    <x v="365"/>
    <x v="3"/>
    <x v="3"/>
    <n v="95786.04"/>
    <x v="0"/>
    <x v="6"/>
  </r>
  <r>
    <x v="2686"/>
    <s v="Dana Walker"/>
    <x v="7"/>
    <x v="1"/>
    <x v="5"/>
    <x v="2628"/>
    <x v="97"/>
    <x v="43"/>
    <x v="5"/>
    <x v="0"/>
    <n v="226439.25"/>
    <x v="2"/>
    <x v="4"/>
  </r>
  <r>
    <x v="2687"/>
    <s v="Christopher Adams"/>
    <x v="3"/>
    <x v="1"/>
    <x v="1"/>
    <x v="2629"/>
    <x v="345"/>
    <x v="333"/>
    <x v="4"/>
    <x v="2"/>
    <n v="235810.46"/>
    <x v="0"/>
    <x v="6"/>
  </r>
  <r>
    <x v="2688"/>
    <s v="Brittany Davis"/>
    <x v="67"/>
    <x v="1"/>
    <x v="4"/>
    <x v="2630"/>
    <x v="184"/>
    <x v="71"/>
    <x v="5"/>
    <x v="5"/>
    <n v="272565.53000000003"/>
    <x v="2"/>
    <x v="2"/>
  </r>
  <r>
    <x v="2689"/>
    <s v="Bryan Reed"/>
    <x v="1"/>
    <x v="1"/>
    <x v="2"/>
    <x v="2631"/>
    <x v="272"/>
    <x v="123"/>
    <x v="4"/>
    <x v="4"/>
    <n v="259035.76"/>
    <x v="2"/>
    <x v="6"/>
  </r>
  <r>
    <x v="2690"/>
    <s v="James Lowery"/>
    <x v="50"/>
    <x v="0"/>
    <x v="1"/>
    <x v="2632"/>
    <x v="251"/>
    <x v="137"/>
    <x v="6"/>
    <x v="2"/>
    <n v="433254.89"/>
    <x v="1"/>
    <x v="6"/>
  </r>
  <r>
    <x v="2691"/>
    <s v="Rachael Yu"/>
    <x v="4"/>
    <x v="1"/>
    <x v="2"/>
    <x v="2633"/>
    <x v="271"/>
    <x v="167"/>
    <x v="8"/>
    <x v="5"/>
    <n v="320446.34000000003"/>
    <x v="0"/>
    <x v="4"/>
  </r>
  <r>
    <x v="2692"/>
    <s v="Jessica Spears"/>
    <x v="29"/>
    <x v="1"/>
    <x v="4"/>
    <x v="2634"/>
    <x v="47"/>
    <x v="211"/>
    <x v="4"/>
    <x v="4"/>
    <n v="28339.31"/>
    <x v="2"/>
    <x v="13"/>
  </r>
  <r>
    <x v="2693"/>
    <s v="Dr. Raymond Hunt DDS"/>
    <x v="7"/>
    <x v="0"/>
    <x v="0"/>
    <x v="2635"/>
    <x v="108"/>
    <x v="166"/>
    <x v="8"/>
    <x v="1"/>
    <n v="161608.68"/>
    <x v="2"/>
    <x v="7"/>
  </r>
  <r>
    <x v="2694"/>
    <s v="Wendy Simmons"/>
    <x v="68"/>
    <x v="1"/>
    <x v="5"/>
    <x v="2636"/>
    <x v="25"/>
    <x v="161"/>
    <x v="9"/>
    <x v="1"/>
    <n v="206070.3"/>
    <x v="2"/>
    <x v="5"/>
  </r>
  <r>
    <x v="2695"/>
    <s v="Gabriela Ellis"/>
    <x v="66"/>
    <x v="1"/>
    <x v="2"/>
    <x v="2637"/>
    <x v="142"/>
    <x v="207"/>
    <x v="2"/>
    <x v="3"/>
    <n v="42823.91"/>
    <x v="1"/>
    <x v="8"/>
  </r>
  <r>
    <x v="2696"/>
    <s v="John Krueger"/>
    <x v="9"/>
    <x v="0"/>
    <x v="6"/>
    <x v="2638"/>
    <x v="333"/>
    <x v="319"/>
    <x v="4"/>
    <x v="2"/>
    <n v="249748.58"/>
    <x v="1"/>
    <x v="9"/>
  </r>
  <r>
    <x v="2697"/>
    <s v="Crystal Moore"/>
    <x v="72"/>
    <x v="1"/>
    <x v="6"/>
    <x v="2639"/>
    <x v="310"/>
    <x v="215"/>
    <x v="1"/>
    <x v="0"/>
    <n v="402019.73"/>
    <x v="0"/>
    <x v="5"/>
  </r>
  <r>
    <x v="2698"/>
    <s v="Kenneth Watkins"/>
    <x v="17"/>
    <x v="0"/>
    <x v="3"/>
    <x v="2640"/>
    <x v="161"/>
    <x v="186"/>
    <x v="1"/>
    <x v="5"/>
    <n v="242266.77"/>
    <x v="0"/>
    <x v="11"/>
  </r>
  <r>
    <x v="2699"/>
    <s v="Charles Young"/>
    <x v="64"/>
    <x v="0"/>
    <x v="6"/>
    <x v="2641"/>
    <x v="1"/>
    <x v="354"/>
    <x v="4"/>
    <x v="1"/>
    <n v="334459.68"/>
    <x v="2"/>
    <x v="9"/>
  </r>
  <r>
    <x v="2700"/>
    <s v="Larry Elliott"/>
    <x v="45"/>
    <x v="0"/>
    <x v="2"/>
    <x v="2642"/>
    <x v="144"/>
    <x v="92"/>
    <x v="3"/>
    <x v="0"/>
    <n v="350655.08"/>
    <x v="2"/>
    <x v="13"/>
  </r>
  <r>
    <x v="2701"/>
    <s v="Shannon Dawson"/>
    <x v="68"/>
    <x v="0"/>
    <x v="2"/>
    <x v="2643"/>
    <x v="20"/>
    <x v="365"/>
    <x v="6"/>
    <x v="2"/>
    <n v="255544.51"/>
    <x v="2"/>
    <x v="5"/>
  </r>
  <r>
    <x v="2702"/>
    <s v="Justin Rodgers"/>
    <x v="40"/>
    <x v="0"/>
    <x v="0"/>
    <x v="2644"/>
    <x v="149"/>
    <x v="40"/>
    <x v="4"/>
    <x v="4"/>
    <n v="40040.589999999997"/>
    <x v="0"/>
    <x v="6"/>
  </r>
  <r>
    <x v="2703"/>
    <s v="Brian Cole"/>
    <x v="83"/>
    <x v="0"/>
    <x v="5"/>
    <x v="2645"/>
    <x v="324"/>
    <x v="368"/>
    <x v="6"/>
    <x v="1"/>
    <n v="188731.75"/>
    <x v="0"/>
    <x v="7"/>
  </r>
  <r>
    <x v="2704"/>
    <s v="Aaron Mason"/>
    <x v="25"/>
    <x v="0"/>
    <x v="3"/>
    <x v="2646"/>
    <x v="238"/>
    <x v="34"/>
    <x v="0"/>
    <x v="1"/>
    <n v="6834.1"/>
    <x v="0"/>
    <x v="13"/>
  </r>
  <r>
    <x v="2705"/>
    <s v="Michelle Hernandez"/>
    <x v="30"/>
    <x v="0"/>
    <x v="4"/>
    <x v="2647"/>
    <x v="272"/>
    <x v="237"/>
    <x v="4"/>
    <x v="1"/>
    <n v="59838.7"/>
    <x v="1"/>
    <x v="11"/>
  </r>
  <r>
    <x v="2706"/>
    <s v="Matthew Burton"/>
    <x v="6"/>
    <x v="0"/>
    <x v="1"/>
    <x v="2648"/>
    <x v="159"/>
    <x v="294"/>
    <x v="3"/>
    <x v="1"/>
    <n v="458672.27"/>
    <x v="0"/>
    <x v="3"/>
  </r>
  <r>
    <x v="2707"/>
    <s v="Kayla Mcclure"/>
    <x v="29"/>
    <x v="1"/>
    <x v="2"/>
    <x v="2649"/>
    <x v="48"/>
    <x v="268"/>
    <x v="9"/>
    <x v="4"/>
    <n v="216755.94"/>
    <x v="1"/>
    <x v="8"/>
  </r>
  <r>
    <x v="2708"/>
    <s v="Jonathan Hogan DDS"/>
    <x v="37"/>
    <x v="1"/>
    <x v="6"/>
    <x v="2650"/>
    <x v="147"/>
    <x v="293"/>
    <x v="0"/>
    <x v="0"/>
    <n v="481599.18"/>
    <x v="1"/>
    <x v="13"/>
  </r>
  <r>
    <x v="2709"/>
    <s v="Chris Robinson"/>
    <x v="88"/>
    <x v="1"/>
    <x v="2"/>
    <x v="2651"/>
    <x v="297"/>
    <x v="359"/>
    <x v="6"/>
    <x v="1"/>
    <n v="288747.84000000003"/>
    <x v="2"/>
    <x v="8"/>
  </r>
  <r>
    <x v="2710"/>
    <s v="Catherine Davies"/>
    <x v="60"/>
    <x v="0"/>
    <x v="1"/>
    <x v="2652"/>
    <x v="90"/>
    <x v="187"/>
    <x v="8"/>
    <x v="1"/>
    <n v="325184.46999999997"/>
    <x v="0"/>
    <x v="11"/>
  </r>
  <r>
    <x v="2711"/>
    <s v="Robin Scott"/>
    <x v="74"/>
    <x v="1"/>
    <x v="2"/>
    <x v="2653"/>
    <x v="109"/>
    <x v="267"/>
    <x v="9"/>
    <x v="5"/>
    <n v="455812.97"/>
    <x v="2"/>
    <x v="2"/>
  </r>
  <r>
    <x v="2712"/>
    <s v="Monica Hamilton"/>
    <x v="49"/>
    <x v="1"/>
    <x v="5"/>
    <x v="2654"/>
    <x v="87"/>
    <x v="210"/>
    <x v="2"/>
    <x v="3"/>
    <n v="183887.94"/>
    <x v="2"/>
    <x v="13"/>
  </r>
  <r>
    <x v="2713"/>
    <s v="Joshua Phelps"/>
    <x v="84"/>
    <x v="1"/>
    <x v="6"/>
    <x v="2655"/>
    <x v="43"/>
    <x v="53"/>
    <x v="5"/>
    <x v="0"/>
    <n v="313018.84000000003"/>
    <x v="0"/>
    <x v="0"/>
  </r>
  <r>
    <x v="2714"/>
    <s v="Steven Jefferson"/>
    <x v="58"/>
    <x v="1"/>
    <x v="5"/>
    <x v="2656"/>
    <x v="287"/>
    <x v="275"/>
    <x v="9"/>
    <x v="1"/>
    <n v="251814.76"/>
    <x v="1"/>
    <x v="4"/>
  </r>
  <r>
    <x v="2715"/>
    <s v="Maria Swanson"/>
    <x v="72"/>
    <x v="1"/>
    <x v="4"/>
    <x v="2657"/>
    <x v="72"/>
    <x v="115"/>
    <x v="9"/>
    <x v="3"/>
    <n v="463543.87"/>
    <x v="1"/>
    <x v="12"/>
  </r>
  <r>
    <x v="2716"/>
    <s v="Sharon Galvan"/>
    <x v="34"/>
    <x v="0"/>
    <x v="3"/>
    <x v="2658"/>
    <x v="237"/>
    <x v="288"/>
    <x v="6"/>
    <x v="4"/>
    <n v="260416.37"/>
    <x v="2"/>
    <x v="2"/>
  </r>
  <r>
    <x v="2717"/>
    <s v="Ricky Hopkins"/>
    <x v="14"/>
    <x v="0"/>
    <x v="5"/>
    <x v="2659"/>
    <x v="198"/>
    <x v="52"/>
    <x v="2"/>
    <x v="5"/>
    <n v="69860.509999999995"/>
    <x v="0"/>
    <x v="9"/>
  </r>
  <r>
    <x v="2718"/>
    <s v="Jessica Matthews"/>
    <x v="17"/>
    <x v="0"/>
    <x v="0"/>
    <x v="2660"/>
    <x v="249"/>
    <x v="132"/>
    <x v="3"/>
    <x v="0"/>
    <n v="471054.79"/>
    <x v="0"/>
    <x v="11"/>
  </r>
  <r>
    <x v="2719"/>
    <s v="Mary Hughes"/>
    <x v="63"/>
    <x v="0"/>
    <x v="3"/>
    <x v="2661"/>
    <x v="144"/>
    <x v="222"/>
    <x v="4"/>
    <x v="1"/>
    <n v="413882.37"/>
    <x v="1"/>
    <x v="12"/>
  </r>
  <r>
    <x v="2720"/>
    <s v="Angela Smith"/>
    <x v="8"/>
    <x v="0"/>
    <x v="4"/>
    <x v="2662"/>
    <x v="13"/>
    <x v="13"/>
    <x v="5"/>
    <x v="3"/>
    <n v="254881.13"/>
    <x v="1"/>
    <x v="4"/>
  </r>
  <r>
    <x v="2721"/>
    <s v="Melissa Davis"/>
    <x v="49"/>
    <x v="0"/>
    <x v="6"/>
    <x v="2663"/>
    <x v="48"/>
    <x v="307"/>
    <x v="0"/>
    <x v="1"/>
    <n v="253779.83"/>
    <x v="0"/>
    <x v="13"/>
  </r>
  <r>
    <x v="2722"/>
    <s v="Dana Mendoza"/>
    <x v="74"/>
    <x v="0"/>
    <x v="3"/>
    <x v="2664"/>
    <x v="305"/>
    <x v="308"/>
    <x v="6"/>
    <x v="5"/>
    <n v="275217.48"/>
    <x v="0"/>
    <x v="6"/>
  </r>
  <r>
    <x v="2723"/>
    <s v="Jeff Powell"/>
    <x v="71"/>
    <x v="1"/>
    <x v="5"/>
    <x v="2665"/>
    <x v="45"/>
    <x v="169"/>
    <x v="4"/>
    <x v="5"/>
    <n v="302503.99"/>
    <x v="1"/>
    <x v="2"/>
  </r>
  <r>
    <x v="2724"/>
    <s v="Barbara Cruz"/>
    <x v="41"/>
    <x v="0"/>
    <x v="5"/>
    <x v="2666"/>
    <x v="257"/>
    <x v="260"/>
    <x v="7"/>
    <x v="3"/>
    <n v="163310.48000000001"/>
    <x v="1"/>
    <x v="3"/>
  </r>
  <r>
    <x v="2725"/>
    <s v="Kristine Juarez"/>
    <x v="73"/>
    <x v="0"/>
    <x v="4"/>
    <x v="2667"/>
    <x v="152"/>
    <x v="155"/>
    <x v="0"/>
    <x v="3"/>
    <n v="362429.96"/>
    <x v="0"/>
    <x v="12"/>
  </r>
  <r>
    <x v="2726"/>
    <s v="David Miller"/>
    <x v="64"/>
    <x v="0"/>
    <x v="6"/>
    <x v="2668"/>
    <x v="342"/>
    <x v="162"/>
    <x v="6"/>
    <x v="5"/>
    <n v="165183.20000000001"/>
    <x v="2"/>
    <x v="1"/>
  </r>
  <r>
    <x v="2727"/>
    <s v="Bonnie Bruce"/>
    <x v="30"/>
    <x v="0"/>
    <x v="5"/>
    <x v="2669"/>
    <x v="162"/>
    <x v="149"/>
    <x v="7"/>
    <x v="1"/>
    <n v="232245.17"/>
    <x v="2"/>
    <x v="1"/>
  </r>
  <r>
    <x v="2728"/>
    <s v="Wyatt Rodriguez"/>
    <x v="45"/>
    <x v="1"/>
    <x v="2"/>
    <x v="2670"/>
    <x v="210"/>
    <x v="159"/>
    <x v="2"/>
    <x v="5"/>
    <n v="58267.45"/>
    <x v="1"/>
    <x v="0"/>
  </r>
  <r>
    <x v="2729"/>
    <s v="Becky Goodwin"/>
    <x v="57"/>
    <x v="0"/>
    <x v="3"/>
    <x v="2671"/>
    <x v="78"/>
    <x v="272"/>
    <x v="6"/>
    <x v="2"/>
    <n v="307749.96999999997"/>
    <x v="1"/>
    <x v="1"/>
  </r>
  <r>
    <x v="2730"/>
    <s v="Kimberly Martin"/>
    <x v="4"/>
    <x v="0"/>
    <x v="0"/>
    <x v="2672"/>
    <x v="91"/>
    <x v="226"/>
    <x v="1"/>
    <x v="3"/>
    <n v="224288.6"/>
    <x v="1"/>
    <x v="13"/>
  </r>
  <r>
    <x v="2731"/>
    <s v="Christina Graves"/>
    <x v="17"/>
    <x v="0"/>
    <x v="4"/>
    <x v="2673"/>
    <x v="279"/>
    <x v="158"/>
    <x v="2"/>
    <x v="4"/>
    <n v="203806.37"/>
    <x v="0"/>
    <x v="14"/>
  </r>
  <r>
    <x v="2732"/>
    <s v="Charles Lawrence"/>
    <x v="30"/>
    <x v="1"/>
    <x v="5"/>
    <x v="2674"/>
    <x v="163"/>
    <x v="25"/>
    <x v="7"/>
    <x v="5"/>
    <n v="461376.07"/>
    <x v="0"/>
    <x v="5"/>
  </r>
  <r>
    <x v="2733"/>
    <s v="Nicole Arnold"/>
    <x v="82"/>
    <x v="0"/>
    <x v="4"/>
    <x v="2675"/>
    <x v="274"/>
    <x v="224"/>
    <x v="3"/>
    <x v="4"/>
    <n v="195289.07"/>
    <x v="1"/>
    <x v="4"/>
  </r>
  <r>
    <x v="2734"/>
    <s v="Christina Hodges"/>
    <x v="2"/>
    <x v="0"/>
    <x v="2"/>
    <x v="2676"/>
    <x v="172"/>
    <x v="194"/>
    <x v="6"/>
    <x v="0"/>
    <n v="240215.65"/>
    <x v="2"/>
    <x v="1"/>
  </r>
  <r>
    <x v="2735"/>
    <s v="Phyllis Kelley"/>
    <x v="83"/>
    <x v="1"/>
    <x v="0"/>
    <x v="2677"/>
    <x v="309"/>
    <x v="254"/>
    <x v="7"/>
    <x v="1"/>
    <n v="137387.57999999999"/>
    <x v="2"/>
    <x v="13"/>
  </r>
  <r>
    <x v="2736"/>
    <s v="Amber Davis"/>
    <x v="6"/>
    <x v="0"/>
    <x v="6"/>
    <x v="2678"/>
    <x v="51"/>
    <x v="53"/>
    <x v="0"/>
    <x v="1"/>
    <n v="267879.73"/>
    <x v="1"/>
    <x v="14"/>
  </r>
  <r>
    <x v="2737"/>
    <s v="Bill Jones"/>
    <x v="7"/>
    <x v="0"/>
    <x v="4"/>
    <x v="2679"/>
    <x v="282"/>
    <x v="102"/>
    <x v="3"/>
    <x v="2"/>
    <n v="479051.07"/>
    <x v="0"/>
    <x v="0"/>
  </r>
  <r>
    <x v="2738"/>
    <s v="Emma Davis"/>
    <x v="89"/>
    <x v="1"/>
    <x v="4"/>
    <x v="2680"/>
    <x v="301"/>
    <x v="339"/>
    <x v="6"/>
    <x v="1"/>
    <n v="197411.54"/>
    <x v="2"/>
    <x v="0"/>
  </r>
  <r>
    <x v="2739"/>
    <s v="Shane Page"/>
    <x v="4"/>
    <x v="1"/>
    <x v="5"/>
    <x v="2681"/>
    <x v="87"/>
    <x v="210"/>
    <x v="0"/>
    <x v="2"/>
    <n v="257805.96"/>
    <x v="2"/>
    <x v="13"/>
  </r>
  <r>
    <x v="2740"/>
    <s v="Matthew Spencer"/>
    <x v="82"/>
    <x v="1"/>
    <x v="2"/>
    <x v="2682"/>
    <x v="79"/>
    <x v="13"/>
    <x v="4"/>
    <x v="4"/>
    <n v="65478.09"/>
    <x v="2"/>
    <x v="7"/>
  </r>
  <r>
    <x v="2741"/>
    <s v="Thomas Thompson"/>
    <x v="6"/>
    <x v="0"/>
    <x v="6"/>
    <x v="2683"/>
    <x v="42"/>
    <x v="251"/>
    <x v="3"/>
    <x v="4"/>
    <n v="307658.64"/>
    <x v="0"/>
    <x v="12"/>
  </r>
  <r>
    <x v="2742"/>
    <s v="Amanda Rodriguez"/>
    <x v="89"/>
    <x v="1"/>
    <x v="3"/>
    <x v="2684"/>
    <x v="197"/>
    <x v="273"/>
    <x v="3"/>
    <x v="1"/>
    <n v="475287.12"/>
    <x v="1"/>
    <x v="3"/>
  </r>
  <r>
    <x v="2743"/>
    <s v="Gary Houston"/>
    <x v="41"/>
    <x v="1"/>
    <x v="3"/>
    <x v="2685"/>
    <x v="233"/>
    <x v="320"/>
    <x v="3"/>
    <x v="4"/>
    <n v="303477.65000000002"/>
    <x v="1"/>
    <x v="9"/>
  </r>
  <r>
    <x v="2744"/>
    <s v="Thomas Bailey"/>
    <x v="42"/>
    <x v="1"/>
    <x v="4"/>
    <x v="2686"/>
    <x v="181"/>
    <x v="217"/>
    <x v="1"/>
    <x v="1"/>
    <n v="358993.58"/>
    <x v="0"/>
    <x v="7"/>
  </r>
  <r>
    <x v="2745"/>
    <s v="Becky Vargas"/>
    <x v="42"/>
    <x v="0"/>
    <x v="5"/>
    <x v="2687"/>
    <x v="8"/>
    <x v="350"/>
    <x v="4"/>
    <x v="0"/>
    <n v="52304.19"/>
    <x v="2"/>
    <x v="4"/>
  </r>
  <r>
    <x v="2746"/>
    <s v="Dr. Julie Wolfe"/>
    <x v="82"/>
    <x v="0"/>
    <x v="5"/>
    <x v="2688"/>
    <x v="343"/>
    <x v="208"/>
    <x v="0"/>
    <x v="1"/>
    <n v="342421.31"/>
    <x v="0"/>
    <x v="1"/>
  </r>
  <r>
    <x v="2747"/>
    <s v="Rodney Decker"/>
    <x v="28"/>
    <x v="0"/>
    <x v="2"/>
    <x v="2689"/>
    <x v="26"/>
    <x v="28"/>
    <x v="1"/>
    <x v="5"/>
    <n v="121484.65"/>
    <x v="1"/>
    <x v="14"/>
  </r>
  <r>
    <x v="2748"/>
    <s v="Katherine Smith"/>
    <x v="33"/>
    <x v="0"/>
    <x v="4"/>
    <x v="2690"/>
    <x v="154"/>
    <x v="57"/>
    <x v="6"/>
    <x v="3"/>
    <n v="483412.35"/>
    <x v="2"/>
    <x v="2"/>
  </r>
  <r>
    <x v="2749"/>
    <s v="Matthew Coleman"/>
    <x v="72"/>
    <x v="0"/>
    <x v="2"/>
    <x v="2691"/>
    <x v="57"/>
    <x v="343"/>
    <x v="6"/>
    <x v="0"/>
    <n v="335154.34999999998"/>
    <x v="2"/>
    <x v="13"/>
  </r>
  <r>
    <x v="2750"/>
    <s v="Hannah Brooks"/>
    <x v="32"/>
    <x v="1"/>
    <x v="2"/>
    <x v="2692"/>
    <x v="104"/>
    <x v="22"/>
    <x v="2"/>
    <x v="0"/>
    <n v="104345.65"/>
    <x v="0"/>
    <x v="4"/>
  </r>
  <r>
    <x v="2751"/>
    <s v="Robert Tucker"/>
    <x v="84"/>
    <x v="1"/>
    <x v="1"/>
    <x v="2693"/>
    <x v="55"/>
    <x v="146"/>
    <x v="6"/>
    <x v="4"/>
    <n v="66903.05"/>
    <x v="1"/>
    <x v="9"/>
  </r>
  <r>
    <x v="2752"/>
    <s v="Maria Harris"/>
    <x v="27"/>
    <x v="0"/>
    <x v="6"/>
    <x v="1472"/>
    <x v="266"/>
    <x v="138"/>
    <x v="4"/>
    <x v="1"/>
    <n v="203328.1"/>
    <x v="2"/>
    <x v="2"/>
  </r>
  <r>
    <x v="2753"/>
    <s v="Brian Salas"/>
    <x v="51"/>
    <x v="0"/>
    <x v="6"/>
    <x v="2694"/>
    <x v="50"/>
    <x v="143"/>
    <x v="4"/>
    <x v="1"/>
    <n v="120450.6"/>
    <x v="2"/>
    <x v="0"/>
  </r>
  <r>
    <x v="2754"/>
    <s v="Dr. Tammy Vaughan"/>
    <x v="3"/>
    <x v="0"/>
    <x v="2"/>
    <x v="2695"/>
    <x v="67"/>
    <x v="264"/>
    <x v="2"/>
    <x v="0"/>
    <n v="221339.72"/>
    <x v="0"/>
    <x v="7"/>
  </r>
  <r>
    <x v="2755"/>
    <s v="Thomas Collins"/>
    <x v="33"/>
    <x v="0"/>
    <x v="4"/>
    <x v="2696"/>
    <x v="206"/>
    <x v="108"/>
    <x v="1"/>
    <x v="5"/>
    <n v="383812.41"/>
    <x v="1"/>
    <x v="13"/>
  </r>
  <r>
    <x v="2756"/>
    <s v="Sylvia Simon"/>
    <x v="23"/>
    <x v="1"/>
    <x v="1"/>
    <x v="2697"/>
    <x v="327"/>
    <x v="302"/>
    <x v="8"/>
    <x v="3"/>
    <n v="84497.01"/>
    <x v="1"/>
    <x v="3"/>
  </r>
  <r>
    <x v="2757"/>
    <s v="Zachary Bishop"/>
    <x v="48"/>
    <x v="0"/>
    <x v="4"/>
    <x v="2698"/>
    <x v="281"/>
    <x v="115"/>
    <x v="6"/>
    <x v="5"/>
    <n v="149200.5"/>
    <x v="2"/>
    <x v="11"/>
  </r>
  <r>
    <x v="2758"/>
    <s v="Carol Boone"/>
    <x v="47"/>
    <x v="1"/>
    <x v="2"/>
    <x v="2699"/>
    <x v="328"/>
    <x v="55"/>
    <x v="1"/>
    <x v="4"/>
    <n v="333700.24"/>
    <x v="1"/>
    <x v="9"/>
  </r>
  <r>
    <x v="2759"/>
    <s v="Sara Shields"/>
    <x v="88"/>
    <x v="0"/>
    <x v="3"/>
    <x v="2700"/>
    <x v="365"/>
    <x v="369"/>
    <x v="2"/>
    <x v="3"/>
    <n v="317845.7"/>
    <x v="1"/>
    <x v="14"/>
  </r>
  <r>
    <x v="2760"/>
    <s v="Alexandra Bird"/>
    <x v="23"/>
    <x v="0"/>
    <x v="0"/>
    <x v="2701"/>
    <x v="172"/>
    <x v="375"/>
    <x v="5"/>
    <x v="3"/>
    <n v="417732.68"/>
    <x v="0"/>
    <x v="9"/>
  </r>
  <r>
    <x v="2761"/>
    <s v="James Reed"/>
    <x v="15"/>
    <x v="1"/>
    <x v="3"/>
    <x v="2702"/>
    <x v="192"/>
    <x v="113"/>
    <x v="5"/>
    <x v="0"/>
    <n v="24488.09"/>
    <x v="2"/>
    <x v="10"/>
  </r>
  <r>
    <x v="2762"/>
    <s v="Jeremy Johnson"/>
    <x v="41"/>
    <x v="0"/>
    <x v="2"/>
    <x v="2703"/>
    <x v="110"/>
    <x v="274"/>
    <x v="1"/>
    <x v="0"/>
    <n v="409684.19"/>
    <x v="0"/>
    <x v="7"/>
  </r>
  <r>
    <x v="2763"/>
    <s v="Daryl Casey"/>
    <x v="54"/>
    <x v="0"/>
    <x v="1"/>
    <x v="2704"/>
    <x v="240"/>
    <x v="371"/>
    <x v="4"/>
    <x v="3"/>
    <n v="459111.99"/>
    <x v="0"/>
    <x v="9"/>
  </r>
  <r>
    <x v="2764"/>
    <s v="Connor Koch"/>
    <x v="70"/>
    <x v="1"/>
    <x v="0"/>
    <x v="2705"/>
    <x v="182"/>
    <x v="110"/>
    <x v="8"/>
    <x v="5"/>
    <n v="18351.330000000002"/>
    <x v="2"/>
    <x v="2"/>
  </r>
  <r>
    <x v="2765"/>
    <s v="Jeffrey Tanner"/>
    <x v="59"/>
    <x v="1"/>
    <x v="4"/>
    <x v="2706"/>
    <x v="338"/>
    <x v="15"/>
    <x v="3"/>
    <x v="3"/>
    <n v="486955.9"/>
    <x v="1"/>
    <x v="8"/>
  </r>
  <r>
    <x v="2766"/>
    <s v="Shannon Mcdonald"/>
    <x v="41"/>
    <x v="1"/>
    <x v="5"/>
    <x v="2707"/>
    <x v="141"/>
    <x v="9"/>
    <x v="5"/>
    <x v="4"/>
    <n v="6386.1"/>
    <x v="2"/>
    <x v="9"/>
  </r>
  <r>
    <x v="2767"/>
    <s v="Jennifer Lee"/>
    <x v="55"/>
    <x v="1"/>
    <x v="3"/>
    <x v="2708"/>
    <x v="273"/>
    <x v="210"/>
    <x v="8"/>
    <x v="3"/>
    <n v="423362.35"/>
    <x v="0"/>
    <x v="9"/>
  </r>
  <r>
    <x v="2768"/>
    <s v="Matthew Rodriguez PhD"/>
    <x v="36"/>
    <x v="1"/>
    <x v="4"/>
    <x v="2709"/>
    <x v="195"/>
    <x v="52"/>
    <x v="7"/>
    <x v="4"/>
    <n v="187614.21"/>
    <x v="0"/>
    <x v="14"/>
  </r>
  <r>
    <x v="2769"/>
    <s v="Brett Torres"/>
    <x v="50"/>
    <x v="1"/>
    <x v="2"/>
    <x v="2710"/>
    <x v="129"/>
    <x v="311"/>
    <x v="0"/>
    <x v="5"/>
    <n v="488326.03"/>
    <x v="1"/>
    <x v="10"/>
  </r>
  <r>
    <x v="2770"/>
    <s v="Linda Holder"/>
    <x v="43"/>
    <x v="0"/>
    <x v="6"/>
    <x v="2711"/>
    <x v="185"/>
    <x v="131"/>
    <x v="9"/>
    <x v="1"/>
    <n v="146474.54999999999"/>
    <x v="2"/>
    <x v="0"/>
  </r>
  <r>
    <x v="2771"/>
    <s v="Anthony Morales"/>
    <x v="33"/>
    <x v="1"/>
    <x v="6"/>
    <x v="2712"/>
    <x v="304"/>
    <x v="102"/>
    <x v="2"/>
    <x v="3"/>
    <n v="453573.3"/>
    <x v="1"/>
    <x v="8"/>
  </r>
  <r>
    <x v="2772"/>
    <s v="Justin Walsh"/>
    <x v="16"/>
    <x v="0"/>
    <x v="2"/>
    <x v="844"/>
    <x v="171"/>
    <x v="367"/>
    <x v="1"/>
    <x v="2"/>
    <n v="65041.440000000002"/>
    <x v="2"/>
    <x v="14"/>
  </r>
  <r>
    <x v="2773"/>
    <s v="Carolyn Thomas"/>
    <x v="61"/>
    <x v="0"/>
    <x v="5"/>
    <x v="2713"/>
    <x v="277"/>
    <x v="146"/>
    <x v="4"/>
    <x v="2"/>
    <n v="144827.29999999999"/>
    <x v="2"/>
    <x v="1"/>
  </r>
  <r>
    <x v="2774"/>
    <s v="Justin Hughes"/>
    <x v="55"/>
    <x v="0"/>
    <x v="6"/>
    <x v="2714"/>
    <x v="232"/>
    <x v="349"/>
    <x v="8"/>
    <x v="5"/>
    <n v="67299.33"/>
    <x v="1"/>
    <x v="4"/>
  </r>
  <r>
    <x v="2775"/>
    <s v="Ms. Ashley Erickson"/>
    <x v="59"/>
    <x v="0"/>
    <x v="4"/>
    <x v="2715"/>
    <x v="86"/>
    <x v="374"/>
    <x v="6"/>
    <x v="2"/>
    <n v="175583.76"/>
    <x v="0"/>
    <x v="7"/>
  </r>
  <r>
    <x v="2776"/>
    <s v="Elizabeth Dixon"/>
    <x v="72"/>
    <x v="0"/>
    <x v="0"/>
    <x v="2716"/>
    <x v="300"/>
    <x v="349"/>
    <x v="8"/>
    <x v="0"/>
    <n v="51928.5"/>
    <x v="1"/>
    <x v="1"/>
  </r>
  <r>
    <x v="2777"/>
    <s v="Katherine Garrett"/>
    <x v="27"/>
    <x v="0"/>
    <x v="4"/>
    <x v="2717"/>
    <x v="206"/>
    <x v="219"/>
    <x v="7"/>
    <x v="3"/>
    <n v="140324.32999999999"/>
    <x v="2"/>
    <x v="0"/>
  </r>
  <r>
    <x v="2778"/>
    <s v="Dr. Linda Cruz"/>
    <x v="84"/>
    <x v="0"/>
    <x v="2"/>
    <x v="2718"/>
    <x v="124"/>
    <x v="132"/>
    <x v="5"/>
    <x v="2"/>
    <n v="319397.11"/>
    <x v="0"/>
    <x v="9"/>
  </r>
  <r>
    <x v="2779"/>
    <s v="Kim Thompson"/>
    <x v="53"/>
    <x v="0"/>
    <x v="5"/>
    <x v="2719"/>
    <x v="169"/>
    <x v="212"/>
    <x v="2"/>
    <x v="1"/>
    <n v="370973.88"/>
    <x v="1"/>
    <x v="8"/>
  </r>
  <r>
    <x v="2780"/>
    <s v="Nicholas Gonzales"/>
    <x v="58"/>
    <x v="1"/>
    <x v="1"/>
    <x v="2720"/>
    <x v="74"/>
    <x v="119"/>
    <x v="0"/>
    <x v="0"/>
    <n v="141795.37"/>
    <x v="1"/>
    <x v="11"/>
  </r>
  <r>
    <x v="2781"/>
    <s v="Elizabeth Nguyen"/>
    <x v="7"/>
    <x v="1"/>
    <x v="0"/>
    <x v="2721"/>
    <x v="58"/>
    <x v="44"/>
    <x v="0"/>
    <x v="0"/>
    <n v="401487.88"/>
    <x v="0"/>
    <x v="14"/>
  </r>
  <r>
    <x v="2782"/>
    <s v="Steven Shelton"/>
    <x v="62"/>
    <x v="0"/>
    <x v="0"/>
    <x v="2722"/>
    <x v="95"/>
    <x v="154"/>
    <x v="1"/>
    <x v="4"/>
    <n v="388207.75"/>
    <x v="0"/>
    <x v="0"/>
  </r>
  <r>
    <x v="2783"/>
    <s v="Steven Williams"/>
    <x v="27"/>
    <x v="0"/>
    <x v="6"/>
    <x v="2723"/>
    <x v="162"/>
    <x v="256"/>
    <x v="0"/>
    <x v="3"/>
    <n v="166964.79"/>
    <x v="0"/>
    <x v="4"/>
  </r>
  <r>
    <x v="2784"/>
    <s v="Samuel Johnson"/>
    <x v="74"/>
    <x v="1"/>
    <x v="4"/>
    <x v="2724"/>
    <x v="80"/>
    <x v="357"/>
    <x v="1"/>
    <x v="2"/>
    <n v="181195.62"/>
    <x v="1"/>
    <x v="2"/>
  </r>
  <r>
    <x v="2785"/>
    <s v="William Stark"/>
    <x v="34"/>
    <x v="0"/>
    <x v="3"/>
    <x v="2725"/>
    <x v="212"/>
    <x v="358"/>
    <x v="6"/>
    <x v="1"/>
    <n v="312328.46000000002"/>
    <x v="1"/>
    <x v="11"/>
  </r>
  <r>
    <x v="2786"/>
    <s v="Kyle Stark"/>
    <x v="65"/>
    <x v="0"/>
    <x v="6"/>
    <x v="2726"/>
    <x v="179"/>
    <x v="155"/>
    <x v="2"/>
    <x v="5"/>
    <n v="19819.59"/>
    <x v="0"/>
    <x v="4"/>
  </r>
  <r>
    <x v="2787"/>
    <s v="William Phillips"/>
    <x v="70"/>
    <x v="0"/>
    <x v="5"/>
    <x v="2727"/>
    <x v="139"/>
    <x v="253"/>
    <x v="9"/>
    <x v="0"/>
    <n v="417672.96000000002"/>
    <x v="2"/>
    <x v="8"/>
  </r>
  <r>
    <x v="2788"/>
    <s v="Jerry Atkinson"/>
    <x v="22"/>
    <x v="0"/>
    <x v="1"/>
    <x v="2603"/>
    <x v="17"/>
    <x v="251"/>
    <x v="4"/>
    <x v="5"/>
    <n v="248645.43"/>
    <x v="2"/>
    <x v="2"/>
  </r>
  <r>
    <x v="2789"/>
    <s v="Alicia Craig"/>
    <x v="89"/>
    <x v="1"/>
    <x v="2"/>
    <x v="2728"/>
    <x v="275"/>
    <x v="101"/>
    <x v="6"/>
    <x v="2"/>
    <n v="98783.29"/>
    <x v="2"/>
    <x v="13"/>
  </r>
  <r>
    <x v="2790"/>
    <s v="Keith Henry"/>
    <x v="21"/>
    <x v="1"/>
    <x v="2"/>
    <x v="2729"/>
    <x v="216"/>
    <x v="175"/>
    <x v="7"/>
    <x v="2"/>
    <n v="414054.05"/>
    <x v="1"/>
    <x v="7"/>
  </r>
  <r>
    <x v="2791"/>
    <s v="Jason Chambers"/>
    <x v="7"/>
    <x v="0"/>
    <x v="2"/>
    <x v="2730"/>
    <x v="284"/>
    <x v="260"/>
    <x v="7"/>
    <x v="4"/>
    <n v="23478.12"/>
    <x v="2"/>
    <x v="2"/>
  </r>
  <r>
    <x v="2792"/>
    <s v="Justin Ortiz"/>
    <x v="28"/>
    <x v="0"/>
    <x v="4"/>
    <x v="2731"/>
    <x v="341"/>
    <x v="340"/>
    <x v="0"/>
    <x v="2"/>
    <n v="231436.37"/>
    <x v="1"/>
    <x v="8"/>
  </r>
  <r>
    <x v="2793"/>
    <s v="Jesse Graves"/>
    <x v="36"/>
    <x v="1"/>
    <x v="0"/>
    <x v="2732"/>
    <x v="67"/>
    <x v="127"/>
    <x v="5"/>
    <x v="3"/>
    <n v="112063.25"/>
    <x v="1"/>
    <x v="12"/>
  </r>
  <r>
    <x v="2794"/>
    <s v="Teresa Lara DDS"/>
    <x v="29"/>
    <x v="0"/>
    <x v="4"/>
    <x v="2733"/>
    <x v="275"/>
    <x v="101"/>
    <x v="3"/>
    <x v="0"/>
    <n v="335621.2"/>
    <x v="1"/>
    <x v="13"/>
  </r>
  <r>
    <x v="2795"/>
    <s v="Gwendolyn Joyce"/>
    <x v="69"/>
    <x v="0"/>
    <x v="2"/>
    <x v="2734"/>
    <x v="190"/>
    <x v="13"/>
    <x v="9"/>
    <x v="0"/>
    <n v="84592.960000000006"/>
    <x v="2"/>
    <x v="13"/>
  </r>
  <r>
    <x v="2796"/>
    <s v="Matthew Villanueva"/>
    <x v="10"/>
    <x v="1"/>
    <x v="0"/>
    <x v="2735"/>
    <x v="2"/>
    <x v="48"/>
    <x v="5"/>
    <x v="1"/>
    <n v="190791.98"/>
    <x v="0"/>
    <x v="6"/>
  </r>
  <r>
    <x v="2797"/>
    <s v="Carla Davis"/>
    <x v="37"/>
    <x v="1"/>
    <x v="6"/>
    <x v="2736"/>
    <x v="126"/>
    <x v="360"/>
    <x v="5"/>
    <x v="0"/>
    <n v="160642.34"/>
    <x v="0"/>
    <x v="10"/>
  </r>
  <r>
    <x v="2798"/>
    <s v="Gerald Thomas"/>
    <x v="20"/>
    <x v="1"/>
    <x v="0"/>
    <x v="2737"/>
    <x v="296"/>
    <x v="9"/>
    <x v="2"/>
    <x v="5"/>
    <n v="388282.86"/>
    <x v="0"/>
    <x v="14"/>
  </r>
  <r>
    <x v="2799"/>
    <s v="Mark Baker"/>
    <x v="62"/>
    <x v="1"/>
    <x v="0"/>
    <x v="2738"/>
    <x v="11"/>
    <x v="133"/>
    <x v="8"/>
    <x v="1"/>
    <n v="125407.03"/>
    <x v="2"/>
    <x v="9"/>
  </r>
  <r>
    <x v="2800"/>
    <s v="Jessica Davis"/>
    <x v="39"/>
    <x v="0"/>
    <x v="1"/>
    <x v="2739"/>
    <x v="66"/>
    <x v="288"/>
    <x v="1"/>
    <x v="0"/>
    <n v="93511.29"/>
    <x v="2"/>
    <x v="14"/>
  </r>
  <r>
    <x v="2801"/>
    <s v="Vanessa Mason"/>
    <x v="74"/>
    <x v="1"/>
    <x v="5"/>
    <x v="2740"/>
    <x v="27"/>
    <x v="29"/>
    <x v="8"/>
    <x v="2"/>
    <n v="120767.5"/>
    <x v="2"/>
    <x v="2"/>
  </r>
  <r>
    <x v="2802"/>
    <s v="Dylan Prince"/>
    <x v="70"/>
    <x v="1"/>
    <x v="1"/>
    <x v="2741"/>
    <x v="226"/>
    <x v="139"/>
    <x v="3"/>
    <x v="0"/>
    <n v="317452.26"/>
    <x v="0"/>
    <x v="5"/>
  </r>
  <r>
    <x v="2803"/>
    <s v="Charles Sanders"/>
    <x v="31"/>
    <x v="1"/>
    <x v="2"/>
    <x v="2742"/>
    <x v="81"/>
    <x v="130"/>
    <x v="6"/>
    <x v="3"/>
    <n v="343147.04"/>
    <x v="2"/>
    <x v="11"/>
  </r>
  <r>
    <x v="2804"/>
    <s v="Emily Gibson"/>
    <x v="29"/>
    <x v="1"/>
    <x v="2"/>
    <x v="2743"/>
    <x v="72"/>
    <x v="15"/>
    <x v="2"/>
    <x v="1"/>
    <n v="261477.59"/>
    <x v="1"/>
    <x v="5"/>
  </r>
  <r>
    <x v="2805"/>
    <s v="Brittany Wagner"/>
    <x v="72"/>
    <x v="0"/>
    <x v="2"/>
    <x v="2616"/>
    <x v="17"/>
    <x v="18"/>
    <x v="0"/>
    <x v="0"/>
    <n v="179768.78"/>
    <x v="2"/>
    <x v="9"/>
  </r>
  <r>
    <x v="2806"/>
    <s v="Susan Good"/>
    <x v="25"/>
    <x v="1"/>
    <x v="2"/>
    <x v="2744"/>
    <x v="106"/>
    <x v="315"/>
    <x v="9"/>
    <x v="2"/>
    <n v="321748.63"/>
    <x v="0"/>
    <x v="14"/>
  </r>
  <r>
    <x v="2807"/>
    <s v="Dennis Morales"/>
    <x v="40"/>
    <x v="0"/>
    <x v="4"/>
    <x v="2745"/>
    <x v="86"/>
    <x v="91"/>
    <x v="6"/>
    <x v="1"/>
    <n v="338224.76"/>
    <x v="2"/>
    <x v="2"/>
  </r>
  <r>
    <x v="2808"/>
    <s v="Kevin Williams"/>
    <x v="15"/>
    <x v="0"/>
    <x v="3"/>
    <x v="2746"/>
    <x v="79"/>
    <x v="200"/>
    <x v="9"/>
    <x v="1"/>
    <n v="201240.53"/>
    <x v="1"/>
    <x v="13"/>
  </r>
  <r>
    <x v="2809"/>
    <s v="Susan Chapman"/>
    <x v="30"/>
    <x v="0"/>
    <x v="3"/>
    <x v="2747"/>
    <x v="333"/>
    <x v="233"/>
    <x v="7"/>
    <x v="4"/>
    <n v="141877.57999999999"/>
    <x v="1"/>
    <x v="4"/>
  </r>
  <r>
    <x v="2810"/>
    <s v="Michelle Miller"/>
    <x v="55"/>
    <x v="1"/>
    <x v="2"/>
    <x v="2748"/>
    <x v="88"/>
    <x v="245"/>
    <x v="9"/>
    <x v="2"/>
    <n v="465615.51"/>
    <x v="2"/>
    <x v="13"/>
  </r>
  <r>
    <x v="2811"/>
    <s v="Alyssa Howard"/>
    <x v="79"/>
    <x v="0"/>
    <x v="1"/>
    <x v="2749"/>
    <x v="315"/>
    <x v="366"/>
    <x v="0"/>
    <x v="1"/>
    <n v="498577.87"/>
    <x v="0"/>
    <x v="0"/>
  </r>
  <r>
    <x v="2812"/>
    <s v="Sharon Martin"/>
    <x v="23"/>
    <x v="1"/>
    <x v="0"/>
    <x v="2750"/>
    <x v="66"/>
    <x v="22"/>
    <x v="2"/>
    <x v="4"/>
    <n v="357028.23"/>
    <x v="1"/>
    <x v="3"/>
  </r>
  <r>
    <x v="2813"/>
    <s v="Jennifer Gutierrez"/>
    <x v="15"/>
    <x v="1"/>
    <x v="1"/>
    <x v="2751"/>
    <x v="316"/>
    <x v="18"/>
    <x v="1"/>
    <x v="3"/>
    <n v="408567.61"/>
    <x v="1"/>
    <x v="6"/>
  </r>
  <r>
    <x v="2814"/>
    <s v="Emily Chan"/>
    <x v="26"/>
    <x v="0"/>
    <x v="1"/>
    <x v="2752"/>
    <x v="345"/>
    <x v="303"/>
    <x v="4"/>
    <x v="0"/>
    <n v="359747.01"/>
    <x v="2"/>
    <x v="8"/>
  </r>
  <r>
    <x v="2815"/>
    <s v="Natalie Abbott"/>
    <x v="53"/>
    <x v="1"/>
    <x v="5"/>
    <x v="2753"/>
    <x v="194"/>
    <x v="182"/>
    <x v="9"/>
    <x v="5"/>
    <n v="242920.87"/>
    <x v="1"/>
    <x v="0"/>
  </r>
  <r>
    <x v="2816"/>
    <s v="Jessica Moore"/>
    <x v="57"/>
    <x v="0"/>
    <x v="3"/>
    <x v="2754"/>
    <x v="258"/>
    <x v="345"/>
    <x v="4"/>
    <x v="0"/>
    <n v="311648.43"/>
    <x v="1"/>
    <x v="5"/>
  </r>
  <r>
    <x v="2817"/>
    <s v="Mr. Timothy Hoffman"/>
    <x v="19"/>
    <x v="1"/>
    <x v="0"/>
    <x v="2755"/>
    <x v="145"/>
    <x v="225"/>
    <x v="4"/>
    <x v="5"/>
    <n v="36579.120000000003"/>
    <x v="2"/>
    <x v="3"/>
  </r>
  <r>
    <x v="2818"/>
    <s v="Antonio Harrison"/>
    <x v="49"/>
    <x v="0"/>
    <x v="0"/>
    <x v="2756"/>
    <x v="283"/>
    <x v="334"/>
    <x v="3"/>
    <x v="5"/>
    <n v="61427.43"/>
    <x v="1"/>
    <x v="5"/>
  </r>
  <r>
    <x v="2819"/>
    <s v="Lisa Myers"/>
    <x v="28"/>
    <x v="0"/>
    <x v="0"/>
    <x v="2757"/>
    <x v="215"/>
    <x v="7"/>
    <x v="8"/>
    <x v="2"/>
    <n v="321190.53999999998"/>
    <x v="2"/>
    <x v="9"/>
  </r>
  <r>
    <x v="2820"/>
    <s v="Eddie Hansen"/>
    <x v="89"/>
    <x v="1"/>
    <x v="0"/>
    <x v="2758"/>
    <x v="342"/>
    <x v="144"/>
    <x v="5"/>
    <x v="2"/>
    <n v="496851.51"/>
    <x v="0"/>
    <x v="9"/>
  </r>
  <r>
    <x v="2821"/>
    <s v="Toni Miller"/>
    <x v="24"/>
    <x v="1"/>
    <x v="6"/>
    <x v="2759"/>
    <x v="181"/>
    <x v="217"/>
    <x v="2"/>
    <x v="0"/>
    <n v="254627.22"/>
    <x v="1"/>
    <x v="7"/>
  </r>
  <r>
    <x v="2822"/>
    <s v="Eric Barker"/>
    <x v="42"/>
    <x v="1"/>
    <x v="6"/>
    <x v="2760"/>
    <x v="311"/>
    <x v="263"/>
    <x v="0"/>
    <x v="4"/>
    <n v="64870.7"/>
    <x v="2"/>
    <x v="4"/>
  </r>
  <r>
    <x v="2823"/>
    <s v="Katherine Lee"/>
    <x v="86"/>
    <x v="0"/>
    <x v="6"/>
    <x v="2761"/>
    <x v="249"/>
    <x v="66"/>
    <x v="9"/>
    <x v="0"/>
    <n v="361624.55"/>
    <x v="0"/>
    <x v="13"/>
  </r>
  <r>
    <x v="2824"/>
    <s v="Alexandria Lucas"/>
    <x v="55"/>
    <x v="0"/>
    <x v="6"/>
    <x v="2762"/>
    <x v="227"/>
    <x v="27"/>
    <x v="9"/>
    <x v="2"/>
    <n v="55216.5"/>
    <x v="0"/>
    <x v="1"/>
  </r>
  <r>
    <x v="2825"/>
    <s v="Meredith Horton"/>
    <x v="32"/>
    <x v="0"/>
    <x v="5"/>
    <x v="2763"/>
    <x v="323"/>
    <x v="301"/>
    <x v="2"/>
    <x v="5"/>
    <n v="127670.89"/>
    <x v="1"/>
    <x v="9"/>
  </r>
  <r>
    <x v="2826"/>
    <s v="Charles Bryant"/>
    <x v="1"/>
    <x v="1"/>
    <x v="2"/>
    <x v="2764"/>
    <x v="175"/>
    <x v="175"/>
    <x v="1"/>
    <x v="0"/>
    <n v="143819"/>
    <x v="0"/>
    <x v="0"/>
  </r>
  <r>
    <x v="2827"/>
    <s v="Audrey Johnson"/>
    <x v="38"/>
    <x v="1"/>
    <x v="3"/>
    <x v="2765"/>
    <x v="321"/>
    <x v="218"/>
    <x v="5"/>
    <x v="5"/>
    <n v="164251.81"/>
    <x v="1"/>
    <x v="1"/>
  </r>
  <r>
    <x v="2828"/>
    <s v="James Nguyen"/>
    <x v="71"/>
    <x v="1"/>
    <x v="3"/>
    <x v="2766"/>
    <x v="349"/>
    <x v="361"/>
    <x v="4"/>
    <x v="5"/>
    <n v="131155.17000000001"/>
    <x v="2"/>
    <x v="7"/>
  </r>
  <r>
    <x v="2829"/>
    <s v="Tracy Waller"/>
    <x v="9"/>
    <x v="1"/>
    <x v="5"/>
    <x v="2767"/>
    <x v="291"/>
    <x v="233"/>
    <x v="9"/>
    <x v="2"/>
    <n v="125382.14"/>
    <x v="1"/>
    <x v="12"/>
  </r>
  <r>
    <x v="2830"/>
    <s v="Angel Thompson"/>
    <x v="50"/>
    <x v="0"/>
    <x v="4"/>
    <x v="2768"/>
    <x v="365"/>
    <x v="126"/>
    <x v="3"/>
    <x v="0"/>
    <n v="234977.32"/>
    <x v="2"/>
    <x v="4"/>
  </r>
  <r>
    <x v="2831"/>
    <s v="Andrew Johnson"/>
    <x v="20"/>
    <x v="0"/>
    <x v="3"/>
    <x v="2769"/>
    <x v="325"/>
    <x v="178"/>
    <x v="9"/>
    <x v="1"/>
    <n v="392172.48"/>
    <x v="2"/>
    <x v="9"/>
  </r>
  <r>
    <x v="2832"/>
    <s v="Christina Cantrell"/>
    <x v="11"/>
    <x v="0"/>
    <x v="2"/>
    <x v="2770"/>
    <x v="346"/>
    <x v="116"/>
    <x v="5"/>
    <x v="2"/>
    <n v="463201.87"/>
    <x v="2"/>
    <x v="0"/>
  </r>
  <r>
    <x v="2833"/>
    <s v="Thomas Hanna"/>
    <x v="4"/>
    <x v="1"/>
    <x v="1"/>
    <x v="2771"/>
    <x v="49"/>
    <x v="281"/>
    <x v="7"/>
    <x v="1"/>
    <n v="474668.55"/>
    <x v="0"/>
    <x v="14"/>
  </r>
  <r>
    <x v="2834"/>
    <s v="Carlos Wright"/>
    <x v="7"/>
    <x v="0"/>
    <x v="2"/>
    <x v="2772"/>
    <x v="120"/>
    <x v="129"/>
    <x v="4"/>
    <x v="5"/>
    <n v="312379.11"/>
    <x v="0"/>
    <x v="2"/>
  </r>
  <r>
    <x v="2835"/>
    <s v="Tracy Moss"/>
    <x v="29"/>
    <x v="1"/>
    <x v="4"/>
    <x v="2773"/>
    <x v="336"/>
    <x v="23"/>
    <x v="5"/>
    <x v="4"/>
    <n v="398791.51"/>
    <x v="1"/>
    <x v="12"/>
  </r>
  <r>
    <x v="2836"/>
    <s v="Michael Robinson"/>
    <x v="88"/>
    <x v="1"/>
    <x v="5"/>
    <x v="2774"/>
    <x v="117"/>
    <x v="42"/>
    <x v="2"/>
    <x v="0"/>
    <n v="163728.92000000001"/>
    <x v="1"/>
    <x v="9"/>
  </r>
  <r>
    <x v="2837"/>
    <s v="Erin Arias"/>
    <x v="87"/>
    <x v="1"/>
    <x v="0"/>
    <x v="2775"/>
    <x v="48"/>
    <x v="20"/>
    <x v="9"/>
    <x v="2"/>
    <n v="243315.98"/>
    <x v="1"/>
    <x v="10"/>
  </r>
  <r>
    <x v="2838"/>
    <s v="Keith Jacobson"/>
    <x v="68"/>
    <x v="1"/>
    <x v="5"/>
    <x v="2776"/>
    <x v="159"/>
    <x v="350"/>
    <x v="2"/>
    <x v="2"/>
    <n v="483857.1"/>
    <x v="1"/>
    <x v="12"/>
  </r>
  <r>
    <x v="2839"/>
    <s v="Scott Barrett"/>
    <x v="15"/>
    <x v="1"/>
    <x v="3"/>
    <x v="2777"/>
    <x v="344"/>
    <x v="146"/>
    <x v="5"/>
    <x v="3"/>
    <n v="391274.18"/>
    <x v="1"/>
    <x v="13"/>
  </r>
  <r>
    <x v="2840"/>
    <s v="Michelle Osborn"/>
    <x v="43"/>
    <x v="0"/>
    <x v="5"/>
    <x v="2778"/>
    <x v="50"/>
    <x v="261"/>
    <x v="1"/>
    <x v="3"/>
    <n v="348085.92"/>
    <x v="0"/>
    <x v="7"/>
  </r>
  <r>
    <x v="2841"/>
    <s v="Joseph Hayes"/>
    <x v="21"/>
    <x v="0"/>
    <x v="3"/>
    <x v="2779"/>
    <x v="213"/>
    <x v="151"/>
    <x v="5"/>
    <x v="5"/>
    <n v="416059.12"/>
    <x v="2"/>
    <x v="1"/>
  </r>
  <r>
    <x v="2842"/>
    <s v="Amanda Randolph"/>
    <x v="22"/>
    <x v="1"/>
    <x v="0"/>
    <x v="2780"/>
    <x v="60"/>
    <x v="245"/>
    <x v="5"/>
    <x v="3"/>
    <n v="425186.43"/>
    <x v="0"/>
    <x v="9"/>
  </r>
  <r>
    <x v="2843"/>
    <s v="Lisa Lynch"/>
    <x v="72"/>
    <x v="0"/>
    <x v="6"/>
    <x v="2781"/>
    <x v="79"/>
    <x v="215"/>
    <x v="0"/>
    <x v="4"/>
    <n v="248035.37"/>
    <x v="1"/>
    <x v="3"/>
  </r>
  <r>
    <x v="2844"/>
    <s v="Melissa Moore"/>
    <x v="75"/>
    <x v="0"/>
    <x v="6"/>
    <x v="2782"/>
    <x v="136"/>
    <x v="312"/>
    <x v="2"/>
    <x v="3"/>
    <n v="213609.98"/>
    <x v="1"/>
    <x v="2"/>
  </r>
  <r>
    <x v="2845"/>
    <s v="Ryan Wade"/>
    <x v="67"/>
    <x v="0"/>
    <x v="2"/>
    <x v="2783"/>
    <x v="104"/>
    <x v="230"/>
    <x v="2"/>
    <x v="2"/>
    <n v="207590.7"/>
    <x v="2"/>
    <x v="14"/>
  </r>
  <r>
    <x v="2846"/>
    <s v="Lisa Thompson"/>
    <x v="17"/>
    <x v="1"/>
    <x v="4"/>
    <x v="2784"/>
    <x v="253"/>
    <x v="133"/>
    <x v="3"/>
    <x v="4"/>
    <n v="387385.13"/>
    <x v="1"/>
    <x v="12"/>
  </r>
  <r>
    <x v="2847"/>
    <s v="Kelsey Davenport"/>
    <x v="3"/>
    <x v="0"/>
    <x v="6"/>
    <x v="2785"/>
    <x v="34"/>
    <x v="8"/>
    <x v="4"/>
    <x v="1"/>
    <n v="493618.14"/>
    <x v="2"/>
    <x v="9"/>
  </r>
  <r>
    <x v="2848"/>
    <s v="Erica Rodriguez"/>
    <x v="51"/>
    <x v="1"/>
    <x v="6"/>
    <x v="2786"/>
    <x v="324"/>
    <x v="48"/>
    <x v="4"/>
    <x v="4"/>
    <n v="118693.21"/>
    <x v="2"/>
    <x v="13"/>
  </r>
  <r>
    <x v="2849"/>
    <s v="Olivia Petersen"/>
    <x v="21"/>
    <x v="0"/>
    <x v="3"/>
    <x v="2787"/>
    <x v="72"/>
    <x v="115"/>
    <x v="3"/>
    <x v="0"/>
    <n v="422719.08"/>
    <x v="1"/>
    <x v="12"/>
  </r>
  <r>
    <x v="2850"/>
    <s v="Danny Lucas"/>
    <x v="47"/>
    <x v="1"/>
    <x v="3"/>
    <x v="2788"/>
    <x v="207"/>
    <x v="30"/>
    <x v="2"/>
    <x v="4"/>
    <n v="310029.03999999998"/>
    <x v="1"/>
    <x v="7"/>
  </r>
  <r>
    <x v="2851"/>
    <s v="Margaret Mueller"/>
    <x v="60"/>
    <x v="1"/>
    <x v="3"/>
    <x v="2789"/>
    <x v="45"/>
    <x v="69"/>
    <x v="1"/>
    <x v="3"/>
    <n v="322981.03000000003"/>
    <x v="2"/>
    <x v="14"/>
  </r>
  <r>
    <x v="2852"/>
    <s v="Rachel Jensen"/>
    <x v="69"/>
    <x v="0"/>
    <x v="6"/>
    <x v="2790"/>
    <x v="346"/>
    <x v="305"/>
    <x v="3"/>
    <x v="4"/>
    <n v="258410.97"/>
    <x v="2"/>
    <x v="13"/>
  </r>
  <r>
    <x v="2853"/>
    <s v="Shawn Bailey"/>
    <x v="51"/>
    <x v="1"/>
    <x v="2"/>
    <x v="2791"/>
    <x v="219"/>
    <x v="147"/>
    <x v="7"/>
    <x v="1"/>
    <n v="184004.72"/>
    <x v="2"/>
    <x v="9"/>
  </r>
  <r>
    <x v="2854"/>
    <s v="Amanda Davis"/>
    <x v="35"/>
    <x v="0"/>
    <x v="2"/>
    <x v="2792"/>
    <x v="351"/>
    <x v="232"/>
    <x v="1"/>
    <x v="1"/>
    <n v="330293.5"/>
    <x v="1"/>
    <x v="11"/>
  </r>
  <r>
    <x v="2855"/>
    <s v="Mitchell Baker"/>
    <x v="9"/>
    <x v="0"/>
    <x v="0"/>
    <x v="2793"/>
    <x v="259"/>
    <x v="176"/>
    <x v="0"/>
    <x v="3"/>
    <n v="168834.22"/>
    <x v="0"/>
    <x v="13"/>
  </r>
  <r>
    <x v="2856"/>
    <s v="Casey Powell"/>
    <x v="15"/>
    <x v="0"/>
    <x v="5"/>
    <x v="2794"/>
    <x v="99"/>
    <x v="264"/>
    <x v="6"/>
    <x v="3"/>
    <n v="263084.3"/>
    <x v="2"/>
    <x v="2"/>
  </r>
  <r>
    <x v="2857"/>
    <s v="Jill Smith"/>
    <x v="45"/>
    <x v="0"/>
    <x v="6"/>
    <x v="2795"/>
    <x v="180"/>
    <x v="271"/>
    <x v="7"/>
    <x v="1"/>
    <n v="445875.61"/>
    <x v="0"/>
    <x v="7"/>
  </r>
  <r>
    <x v="2858"/>
    <s v="Cynthia Gomez"/>
    <x v="27"/>
    <x v="0"/>
    <x v="5"/>
    <x v="2796"/>
    <x v="252"/>
    <x v="347"/>
    <x v="4"/>
    <x v="4"/>
    <n v="325826.25"/>
    <x v="0"/>
    <x v="5"/>
  </r>
  <r>
    <x v="2859"/>
    <s v="Michael Coffey"/>
    <x v="57"/>
    <x v="1"/>
    <x v="6"/>
    <x v="2797"/>
    <x v="156"/>
    <x v="271"/>
    <x v="7"/>
    <x v="1"/>
    <n v="179224.01"/>
    <x v="1"/>
    <x v="14"/>
  </r>
  <r>
    <x v="2860"/>
    <s v="Christopher Jackson"/>
    <x v="45"/>
    <x v="0"/>
    <x v="0"/>
    <x v="2798"/>
    <x v="21"/>
    <x v="24"/>
    <x v="4"/>
    <x v="5"/>
    <n v="375336.48"/>
    <x v="2"/>
    <x v="3"/>
  </r>
  <r>
    <x v="2861"/>
    <s v="Meghan Espinoza"/>
    <x v="22"/>
    <x v="0"/>
    <x v="3"/>
    <x v="2799"/>
    <x v="143"/>
    <x v="110"/>
    <x v="2"/>
    <x v="5"/>
    <n v="285163.84999999998"/>
    <x v="0"/>
    <x v="9"/>
  </r>
  <r>
    <x v="2862"/>
    <s v="Jake Thomas"/>
    <x v="73"/>
    <x v="0"/>
    <x v="6"/>
    <x v="2800"/>
    <x v="262"/>
    <x v="142"/>
    <x v="9"/>
    <x v="4"/>
    <n v="116588.79"/>
    <x v="0"/>
    <x v="12"/>
  </r>
  <r>
    <x v="2863"/>
    <s v="Alec Haynes"/>
    <x v="61"/>
    <x v="1"/>
    <x v="5"/>
    <x v="2801"/>
    <x v="297"/>
    <x v="48"/>
    <x v="0"/>
    <x v="0"/>
    <n v="201961.3"/>
    <x v="0"/>
    <x v="14"/>
  </r>
  <r>
    <x v="2864"/>
    <s v="Anita Adams"/>
    <x v="82"/>
    <x v="0"/>
    <x v="0"/>
    <x v="2802"/>
    <x v="278"/>
    <x v="277"/>
    <x v="6"/>
    <x v="0"/>
    <n v="332574.18"/>
    <x v="2"/>
    <x v="3"/>
  </r>
  <r>
    <x v="2865"/>
    <s v="Adam Warner"/>
    <x v="56"/>
    <x v="1"/>
    <x v="5"/>
    <x v="2803"/>
    <x v="140"/>
    <x v="59"/>
    <x v="1"/>
    <x v="5"/>
    <n v="174906.97"/>
    <x v="2"/>
    <x v="3"/>
  </r>
  <r>
    <x v="2866"/>
    <s v="David Ryan"/>
    <x v="40"/>
    <x v="0"/>
    <x v="1"/>
    <x v="2804"/>
    <x v="59"/>
    <x v="199"/>
    <x v="4"/>
    <x v="2"/>
    <n v="86651.15"/>
    <x v="2"/>
    <x v="0"/>
  </r>
  <r>
    <x v="2867"/>
    <s v="Bridget Gardner"/>
    <x v="82"/>
    <x v="0"/>
    <x v="6"/>
    <x v="2805"/>
    <x v="163"/>
    <x v="58"/>
    <x v="5"/>
    <x v="4"/>
    <n v="330550.21999999997"/>
    <x v="2"/>
    <x v="11"/>
  </r>
  <r>
    <x v="2868"/>
    <s v="Donald Livingston"/>
    <x v="9"/>
    <x v="1"/>
    <x v="5"/>
    <x v="2806"/>
    <x v="305"/>
    <x v="198"/>
    <x v="4"/>
    <x v="0"/>
    <n v="353143.76"/>
    <x v="1"/>
    <x v="9"/>
  </r>
  <r>
    <x v="2869"/>
    <s v="Jonathan Shaw"/>
    <x v="38"/>
    <x v="1"/>
    <x v="4"/>
    <x v="2807"/>
    <x v="248"/>
    <x v="236"/>
    <x v="4"/>
    <x v="3"/>
    <n v="171814.32"/>
    <x v="2"/>
    <x v="5"/>
  </r>
  <r>
    <x v="2870"/>
    <s v="Allison Day"/>
    <x v="16"/>
    <x v="0"/>
    <x v="4"/>
    <x v="2808"/>
    <x v="97"/>
    <x v="103"/>
    <x v="3"/>
    <x v="0"/>
    <n v="398120"/>
    <x v="1"/>
    <x v="8"/>
  </r>
  <r>
    <x v="2871"/>
    <s v="Elizabeth Parker"/>
    <x v="78"/>
    <x v="0"/>
    <x v="5"/>
    <x v="2809"/>
    <x v="1"/>
    <x v="327"/>
    <x v="9"/>
    <x v="5"/>
    <n v="51980.83"/>
    <x v="2"/>
    <x v="5"/>
  </r>
  <r>
    <x v="2872"/>
    <s v="Julia Malone"/>
    <x v="31"/>
    <x v="1"/>
    <x v="3"/>
    <x v="2810"/>
    <x v="208"/>
    <x v="250"/>
    <x v="4"/>
    <x v="1"/>
    <n v="199893.32"/>
    <x v="2"/>
    <x v="1"/>
  </r>
  <r>
    <x v="2873"/>
    <s v="Jeremy Foster"/>
    <x v="58"/>
    <x v="1"/>
    <x v="4"/>
    <x v="2811"/>
    <x v="193"/>
    <x v="277"/>
    <x v="6"/>
    <x v="3"/>
    <n v="273545.34000000003"/>
    <x v="0"/>
    <x v="9"/>
  </r>
  <r>
    <x v="2874"/>
    <s v="Tricia Ali"/>
    <x v="75"/>
    <x v="1"/>
    <x v="4"/>
    <x v="2812"/>
    <x v="79"/>
    <x v="140"/>
    <x v="1"/>
    <x v="1"/>
    <n v="436778.23999999999"/>
    <x v="1"/>
    <x v="10"/>
  </r>
  <r>
    <x v="2875"/>
    <s v="April Hamilton"/>
    <x v="61"/>
    <x v="1"/>
    <x v="3"/>
    <x v="2813"/>
    <x v="259"/>
    <x v="359"/>
    <x v="8"/>
    <x v="3"/>
    <n v="275355.34000000003"/>
    <x v="0"/>
    <x v="6"/>
  </r>
  <r>
    <x v="2876"/>
    <s v="Emily Campbell"/>
    <x v="57"/>
    <x v="0"/>
    <x v="3"/>
    <x v="1256"/>
    <x v="169"/>
    <x v="40"/>
    <x v="0"/>
    <x v="5"/>
    <n v="319419.25"/>
    <x v="1"/>
    <x v="2"/>
  </r>
  <r>
    <x v="2877"/>
    <s v="Nicholas Stuart"/>
    <x v="20"/>
    <x v="1"/>
    <x v="0"/>
    <x v="2814"/>
    <x v="361"/>
    <x v="117"/>
    <x v="7"/>
    <x v="0"/>
    <n v="148518.31"/>
    <x v="2"/>
    <x v="14"/>
  </r>
  <r>
    <x v="2878"/>
    <s v="Monique Rojas"/>
    <x v="72"/>
    <x v="0"/>
    <x v="6"/>
    <x v="2815"/>
    <x v="136"/>
    <x v="187"/>
    <x v="0"/>
    <x v="5"/>
    <n v="199508.99"/>
    <x v="2"/>
    <x v="3"/>
  </r>
  <r>
    <x v="2879"/>
    <s v="Erica Vargas"/>
    <x v="52"/>
    <x v="1"/>
    <x v="5"/>
    <x v="2816"/>
    <x v="176"/>
    <x v="221"/>
    <x v="9"/>
    <x v="5"/>
    <n v="86341.440000000002"/>
    <x v="2"/>
    <x v="1"/>
  </r>
  <r>
    <x v="2880"/>
    <s v="Patrick Irwin"/>
    <x v="72"/>
    <x v="0"/>
    <x v="1"/>
    <x v="1862"/>
    <x v="141"/>
    <x v="189"/>
    <x v="1"/>
    <x v="1"/>
    <n v="434523.03"/>
    <x v="0"/>
    <x v="5"/>
  </r>
  <r>
    <x v="2881"/>
    <s v="Jamie Harris"/>
    <x v="50"/>
    <x v="0"/>
    <x v="0"/>
    <x v="2817"/>
    <x v="143"/>
    <x v="142"/>
    <x v="9"/>
    <x v="1"/>
    <n v="292634.17"/>
    <x v="2"/>
    <x v="10"/>
  </r>
  <r>
    <x v="2882"/>
    <s v="Debra Chavez"/>
    <x v="11"/>
    <x v="1"/>
    <x v="3"/>
    <x v="2818"/>
    <x v="237"/>
    <x v="366"/>
    <x v="1"/>
    <x v="4"/>
    <n v="13304.79"/>
    <x v="2"/>
    <x v="11"/>
  </r>
  <r>
    <x v="2883"/>
    <s v="David Carter"/>
    <x v="34"/>
    <x v="1"/>
    <x v="1"/>
    <x v="2819"/>
    <x v="265"/>
    <x v="139"/>
    <x v="1"/>
    <x v="1"/>
    <n v="196105.82"/>
    <x v="0"/>
    <x v="9"/>
  </r>
  <r>
    <x v="2884"/>
    <s v="Kimberly Tran"/>
    <x v="68"/>
    <x v="1"/>
    <x v="3"/>
    <x v="2820"/>
    <x v="17"/>
    <x v="212"/>
    <x v="2"/>
    <x v="3"/>
    <n v="293956.03999999998"/>
    <x v="1"/>
    <x v="7"/>
  </r>
  <r>
    <x v="2885"/>
    <s v="John Ross"/>
    <x v="67"/>
    <x v="1"/>
    <x v="5"/>
    <x v="2821"/>
    <x v="49"/>
    <x v="281"/>
    <x v="2"/>
    <x v="5"/>
    <n v="309849.19"/>
    <x v="2"/>
    <x v="14"/>
  </r>
  <r>
    <x v="2886"/>
    <s v="Anthony Wang DVM"/>
    <x v="43"/>
    <x v="0"/>
    <x v="6"/>
    <x v="2822"/>
    <x v="339"/>
    <x v="143"/>
    <x v="4"/>
    <x v="0"/>
    <n v="490760.65"/>
    <x v="2"/>
    <x v="13"/>
  </r>
  <r>
    <x v="2887"/>
    <s v="Kevin Dickson"/>
    <x v="63"/>
    <x v="0"/>
    <x v="5"/>
    <x v="2823"/>
    <x v="17"/>
    <x v="182"/>
    <x v="8"/>
    <x v="0"/>
    <n v="43404.77"/>
    <x v="2"/>
    <x v="3"/>
  </r>
  <r>
    <x v="2888"/>
    <s v="Stacy Turner"/>
    <x v="26"/>
    <x v="0"/>
    <x v="3"/>
    <x v="2824"/>
    <x v="262"/>
    <x v="112"/>
    <x v="4"/>
    <x v="5"/>
    <n v="192700.56"/>
    <x v="1"/>
    <x v="1"/>
  </r>
  <r>
    <x v="2889"/>
    <s v="Diana Dorsey"/>
    <x v="88"/>
    <x v="1"/>
    <x v="0"/>
    <x v="2825"/>
    <x v="205"/>
    <x v="226"/>
    <x v="1"/>
    <x v="1"/>
    <n v="93220.32"/>
    <x v="0"/>
    <x v="2"/>
  </r>
  <r>
    <x v="2890"/>
    <s v="Ashley Chang"/>
    <x v="49"/>
    <x v="0"/>
    <x v="1"/>
    <x v="2826"/>
    <x v="321"/>
    <x v="218"/>
    <x v="4"/>
    <x v="4"/>
    <n v="449973.95"/>
    <x v="1"/>
    <x v="1"/>
  </r>
  <r>
    <x v="2891"/>
    <s v="Jeffrey Owens"/>
    <x v="27"/>
    <x v="1"/>
    <x v="1"/>
    <x v="2827"/>
    <x v="131"/>
    <x v="215"/>
    <x v="7"/>
    <x v="5"/>
    <n v="237039.18"/>
    <x v="2"/>
    <x v="13"/>
  </r>
  <r>
    <x v="2892"/>
    <s v="Miguel Phillips"/>
    <x v="63"/>
    <x v="1"/>
    <x v="1"/>
    <x v="2828"/>
    <x v="294"/>
    <x v="39"/>
    <x v="7"/>
    <x v="3"/>
    <n v="347502.69"/>
    <x v="2"/>
    <x v="7"/>
  </r>
  <r>
    <x v="2893"/>
    <s v="Kathleen Murphy"/>
    <x v="2"/>
    <x v="0"/>
    <x v="1"/>
    <x v="2829"/>
    <x v="42"/>
    <x v="212"/>
    <x v="2"/>
    <x v="3"/>
    <n v="376113.93"/>
    <x v="1"/>
    <x v="11"/>
  </r>
  <r>
    <x v="2894"/>
    <s v="Robin Rice"/>
    <x v="32"/>
    <x v="0"/>
    <x v="4"/>
    <x v="2830"/>
    <x v="188"/>
    <x v="279"/>
    <x v="4"/>
    <x v="5"/>
    <n v="30052.59"/>
    <x v="2"/>
    <x v="0"/>
  </r>
  <r>
    <x v="2895"/>
    <s v="Courtney Cole"/>
    <x v="87"/>
    <x v="0"/>
    <x v="5"/>
    <x v="2831"/>
    <x v="144"/>
    <x v="104"/>
    <x v="9"/>
    <x v="5"/>
    <n v="245028.32"/>
    <x v="0"/>
    <x v="10"/>
  </r>
  <r>
    <x v="2896"/>
    <s v="Sharon Nelson"/>
    <x v="17"/>
    <x v="0"/>
    <x v="3"/>
    <x v="733"/>
    <x v="215"/>
    <x v="103"/>
    <x v="1"/>
    <x v="2"/>
    <n v="310633.02"/>
    <x v="1"/>
    <x v="11"/>
  </r>
  <r>
    <x v="2897"/>
    <s v="Jennifer Brown"/>
    <x v="83"/>
    <x v="0"/>
    <x v="6"/>
    <x v="2832"/>
    <x v="293"/>
    <x v="128"/>
    <x v="1"/>
    <x v="3"/>
    <n v="415247.44"/>
    <x v="2"/>
    <x v="4"/>
  </r>
  <r>
    <x v="2898"/>
    <s v="Ashley Sharp"/>
    <x v="65"/>
    <x v="0"/>
    <x v="5"/>
    <x v="2833"/>
    <x v="81"/>
    <x v="94"/>
    <x v="8"/>
    <x v="1"/>
    <n v="339204.69"/>
    <x v="2"/>
    <x v="8"/>
  </r>
  <r>
    <x v="2899"/>
    <s v="Jacqueline Harris"/>
    <x v="39"/>
    <x v="0"/>
    <x v="1"/>
    <x v="2834"/>
    <x v="17"/>
    <x v="18"/>
    <x v="4"/>
    <x v="4"/>
    <n v="45136.36"/>
    <x v="0"/>
    <x v="9"/>
  </r>
  <r>
    <x v="2900"/>
    <s v="Peggy Jones"/>
    <x v="74"/>
    <x v="1"/>
    <x v="4"/>
    <x v="2835"/>
    <x v="28"/>
    <x v="370"/>
    <x v="8"/>
    <x v="3"/>
    <n v="371093.14"/>
    <x v="2"/>
    <x v="1"/>
  </r>
  <r>
    <x v="2901"/>
    <s v="Ruben Blake"/>
    <x v="24"/>
    <x v="0"/>
    <x v="4"/>
    <x v="2836"/>
    <x v="99"/>
    <x v="305"/>
    <x v="8"/>
    <x v="4"/>
    <n v="8208.1299999999992"/>
    <x v="1"/>
    <x v="4"/>
  </r>
  <r>
    <x v="2902"/>
    <s v="Kayla Johnston"/>
    <x v="41"/>
    <x v="1"/>
    <x v="2"/>
    <x v="2837"/>
    <x v="156"/>
    <x v="250"/>
    <x v="0"/>
    <x v="3"/>
    <n v="63335.62"/>
    <x v="1"/>
    <x v="6"/>
  </r>
  <r>
    <x v="2903"/>
    <s v="Bill Haas"/>
    <x v="12"/>
    <x v="0"/>
    <x v="4"/>
    <x v="2838"/>
    <x v="312"/>
    <x v="133"/>
    <x v="1"/>
    <x v="4"/>
    <n v="270006.40999999997"/>
    <x v="2"/>
    <x v="6"/>
  </r>
  <r>
    <x v="2904"/>
    <s v="Debbie Fisher"/>
    <x v="51"/>
    <x v="1"/>
    <x v="5"/>
    <x v="1945"/>
    <x v="18"/>
    <x v="30"/>
    <x v="3"/>
    <x v="4"/>
    <n v="60120.76"/>
    <x v="2"/>
    <x v="5"/>
  </r>
  <r>
    <x v="2905"/>
    <s v="Jacqueline Barker"/>
    <x v="58"/>
    <x v="1"/>
    <x v="6"/>
    <x v="2839"/>
    <x v="183"/>
    <x v="364"/>
    <x v="2"/>
    <x v="1"/>
    <n v="486536.25"/>
    <x v="2"/>
    <x v="10"/>
  </r>
  <r>
    <x v="2906"/>
    <s v="Jason Sampson"/>
    <x v="4"/>
    <x v="1"/>
    <x v="5"/>
    <x v="2840"/>
    <x v="252"/>
    <x v="133"/>
    <x v="1"/>
    <x v="3"/>
    <n v="105912.23"/>
    <x v="0"/>
    <x v="3"/>
  </r>
  <r>
    <x v="2907"/>
    <s v="Claire Keller"/>
    <x v="12"/>
    <x v="0"/>
    <x v="2"/>
    <x v="2841"/>
    <x v="169"/>
    <x v="84"/>
    <x v="8"/>
    <x v="5"/>
    <n v="9755.0300000000007"/>
    <x v="1"/>
    <x v="7"/>
  </r>
  <r>
    <x v="2908"/>
    <s v="Jamie Owens"/>
    <x v="54"/>
    <x v="1"/>
    <x v="3"/>
    <x v="2842"/>
    <x v="159"/>
    <x v="186"/>
    <x v="0"/>
    <x v="5"/>
    <n v="272806.65999999997"/>
    <x v="2"/>
    <x v="7"/>
  </r>
  <r>
    <x v="2909"/>
    <s v="Jason Kim"/>
    <x v="66"/>
    <x v="1"/>
    <x v="4"/>
    <x v="2843"/>
    <x v="365"/>
    <x v="310"/>
    <x v="6"/>
    <x v="5"/>
    <n v="135874.6"/>
    <x v="1"/>
    <x v="1"/>
  </r>
  <r>
    <x v="2910"/>
    <s v="Erica Potter"/>
    <x v="64"/>
    <x v="0"/>
    <x v="3"/>
    <x v="2844"/>
    <x v="268"/>
    <x v="26"/>
    <x v="9"/>
    <x v="2"/>
    <n v="331251.44"/>
    <x v="1"/>
    <x v="5"/>
  </r>
  <r>
    <x v="2911"/>
    <s v="Jason Martinez"/>
    <x v="58"/>
    <x v="1"/>
    <x v="2"/>
    <x v="2845"/>
    <x v="28"/>
    <x v="78"/>
    <x v="2"/>
    <x v="1"/>
    <n v="48843.22"/>
    <x v="1"/>
    <x v="5"/>
  </r>
  <r>
    <x v="2912"/>
    <s v="Tyler Stevens"/>
    <x v="54"/>
    <x v="0"/>
    <x v="5"/>
    <x v="2846"/>
    <x v="41"/>
    <x v="262"/>
    <x v="5"/>
    <x v="2"/>
    <n v="45800.81"/>
    <x v="1"/>
    <x v="9"/>
  </r>
  <r>
    <x v="2913"/>
    <s v="Mr. James Smith"/>
    <x v="47"/>
    <x v="1"/>
    <x v="3"/>
    <x v="2847"/>
    <x v="66"/>
    <x v="227"/>
    <x v="2"/>
    <x v="3"/>
    <n v="374420.3"/>
    <x v="1"/>
    <x v="1"/>
  </r>
  <r>
    <x v="2914"/>
    <s v="Matthew Castillo"/>
    <x v="0"/>
    <x v="1"/>
    <x v="1"/>
    <x v="2848"/>
    <x v="296"/>
    <x v="148"/>
    <x v="9"/>
    <x v="5"/>
    <n v="133153.93"/>
    <x v="0"/>
    <x v="1"/>
  </r>
  <r>
    <x v="2915"/>
    <s v="Jennifer Lang"/>
    <x v="43"/>
    <x v="1"/>
    <x v="6"/>
    <x v="2849"/>
    <x v="67"/>
    <x v="134"/>
    <x v="0"/>
    <x v="2"/>
    <n v="238029.11"/>
    <x v="0"/>
    <x v="13"/>
  </r>
  <r>
    <x v="2916"/>
    <s v="Brittany Macdonald"/>
    <x v="30"/>
    <x v="1"/>
    <x v="2"/>
    <x v="2850"/>
    <x v="46"/>
    <x v="215"/>
    <x v="7"/>
    <x v="3"/>
    <n v="340956.04"/>
    <x v="0"/>
    <x v="7"/>
  </r>
  <r>
    <x v="2917"/>
    <s v="Richard Walker"/>
    <x v="18"/>
    <x v="1"/>
    <x v="5"/>
    <x v="2851"/>
    <x v="44"/>
    <x v="204"/>
    <x v="4"/>
    <x v="3"/>
    <n v="205231.53"/>
    <x v="2"/>
    <x v="8"/>
  </r>
  <r>
    <x v="2918"/>
    <s v="Carol Ramos"/>
    <x v="15"/>
    <x v="1"/>
    <x v="2"/>
    <x v="2852"/>
    <x v="222"/>
    <x v="67"/>
    <x v="8"/>
    <x v="1"/>
    <n v="283583.83"/>
    <x v="1"/>
    <x v="2"/>
  </r>
  <r>
    <x v="2919"/>
    <s v="Joshua Green"/>
    <x v="72"/>
    <x v="1"/>
    <x v="1"/>
    <x v="2853"/>
    <x v="84"/>
    <x v="91"/>
    <x v="8"/>
    <x v="3"/>
    <n v="240070.84"/>
    <x v="0"/>
    <x v="9"/>
  </r>
  <r>
    <x v="2920"/>
    <s v="Raven Jones"/>
    <x v="72"/>
    <x v="0"/>
    <x v="6"/>
    <x v="2854"/>
    <x v="48"/>
    <x v="73"/>
    <x v="5"/>
    <x v="2"/>
    <n v="462705.08"/>
    <x v="1"/>
    <x v="3"/>
  </r>
  <r>
    <x v="2921"/>
    <s v="Victor Smith"/>
    <x v="88"/>
    <x v="0"/>
    <x v="0"/>
    <x v="2855"/>
    <x v="213"/>
    <x v="308"/>
    <x v="4"/>
    <x v="4"/>
    <n v="187681.3"/>
    <x v="1"/>
    <x v="3"/>
  </r>
  <r>
    <x v="2922"/>
    <s v="Tina Sutton"/>
    <x v="8"/>
    <x v="1"/>
    <x v="2"/>
    <x v="2856"/>
    <x v="349"/>
    <x v="186"/>
    <x v="0"/>
    <x v="1"/>
    <n v="402482.13"/>
    <x v="0"/>
    <x v="0"/>
  </r>
  <r>
    <x v="2923"/>
    <s v="Shelly Solis"/>
    <x v="77"/>
    <x v="1"/>
    <x v="5"/>
    <x v="2857"/>
    <x v="348"/>
    <x v="356"/>
    <x v="3"/>
    <x v="1"/>
    <n v="349550.27"/>
    <x v="2"/>
    <x v="13"/>
  </r>
  <r>
    <x v="2924"/>
    <s v="Randy Long"/>
    <x v="13"/>
    <x v="0"/>
    <x v="3"/>
    <x v="2858"/>
    <x v="235"/>
    <x v="137"/>
    <x v="3"/>
    <x v="4"/>
    <n v="334337.75"/>
    <x v="2"/>
    <x v="11"/>
  </r>
  <r>
    <x v="2925"/>
    <s v="Richard Thomas"/>
    <x v="66"/>
    <x v="1"/>
    <x v="5"/>
    <x v="2859"/>
    <x v="73"/>
    <x v="19"/>
    <x v="7"/>
    <x v="3"/>
    <n v="158528.65"/>
    <x v="0"/>
    <x v="7"/>
  </r>
  <r>
    <x v="2926"/>
    <s v="Jamie Barnes"/>
    <x v="40"/>
    <x v="1"/>
    <x v="5"/>
    <x v="2860"/>
    <x v="321"/>
    <x v="235"/>
    <x v="2"/>
    <x v="0"/>
    <n v="445306.12"/>
    <x v="1"/>
    <x v="10"/>
  </r>
  <r>
    <x v="2927"/>
    <s v="Matthew Lawrence"/>
    <x v="21"/>
    <x v="1"/>
    <x v="0"/>
    <x v="2861"/>
    <x v="34"/>
    <x v="175"/>
    <x v="2"/>
    <x v="3"/>
    <n v="277865.65999999997"/>
    <x v="1"/>
    <x v="8"/>
  </r>
  <r>
    <x v="2928"/>
    <s v="James Lewis"/>
    <x v="3"/>
    <x v="0"/>
    <x v="6"/>
    <x v="2862"/>
    <x v="250"/>
    <x v="254"/>
    <x v="9"/>
    <x v="4"/>
    <n v="496333.97"/>
    <x v="0"/>
    <x v="3"/>
  </r>
  <r>
    <x v="2929"/>
    <s v="Randy Harris"/>
    <x v="86"/>
    <x v="1"/>
    <x v="3"/>
    <x v="2863"/>
    <x v="336"/>
    <x v="300"/>
    <x v="0"/>
    <x v="4"/>
    <n v="356599.94"/>
    <x v="0"/>
    <x v="8"/>
  </r>
  <r>
    <x v="2930"/>
    <s v="Julian Johnson"/>
    <x v="84"/>
    <x v="1"/>
    <x v="0"/>
    <x v="2864"/>
    <x v="181"/>
    <x v="136"/>
    <x v="9"/>
    <x v="3"/>
    <n v="470806.09"/>
    <x v="2"/>
    <x v="5"/>
  </r>
  <r>
    <x v="2931"/>
    <s v="Nicole Barker"/>
    <x v="86"/>
    <x v="1"/>
    <x v="4"/>
    <x v="2865"/>
    <x v="44"/>
    <x v="196"/>
    <x v="3"/>
    <x v="5"/>
    <n v="199230.93"/>
    <x v="0"/>
    <x v="14"/>
  </r>
  <r>
    <x v="2932"/>
    <s v="Timothy Taylor"/>
    <x v="22"/>
    <x v="0"/>
    <x v="5"/>
    <x v="2866"/>
    <x v="199"/>
    <x v="168"/>
    <x v="0"/>
    <x v="1"/>
    <n v="488936.1"/>
    <x v="1"/>
    <x v="13"/>
  </r>
  <r>
    <x v="2933"/>
    <s v="Kelly Crawford"/>
    <x v="47"/>
    <x v="1"/>
    <x v="6"/>
    <x v="2867"/>
    <x v="75"/>
    <x v="30"/>
    <x v="6"/>
    <x v="5"/>
    <n v="256424.8"/>
    <x v="2"/>
    <x v="2"/>
  </r>
  <r>
    <x v="2934"/>
    <m/>
    <x v="76"/>
    <x v="0"/>
    <x v="4"/>
    <x v="2868"/>
    <x v="10"/>
    <x v="10"/>
    <x v="1"/>
    <x v="1"/>
    <n v="162745.32"/>
    <x v="2"/>
    <x v="7"/>
  </r>
  <r>
    <x v="2935"/>
    <m/>
    <x v="26"/>
    <x v="1"/>
    <x v="2"/>
    <x v="2869"/>
    <x v="172"/>
    <x v="55"/>
    <x v="3"/>
    <x v="1"/>
    <n v="116095.8"/>
    <x v="2"/>
    <x v="12"/>
  </r>
  <r>
    <x v="2936"/>
    <m/>
    <x v="54"/>
    <x v="1"/>
    <x v="5"/>
    <x v="2870"/>
    <x v="28"/>
    <x v="335"/>
    <x v="9"/>
    <x v="5"/>
    <n v="158083.82999999999"/>
    <x v="0"/>
    <x v="11"/>
  </r>
  <r>
    <x v="2937"/>
    <m/>
    <x v="33"/>
    <x v="1"/>
    <x v="5"/>
    <x v="2871"/>
    <x v="168"/>
    <x v="360"/>
    <x v="0"/>
    <x v="2"/>
    <n v="30981.26"/>
    <x v="0"/>
    <x v="7"/>
  </r>
  <r>
    <x v="2938"/>
    <m/>
    <x v="58"/>
    <x v="1"/>
    <x v="1"/>
    <x v="2872"/>
    <x v="343"/>
    <x v="350"/>
    <x v="0"/>
    <x v="2"/>
    <n v="277093.69"/>
    <x v="0"/>
    <x v="7"/>
  </r>
  <r>
    <x v="2939"/>
    <m/>
    <x v="54"/>
    <x v="1"/>
    <x v="5"/>
    <x v="2873"/>
    <x v="326"/>
    <x v="216"/>
    <x v="5"/>
    <x v="0"/>
    <n v="353022.94"/>
    <x v="0"/>
    <x v="2"/>
  </r>
  <r>
    <x v="2940"/>
    <m/>
    <x v="30"/>
    <x v="1"/>
    <x v="0"/>
    <x v="2874"/>
    <x v="166"/>
    <x v="158"/>
    <x v="7"/>
    <x v="2"/>
    <n v="314367.38"/>
    <x v="2"/>
    <x v="7"/>
  </r>
  <r>
    <x v="2941"/>
    <m/>
    <x v="47"/>
    <x v="0"/>
    <x v="6"/>
    <x v="2875"/>
    <x v="83"/>
    <x v="109"/>
    <x v="8"/>
    <x v="5"/>
    <n v="191893.19"/>
    <x v="0"/>
    <x v="6"/>
  </r>
  <r>
    <x v="2942"/>
    <m/>
    <x v="66"/>
    <x v="1"/>
    <x v="1"/>
    <x v="2876"/>
    <x v="309"/>
    <x v="367"/>
    <x v="3"/>
    <x v="3"/>
    <n v="441131.38"/>
    <x v="0"/>
    <x v="9"/>
  </r>
  <r>
    <x v="2943"/>
    <m/>
    <x v="35"/>
    <x v="1"/>
    <x v="4"/>
    <x v="2877"/>
    <x v="319"/>
    <x v="328"/>
    <x v="9"/>
    <x v="2"/>
    <n v="13045.42"/>
    <x v="0"/>
    <x v="5"/>
  </r>
  <r>
    <x v="2944"/>
    <m/>
    <x v="17"/>
    <x v="0"/>
    <x v="5"/>
    <x v="2878"/>
    <x v="257"/>
    <x v="51"/>
    <x v="9"/>
    <x v="2"/>
    <n v="79020.94"/>
    <x v="1"/>
    <x v="12"/>
  </r>
  <r>
    <x v="2945"/>
    <m/>
    <x v="76"/>
    <x v="1"/>
    <x v="5"/>
    <x v="2879"/>
    <x v="14"/>
    <x v="305"/>
    <x v="9"/>
    <x v="1"/>
    <n v="376615.1"/>
    <x v="0"/>
    <x v="6"/>
  </r>
  <r>
    <x v="2946"/>
    <m/>
    <x v="61"/>
    <x v="0"/>
    <x v="0"/>
    <x v="2880"/>
    <x v="107"/>
    <x v="308"/>
    <x v="5"/>
    <x v="2"/>
    <n v="201630.3"/>
    <x v="2"/>
    <x v="1"/>
  </r>
  <r>
    <x v="2947"/>
    <m/>
    <x v="23"/>
    <x v="0"/>
    <x v="1"/>
    <x v="2881"/>
    <x v="143"/>
    <x v="240"/>
    <x v="0"/>
    <x v="4"/>
    <n v="478547.69"/>
    <x v="2"/>
    <x v="13"/>
  </r>
  <r>
    <x v="2948"/>
    <m/>
    <x v="18"/>
    <x v="0"/>
    <x v="1"/>
    <x v="2882"/>
    <x v="250"/>
    <x v="259"/>
    <x v="6"/>
    <x v="4"/>
    <n v="498693.37"/>
    <x v="2"/>
    <x v="7"/>
  </r>
  <r>
    <x v="2949"/>
    <m/>
    <x v="6"/>
    <x v="0"/>
    <x v="6"/>
    <x v="2883"/>
    <x v="36"/>
    <x v="289"/>
    <x v="4"/>
    <x v="5"/>
    <n v="47226.7"/>
    <x v="0"/>
    <x v="3"/>
  </r>
  <r>
    <x v="2950"/>
    <m/>
    <x v="42"/>
    <x v="1"/>
    <x v="4"/>
    <x v="2884"/>
    <x v="327"/>
    <x v="265"/>
    <x v="1"/>
    <x v="5"/>
    <n v="323348.78000000003"/>
    <x v="0"/>
    <x v="0"/>
  </r>
  <r>
    <x v="2951"/>
    <m/>
    <x v="34"/>
    <x v="0"/>
    <x v="2"/>
    <x v="2885"/>
    <x v="99"/>
    <x v="14"/>
    <x v="5"/>
    <x v="2"/>
    <n v="227086.83"/>
    <x v="1"/>
    <x v="5"/>
  </r>
  <r>
    <x v="2952"/>
    <m/>
    <x v="24"/>
    <x v="1"/>
    <x v="6"/>
    <x v="2886"/>
    <x v="52"/>
    <x v="257"/>
    <x v="8"/>
    <x v="4"/>
    <n v="56344.14"/>
    <x v="1"/>
    <x v="7"/>
  </r>
  <r>
    <x v="2953"/>
    <m/>
    <x v="56"/>
    <x v="1"/>
    <x v="1"/>
    <x v="2887"/>
    <x v="78"/>
    <x v="185"/>
    <x v="3"/>
    <x v="0"/>
    <n v="167075.41"/>
    <x v="2"/>
    <x v="6"/>
  </r>
  <r>
    <x v="2954"/>
    <m/>
    <x v="85"/>
    <x v="0"/>
    <x v="1"/>
    <x v="2888"/>
    <x v="130"/>
    <x v="262"/>
    <x v="8"/>
    <x v="1"/>
    <n v="405292.61"/>
    <x v="2"/>
    <x v="7"/>
  </r>
  <r>
    <x v="2955"/>
    <m/>
    <x v="36"/>
    <x v="1"/>
    <x v="6"/>
    <x v="2889"/>
    <x v="152"/>
    <x v="81"/>
    <x v="7"/>
    <x v="0"/>
    <n v="374016.67"/>
    <x v="2"/>
    <x v="6"/>
  </r>
  <r>
    <x v="2956"/>
    <m/>
    <x v="3"/>
    <x v="0"/>
    <x v="1"/>
    <x v="2890"/>
    <x v="235"/>
    <x v="285"/>
    <x v="1"/>
    <x v="4"/>
    <n v="485342.64"/>
    <x v="1"/>
    <x v="14"/>
  </r>
  <r>
    <x v="2957"/>
    <m/>
    <x v="72"/>
    <x v="0"/>
    <x v="3"/>
    <x v="2891"/>
    <x v="112"/>
    <x v="320"/>
    <x v="7"/>
    <x v="0"/>
    <n v="315619.98"/>
    <x v="1"/>
    <x v="11"/>
  </r>
  <r>
    <x v="2958"/>
    <m/>
    <x v="61"/>
    <x v="1"/>
    <x v="2"/>
    <x v="2892"/>
    <x v="167"/>
    <x v="251"/>
    <x v="0"/>
    <x v="2"/>
    <n v="186004.6"/>
    <x v="2"/>
    <x v="14"/>
  </r>
  <r>
    <x v="2959"/>
    <m/>
    <x v="48"/>
    <x v="1"/>
    <x v="2"/>
    <x v="2893"/>
    <x v="282"/>
    <x v="20"/>
    <x v="2"/>
    <x v="5"/>
    <n v="390124.54"/>
    <x v="0"/>
    <x v="3"/>
  </r>
  <r>
    <x v="2960"/>
    <m/>
    <x v="83"/>
    <x v="1"/>
    <x v="3"/>
    <x v="2894"/>
    <x v="207"/>
    <x v="30"/>
    <x v="6"/>
    <x v="5"/>
    <n v="494740.5"/>
    <x v="1"/>
    <x v="7"/>
  </r>
  <r>
    <x v="2961"/>
    <m/>
    <x v="31"/>
    <x v="1"/>
    <x v="1"/>
    <x v="2895"/>
    <x v="151"/>
    <x v="255"/>
    <x v="5"/>
    <x v="2"/>
    <n v="242647.18"/>
    <x v="1"/>
    <x v="2"/>
  </r>
  <r>
    <x v="2962"/>
    <m/>
    <x v="33"/>
    <x v="1"/>
    <x v="2"/>
    <x v="2896"/>
    <x v="190"/>
    <x v="359"/>
    <x v="6"/>
    <x v="5"/>
    <n v="20311.72"/>
    <x v="0"/>
    <x v="4"/>
  </r>
  <r>
    <x v="2963"/>
    <m/>
    <x v="82"/>
    <x v="0"/>
    <x v="0"/>
    <x v="2897"/>
    <x v="213"/>
    <x v="273"/>
    <x v="1"/>
    <x v="2"/>
    <n v="77445.55"/>
    <x v="2"/>
    <x v="11"/>
  </r>
  <r>
    <x v="2964"/>
    <m/>
    <x v="58"/>
    <x v="0"/>
    <x v="1"/>
    <x v="2898"/>
    <x v="7"/>
    <x v="17"/>
    <x v="4"/>
    <x v="5"/>
    <n v="155127"/>
    <x v="0"/>
    <x v="2"/>
  </r>
  <r>
    <x v="2965"/>
    <m/>
    <x v="87"/>
    <x v="1"/>
    <x v="4"/>
    <x v="2899"/>
    <x v="85"/>
    <x v="260"/>
    <x v="2"/>
    <x v="3"/>
    <n v="347078.81"/>
    <x v="1"/>
    <x v="5"/>
  </r>
  <r>
    <x v="2966"/>
    <m/>
    <x v="31"/>
    <x v="0"/>
    <x v="1"/>
    <x v="2900"/>
    <x v="250"/>
    <x v="35"/>
    <x v="7"/>
    <x v="3"/>
    <n v="124670.51"/>
    <x v="0"/>
    <x v="8"/>
  </r>
  <r>
    <x v="2967"/>
    <m/>
    <x v="79"/>
    <x v="1"/>
    <x v="5"/>
    <x v="2901"/>
    <x v="176"/>
    <x v="121"/>
    <x v="9"/>
    <x v="4"/>
    <n v="436792.89"/>
    <x v="1"/>
    <x v="0"/>
  </r>
  <r>
    <x v="2968"/>
    <m/>
    <x v="3"/>
    <x v="0"/>
    <x v="5"/>
    <x v="2902"/>
    <x v="183"/>
    <x v="4"/>
    <x v="6"/>
    <x v="1"/>
    <n v="403181.15"/>
    <x v="1"/>
    <x v="7"/>
  </r>
  <r>
    <x v="2969"/>
    <m/>
    <x v="50"/>
    <x v="1"/>
    <x v="0"/>
    <x v="635"/>
    <x v="77"/>
    <x v="26"/>
    <x v="4"/>
    <x v="0"/>
    <n v="486384.13"/>
    <x v="2"/>
    <x v="4"/>
  </r>
  <r>
    <x v="2970"/>
    <m/>
    <x v="45"/>
    <x v="0"/>
    <x v="6"/>
    <x v="2903"/>
    <x v="238"/>
    <x v="139"/>
    <x v="6"/>
    <x v="0"/>
    <n v="30107.57"/>
    <x v="0"/>
    <x v="4"/>
  </r>
  <r>
    <x v="2971"/>
    <m/>
    <x v="75"/>
    <x v="1"/>
    <x v="1"/>
    <x v="1071"/>
    <x v="353"/>
    <x v="79"/>
    <x v="2"/>
    <x v="1"/>
    <n v="190606.75"/>
    <x v="1"/>
    <x v="10"/>
  </r>
  <r>
    <x v="2972"/>
    <m/>
    <x v="79"/>
    <x v="0"/>
    <x v="5"/>
    <x v="2904"/>
    <x v="48"/>
    <x v="347"/>
    <x v="8"/>
    <x v="3"/>
    <n v="454820.19"/>
    <x v="1"/>
    <x v="7"/>
  </r>
  <r>
    <x v="2973"/>
    <m/>
    <x v="38"/>
    <x v="0"/>
    <x v="4"/>
    <x v="2905"/>
    <x v="16"/>
    <x v="52"/>
    <x v="7"/>
    <x v="2"/>
    <n v="113115.92"/>
    <x v="0"/>
    <x v="0"/>
  </r>
  <r>
    <x v="2974"/>
    <m/>
    <x v="18"/>
    <x v="0"/>
    <x v="3"/>
    <x v="2906"/>
    <x v="256"/>
    <x v="209"/>
    <x v="8"/>
    <x v="2"/>
    <n v="154353.60999999999"/>
    <x v="2"/>
    <x v="4"/>
  </r>
  <r>
    <x v="2975"/>
    <m/>
    <x v="53"/>
    <x v="1"/>
    <x v="5"/>
    <x v="2907"/>
    <x v="32"/>
    <x v="114"/>
    <x v="7"/>
    <x v="3"/>
    <n v="314268.95"/>
    <x v="0"/>
    <x v="9"/>
  </r>
  <r>
    <x v="2976"/>
    <m/>
    <x v="67"/>
    <x v="0"/>
    <x v="0"/>
    <x v="2908"/>
    <x v="173"/>
    <x v="342"/>
    <x v="6"/>
    <x v="3"/>
    <n v="231722.13"/>
    <x v="1"/>
    <x v="14"/>
  </r>
  <r>
    <x v="2977"/>
    <m/>
    <x v="81"/>
    <x v="0"/>
    <x v="6"/>
    <x v="2909"/>
    <x v="226"/>
    <x v="189"/>
    <x v="0"/>
    <x v="5"/>
    <n v="133821.87"/>
    <x v="0"/>
    <x v="12"/>
  </r>
  <r>
    <x v="2978"/>
    <m/>
    <x v="62"/>
    <x v="1"/>
    <x v="0"/>
    <x v="2910"/>
    <x v="5"/>
    <x v="5"/>
    <x v="7"/>
    <x v="4"/>
    <n v="88220.800000000003"/>
    <x v="2"/>
    <x v="0"/>
  </r>
  <r>
    <x v="2979"/>
    <m/>
    <x v="78"/>
    <x v="1"/>
    <x v="6"/>
    <x v="1634"/>
    <x v="158"/>
    <x v="330"/>
    <x v="5"/>
    <x v="2"/>
    <n v="489606.57"/>
    <x v="0"/>
    <x v="7"/>
  </r>
  <r>
    <x v="2980"/>
    <m/>
    <x v="1"/>
    <x v="1"/>
    <x v="1"/>
    <x v="2911"/>
    <x v="121"/>
    <x v="214"/>
    <x v="5"/>
    <x v="3"/>
    <n v="244520.82"/>
    <x v="0"/>
    <x v="3"/>
  </r>
  <r>
    <x v="2981"/>
    <m/>
    <x v="88"/>
    <x v="0"/>
    <x v="4"/>
    <x v="2912"/>
    <x v="310"/>
    <x v="332"/>
    <x v="5"/>
    <x v="2"/>
    <n v="298059.49"/>
    <x v="1"/>
    <x v="4"/>
  </r>
  <r>
    <x v="2982"/>
    <m/>
    <x v="16"/>
    <x v="0"/>
    <x v="1"/>
    <x v="2913"/>
    <x v="208"/>
    <x v="273"/>
    <x v="0"/>
    <x v="1"/>
    <n v="437430.93"/>
    <x v="0"/>
    <x v="4"/>
  </r>
  <r>
    <x v="2983"/>
    <m/>
    <x v="87"/>
    <x v="0"/>
    <x v="0"/>
    <x v="2914"/>
    <x v="178"/>
    <x v="343"/>
    <x v="2"/>
    <x v="0"/>
    <n v="445645.16"/>
    <x v="1"/>
    <x v="7"/>
  </r>
  <r>
    <x v="2984"/>
    <m/>
    <x v="85"/>
    <x v="0"/>
    <x v="5"/>
    <x v="2915"/>
    <x v="122"/>
    <x v="247"/>
    <x v="3"/>
    <x v="3"/>
    <n v="188332.3"/>
    <x v="0"/>
    <x v="9"/>
  </r>
  <r>
    <x v="2985"/>
    <m/>
    <x v="73"/>
    <x v="1"/>
    <x v="1"/>
    <x v="2916"/>
    <x v="182"/>
    <x v="153"/>
    <x v="4"/>
    <x v="3"/>
    <n v="7840.37"/>
    <x v="1"/>
    <x v="6"/>
  </r>
  <r>
    <x v="2986"/>
    <m/>
    <x v="81"/>
    <x v="1"/>
    <x v="2"/>
    <x v="2917"/>
    <x v="4"/>
    <x v="120"/>
    <x v="6"/>
    <x v="1"/>
    <n v="455689.59"/>
    <x v="2"/>
    <x v="1"/>
  </r>
  <r>
    <x v="2987"/>
    <m/>
    <x v="79"/>
    <x v="0"/>
    <x v="4"/>
    <x v="2918"/>
    <x v="152"/>
    <x v="7"/>
    <x v="3"/>
    <x v="0"/>
    <n v="466831.94"/>
    <x v="0"/>
    <x v="1"/>
  </r>
  <r>
    <x v="2988"/>
    <m/>
    <x v="70"/>
    <x v="1"/>
    <x v="6"/>
    <x v="2919"/>
    <x v="109"/>
    <x v="137"/>
    <x v="1"/>
    <x v="0"/>
    <n v="69623.100000000006"/>
    <x v="0"/>
    <x v="14"/>
  </r>
  <r>
    <x v="2989"/>
    <m/>
    <x v="54"/>
    <x v="1"/>
    <x v="5"/>
    <x v="2920"/>
    <x v="353"/>
    <x v="303"/>
    <x v="4"/>
    <x v="3"/>
    <n v="478607.44"/>
    <x v="1"/>
    <x v="4"/>
  </r>
  <r>
    <x v="2990"/>
    <m/>
    <x v="1"/>
    <x v="0"/>
    <x v="1"/>
    <x v="2921"/>
    <x v="165"/>
    <x v="309"/>
    <x v="7"/>
    <x v="2"/>
    <n v="187009.4"/>
    <x v="0"/>
    <x v="10"/>
  </r>
  <r>
    <x v="2991"/>
    <m/>
    <x v="40"/>
    <x v="1"/>
    <x v="2"/>
    <x v="435"/>
    <x v="114"/>
    <x v="150"/>
    <x v="4"/>
    <x v="5"/>
    <n v="466829.97"/>
    <x v="0"/>
    <x v="5"/>
  </r>
  <r>
    <x v="2992"/>
    <m/>
    <x v="28"/>
    <x v="1"/>
    <x v="4"/>
    <x v="2922"/>
    <x v="65"/>
    <x v="332"/>
    <x v="9"/>
    <x v="0"/>
    <n v="388227.86"/>
    <x v="1"/>
    <x v="10"/>
  </r>
  <r>
    <x v="2993"/>
    <m/>
    <x v="13"/>
    <x v="0"/>
    <x v="3"/>
    <x v="2923"/>
    <x v="111"/>
    <x v="334"/>
    <x v="9"/>
    <x v="0"/>
    <n v="392925.24"/>
    <x v="0"/>
    <x v="8"/>
  </r>
  <r>
    <x v="2994"/>
    <m/>
    <x v="17"/>
    <x v="1"/>
    <x v="1"/>
    <x v="2924"/>
    <x v="319"/>
    <x v="323"/>
    <x v="5"/>
    <x v="5"/>
    <n v="354278.40000000002"/>
    <x v="0"/>
    <x v="2"/>
  </r>
  <r>
    <x v="2995"/>
    <m/>
    <x v="80"/>
    <x v="0"/>
    <x v="6"/>
    <x v="2925"/>
    <x v="214"/>
    <x v="213"/>
    <x v="7"/>
    <x v="4"/>
    <n v="98938.44"/>
    <x v="1"/>
    <x v="10"/>
  </r>
  <r>
    <x v="2996"/>
    <m/>
    <x v="29"/>
    <x v="0"/>
    <x v="0"/>
    <x v="2926"/>
    <x v="20"/>
    <x v="209"/>
    <x v="3"/>
    <x v="2"/>
    <n v="183714.06"/>
    <x v="0"/>
    <x v="9"/>
  </r>
  <r>
    <x v="2997"/>
    <m/>
    <x v="82"/>
    <x v="1"/>
    <x v="6"/>
    <x v="2927"/>
    <x v="23"/>
    <x v="371"/>
    <x v="6"/>
    <x v="2"/>
    <n v="52224.51"/>
    <x v="2"/>
    <x v="5"/>
  </r>
  <r>
    <x v="2998"/>
    <m/>
    <x v="77"/>
    <x v="1"/>
    <x v="0"/>
    <x v="2928"/>
    <x v="168"/>
    <x v="357"/>
    <x v="6"/>
    <x v="3"/>
    <n v="306755.48"/>
    <x v="2"/>
    <x v="8"/>
  </r>
  <r>
    <x v="2999"/>
    <m/>
    <x v="14"/>
    <x v="0"/>
    <x v="2"/>
    <x v="2929"/>
    <x v="267"/>
    <x v="233"/>
    <x v="3"/>
    <x v="1"/>
    <n v="261136.7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85B93E-273C-4519-934B-9809717F31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1" firstHeaderRow="1" firstDataRow="1" firstDataCol="1"/>
  <pivotFields count="15">
    <pivotField dataField="1" showAll="0"/>
    <pivotField showAll="0"/>
    <pivotField showAll="0">
      <items count="8">
        <item x="0"/>
        <item x="1"/>
        <item x="2"/>
        <item x="3"/>
        <item x="4"/>
        <item x="5"/>
        <item x="6"/>
        <item t="default"/>
      </items>
    </pivotField>
    <pivotField showAll="0">
      <items count="3">
        <item x="1"/>
        <item x="0"/>
        <item t="default"/>
      </items>
    </pivotField>
    <pivotField axis="axisRow" showAll="0">
      <items count="8">
        <item x="5"/>
        <item x="1"/>
        <item x="6"/>
        <item x="4"/>
        <item x="3"/>
        <item x="2"/>
        <item x="0"/>
        <item t="default"/>
      </items>
    </pivotField>
    <pivotField showAll="0"/>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pivotField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i>
    <i>
      <x v="1"/>
    </i>
    <i>
      <x v="2"/>
    </i>
    <i>
      <x v="3"/>
    </i>
    <i>
      <x v="4"/>
    </i>
    <i>
      <x v="5"/>
    </i>
    <i>
      <x v="6"/>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8429C1-0C03-4592-9892-A34959C25B0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40" firstHeaderRow="1" firstDataRow="1" firstDataCol="1"/>
  <pivotFields count="15">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8">
        <item x="0"/>
        <item x="1"/>
        <item x="2"/>
        <item x="3"/>
        <item x="4"/>
        <item x="5"/>
        <item x="6"/>
        <item t="default"/>
      </items>
    </pivotField>
    <pivotField showAll="0">
      <items count="3">
        <item x="1"/>
        <item x="0"/>
        <item t="default"/>
      </items>
    </pivotField>
    <pivotField showAll="0">
      <items count="8">
        <item x="5"/>
        <item x="1"/>
        <item x="6"/>
        <item x="4"/>
        <item x="3"/>
        <item x="2"/>
        <item x="0"/>
        <item t="default"/>
      </items>
    </pivotField>
    <pivotField showAll="0">
      <items count="2931">
        <item x="1083"/>
        <item x="152"/>
        <item x="28"/>
        <item x="1002"/>
        <item x="2652"/>
        <item x="939"/>
        <item x="2286"/>
        <item x="442"/>
        <item x="339"/>
        <item x="713"/>
        <item x="292"/>
        <item x="368"/>
        <item x="387"/>
        <item x="1442"/>
        <item x="2836"/>
        <item x="136"/>
        <item x="676"/>
        <item x="2407"/>
        <item x="453"/>
        <item x="1978"/>
        <item x="822"/>
        <item x="1031"/>
        <item x="2179"/>
        <item x="633"/>
        <item x="2486"/>
        <item x="892"/>
        <item x="511"/>
        <item x="1561"/>
        <item x="2818"/>
        <item x="2782"/>
        <item x="367"/>
        <item x="322"/>
        <item x="305"/>
        <item x="209"/>
        <item x="398"/>
        <item x="1187"/>
        <item x="2021"/>
        <item x="2755"/>
        <item x="1982"/>
        <item x="2766"/>
        <item x="2370"/>
        <item x="1758"/>
        <item x="1581"/>
        <item x="727"/>
        <item x="549"/>
        <item x="158"/>
        <item x="1062"/>
        <item x="1471"/>
        <item x="1270"/>
        <item x="2841"/>
        <item x="1717"/>
        <item x="2667"/>
        <item x="2657"/>
        <item x="1125"/>
        <item x="2159"/>
        <item x="968"/>
        <item x="2810"/>
        <item x="2737"/>
        <item x="2549"/>
        <item x="2404"/>
        <item x="1130"/>
        <item x="333"/>
        <item x="1626"/>
        <item x="927"/>
        <item x="947"/>
        <item x="1486"/>
        <item x="2918"/>
        <item x="855"/>
        <item x="857"/>
        <item x="1514"/>
        <item x="1778"/>
        <item x="2868"/>
        <item x="199"/>
        <item x="351"/>
        <item x="2002"/>
        <item x="488"/>
        <item x="1624"/>
        <item x="328"/>
        <item x="1343"/>
        <item x="515"/>
        <item x="2072"/>
        <item x="1250"/>
        <item x="1928"/>
        <item x="890"/>
        <item x="2834"/>
        <item x="622"/>
        <item x="2381"/>
        <item x="2492"/>
        <item x="845"/>
        <item x="2645"/>
        <item x="2734"/>
        <item x="2545"/>
        <item x="2074"/>
        <item x="347"/>
        <item x="2200"/>
        <item x="2355"/>
        <item x="377"/>
        <item x="2078"/>
        <item x="1188"/>
        <item x="1809"/>
        <item x="2418"/>
        <item x="1370"/>
        <item x="38"/>
        <item x="2780"/>
        <item x="1980"/>
        <item x="2534"/>
        <item x="1180"/>
        <item x="1286"/>
        <item x="2313"/>
        <item x="1786"/>
        <item x="1623"/>
        <item x="2797"/>
        <item x="2268"/>
        <item x="922"/>
        <item x="270"/>
        <item x="952"/>
        <item x="1115"/>
        <item x="30"/>
        <item x="177"/>
        <item x="2599"/>
        <item x="829"/>
        <item x="848"/>
        <item x="2173"/>
        <item x="2584"/>
        <item x="2185"/>
        <item x="1775"/>
        <item x="1648"/>
        <item x="2305"/>
        <item x="2271"/>
        <item x="88"/>
        <item x="205"/>
        <item x="755"/>
        <item x="184"/>
        <item x="475"/>
        <item x="2126"/>
        <item x="1590"/>
        <item x="2030"/>
        <item x="2151"/>
        <item x="1375"/>
        <item x="246"/>
        <item x="1223"/>
        <item x="753"/>
        <item x="2247"/>
        <item x="898"/>
        <item x="1916"/>
        <item x="2117"/>
        <item x="1168"/>
        <item x="1081"/>
        <item x="1411"/>
        <item x="1574"/>
        <item x="1109"/>
        <item x="2251"/>
        <item x="148"/>
        <item x="340"/>
        <item x="2641"/>
        <item x="226"/>
        <item x="129"/>
        <item x="157"/>
        <item x="1137"/>
        <item x="558"/>
        <item x="2768"/>
        <item x="831"/>
        <item x="1738"/>
        <item x="61"/>
        <item x="1957"/>
        <item x="1511"/>
        <item x="108"/>
        <item x="2009"/>
        <item x="274"/>
        <item x="164"/>
        <item x="295"/>
        <item x="1798"/>
        <item x="1887"/>
        <item x="930"/>
        <item x="1439"/>
        <item x="2191"/>
        <item x="1479"/>
        <item x="1175"/>
        <item x="1551"/>
        <item x="2921"/>
        <item x="1877"/>
        <item x="41"/>
        <item x="1032"/>
        <item x="400"/>
        <item x="2461"/>
        <item x="2621"/>
        <item x="2369"/>
        <item x="1368"/>
        <item x="2340"/>
        <item x="1432"/>
        <item x="2409"/>
        <item x="2548"/>
        <item x="784"/>
        <item x="1236"/>
        <item x="151"/>
        <item x="1562"/>
        <item x="544"/>
        <item x="738"/>
        <item x="489"/>
        <item x="1816"/>
        <item x="2223"/>
        <item x="2582"/>
        <item x="2378"/>
        <item x="870"/>
        <item x="2881"/>
        <item x="2197"/>
        <item x="998"/>
        <item x="578"/>
        <item x="1885"/>
        <item x="189"/>
        <item x="1719"/>
        <item x="2012"/>
        <item x="2014"/>
        <item x="155"/>
        <item x="1793"/>
        <item x="356"/>
        <item x="2604"/>
        <item x="1510"/>
        <item x="1084"/>
        <item x="1344"/>
        <item x="1575"/>
        <item x="145"/>
        <item x="2848"/>
        <item x="2387"/>
        <item x="1599"/>
        <item x="1203"/>
        <item x="1505"/>
        <item x="1016"/>
        <item x="2886"/>
        <item x="2820"/>
        <item x="1360"/>
        <item x="2220"/>
        <item x="1321"/>
        <item x="297"/>
        <item x="85"/>
        <item x="354"/>
        <item x="2390"/>
        <item x="1304"/>
        <item x="320"/>
        <item x="311"/>
        <item x="2045"/>
        <item x="2158"/>
        <item x="1151"/>
        <item x="1441"/>
        <item x="2005"/>
        <item x="2432"/>
        <item x="1559"/>
        <item x="500"/>
        <item x="884"/>
        <item x="2347"/>
        <item x="843"/>
        <item x="2410"/>
        <item x="458"/>
        <item x="1014"/>
        <item x="2328"/>
        <item x="2077"/>
        <item x="1194"/>
        <item x="186"/>
        <item x="1174"/>
        <item x="2008"/>
        <item x="2603"/>
        <item x="716"/>
        <item x="1711"/>
        <item x="603"/>
        <item x="1352"/>
        <item x="1267"/>
        <item x="656"/>
        <item x="1776"/>
        <item x="2666"/>
        <item x="2348"/>
        <item x="1754"/>
        <item x="1765"/>
        <item x="1427"/>
        <item x="667"/>
        <item x="636"/>
        <item x="1447"/>
        <item x="663"/>
        <item x="2441"/>
        <item x="2445"/>
        <item x="966"/>
        <item x="1331"/>
        <item x="1632"/>
        <item x="2284"/>
        <item x="2454"/>
        <item x="1142"/>
        <item x="810"/>
        <item x="1"/>
        <item x="637"/>
        <item x="2484"/>
        <item x="1734"/>
        <item x="1335"/>
        <item x="878"/>
        <item x="602"/>
        <item x="2700"/>
        <item x="1450"/>
        <item x="2497"/>
        <item x="1316"/>
        <item x="899"/>
        <item x="1305"/>
        <item x="609"/>
        <item x="2170"/>
        <item x="2583"/>
        <item x="1509"/>
        <item x="1073"/>
        <item x="1444"/>
        <item x="595"/>
        <item x="1525"/>
        <item x="1533"/>
        <item x="559"/>
        <item x="849"/>
        <item x="654"/>
        <item x="395"/>
        <item x="2716"/>
        <item x="792"/>
        <item x="1440"/>
        <item x="1106"/>
        <item x="2226"/>
        <item x="776"/>
        <item x="1373"/>
        <item x="2209"/>
        <item x="2349"/>
        <item x="2026"/>
        <item x="2022"/>
        <item x="638"/>
        <item x="535"/>
        <item x="240"/>
        <item x="2162"/>
        <item x="2274"/>
        <item x="115"/>
        <item x="167"/>
        <item x="2059"/>
        <item x="414"/>
        <item x="503"/>
        <item x="2590"/>
        <item x="2869"/>
        <item x="2827"/>
        <item x="2571"/>
        <item x="1225"/>
        <item x="2908"/>
        <item x="2217"/>
        <item x="1215"/>
        <item x="2018"/>
        <item x="1038"/>
        <item x="767"/>
        <item x="201"/>
        <item x="877"/>
        <item x="2144"/>
        <item x="1802"/>
        <item x="284"/>
        <item x="1948"/>
        <item x="642"/>
        <item x="758"/>
        <item x="1600"/>
        <item x="859"/>
        <item x="1628"/>
        <item x="232"/>
        <item x="2689"/>
        <item x="2779"/>
        <item x="785"/>
        <item x="1490"/>
        <item x="2807"/>
        <item x="449"/>
        <item x="1739"/>
        <item x="2856"/>
        <item x="2798"/>
        <item x="1332"/>
        <item x="2669"/>
        <item x="1950"/>
        <item x="876"/>
        <item x="2294"/>
        <item x="2799"/>
        <item x="1503"/>
        <item x="1268"/>
        <item x="198"/>
        <item x="1548"/>
        <item x="2449"/>
        <item x="580"/>
        <item x="2203"/>
        <item x="309"/>
        <item x="880"/>
        <item x="118"/>
        <item x="2900"/>
        <item x="2793"/>
        <item x="329"/>
        <item x="2122"/>
        <item x="839"/>
        <item x="1836"/>
        <item x="721"/>
        <item x="2384"/>
        <item x="1876"/>
        <item x="1219"/>
        <item x="2586"/>
        <item x="761"/>
        <item x="1752"/>
        <item x="330"/>
        <item x="435"/>
        <item x="318"/>
        <item x="1417"/>
        <item x="2589"/>
        <item x="787"/>
        <item x="552"/>
        <item x="481"/>
        <item x="1953"/>
        <item x="49"/>
        <item x="2476"/>
        <item x="1974"/>
        <item x="715"/>
        <item x="921"/>
        <item x="1515"/>
        <item x="1861"/>
        <item x="1272"/>
        <item x="934"/>
        <item x="1587"/>
        <item x="2148"/>
        <item x="2506"/>
        <item x="2364"/>
        <item x="2250"/>
        <item x="2843"/>
        <item x="1218"/>
        <item x="2428"/>
        <item x="125"/>
        <item x="2377"/>
        <item x="1543"/>
        <item x="1606"/>
        <item x="2764"/>
        <item x="2844"/>
        <item x="2632"/>
        <item x="1713"/>
        <item x="2715"/>
        <item x="336"/>
        <item x="2851"/>
        <item x="317"/>
        <item x="938"/>
        <item x="1204"/>
        <item x="2015"/>
        <item x="1938"/>
        <item x="1005"/>
        <item x="2188"/>
        <item x="513"/>
        <item x="534"/>
        <item x="1669"/>
        <item x="1426"/>
        <item x="1179"/>
        <item x="2380"/>
        <item x="389"/>
        <item x="1827"/>
        <item x="120"/>
        <item x="2600"/>
        <item x="1685"/>
        <item x="2289"/>
        <item x="1156"/>
        <item x="1934"/>
        <item x="154"/>
        <item x="2070"/>
        <item x="1118"/>
        <item x="1986"/>
        <item x="2531"/>
        <item x="1119"/>
        <item x="2853"/>
        <item x="1994"/>
        <item x="2499"/>
        <item x="629"/>
        <item x="2891"/>
        <item x="1402"/>
        <item x="36"/>
        <item x="419"/>
        <item x="1243"/>
        <item x="2753"/>
        <item x="1781"/>
        <item x="2832"/>
        <item x="869"/>
        <item x="2354"/>
        <item x="824"/>
        <item x="648"/>
        <item x="130"/>
        <item x="1007"/>
        <item x="955"/>
        <item x="2184"/>
        <item x="454"/>
        <item x="2149"/>
        <item x="160"/>
        <item x="74"/>
        <item x="912"/>
        <item x="2031"/>
        <item x="2124"/>
        <item x="69"/>
        <item x="1228"/>
        <item x="2333"/>
        <item x="168"/>
        <item x="2917"/>
        <item x="1854"/>
        <item x="1730"/>
        <item x="2662"/>
        <item x="2653"/>
        <item x="2169"/>
        <item x="1578"/>
        <item x="42"/>
        <item x="2502"/>
        <item x="834"/>
        <item x="2880"/>
        <item x="1297"/>
        <item x="370"/>
        <item x="2282"/>
        <item x="1365"/>
        <item x="2572"/>
        <item x="2291"/>
        <item x="2073"/>
        <item x="2701"/>
        <item x="772"/>
        <item x="1616"/>
        <item x="6"/>
        <item x="1202"/>
        <item x="1310"/>
        <item x="1001"/>
        <item x="803"/>
        <item x="1990"/>
        <item x="2262"/>
        <item x="2297"/>
        <item x="1688"/>
        <item x="2699"/>
        <item x="1865"/>
        <item x="1611"/>
        <item x="2202"/>
        <item x="2437"/>
        <item x="734"/>
        <item x="1495"/>
        <item x="791"/>
        <item x="1128"/>
        <item x="545"/>
        <item x="2136"/>
        <item x="2189"/>
        <item x="2043"/>
        <item x="1235"/>
        <item x="1025"/>
        <item x="541"/>
        <item x="933"/>
        <item x="945"/>
        <item x="1961"/>
        <item x="1090"/>
        <item x="243"/>
        <item x="437"/>
        <item x="2205"/>
        <item x="2161"/>
        <item x="2088"/>
        <item x="2487"/>
        <item x="1757"/>
        <item x="2133"/>
        <item x="1538"/>
        <item x="2182"/>
        <item x="1729"/>
        <item x="1764"/>
        <item x="555"/>
        <item x="71"/>
        <item x="242"/>
        <item x="468"/>
        <item x="415"/>
        <item x="1050"/>
        <item x="631"/>
        <item x="2103"/>
        <item x="907"/>
        <item x="711"/>
        <item x="1595"/>
        <item x="2680"/>
        <item x="2781"/>
        <item x="2717"/>
        <item x="658"/>
        <item x="2430"/>
        <item x="527"/>
        <item x="1983"/>
        <item x="2337"/>
        <item x="2712"/>
        <item x="1285"/>
        <item x="2805"/>
        <item x="1919"/>
        <item x="751"/>
        <item x="2373"/>
        <item x="2686"/>
        <item x="1692"/>
        <item x="1398"/>
        <item x="589"/>
        <item x="2195"/>
        <item x="681"/>
        <item x="369"/>
        <item x="13"/>
        <item x="2041"/>
        <item x="1811"/>
        <item x="281"/>
        <item x="2190"/>
        <item x="466"/>
        <item x="918"/>
        <item x="1359"/>
        <item x="455"/>
        <item x="378"/>
        <item x="2789"/>
        <item x="2411"/>
        <item x="1173"/>
        <item x="214"/>
        <item x="440"/>
        <item x="989"/>
        <item x="58"/>
        <item x="18"/>
        <item x="2901"/>
        <item x="1435"/>
        <item x="432"/>
        <item x="628"/>
        <item x="2927"/>
        <item x="1462"/>
        <item x="2564"/>
        <item x="1153"/>
        <item x="1609"/>
        <item x="2630"/>
        <item x="2458"/>
        <item x="1828"/>
        <item x="325"/>
        <item x="1565"/>
        <item x="745"/>
        <item x="2710"/>
        <item x="2068"/>
        <item x="2243"/>
        <item x="1564"/>
        <item x="1100"/>
        <item x="836"/>
        <item x="1210"/>
        <item x="1136"/>
        <item x="1805"/>
        <item x="473"/>
        <item x="674"/>
        <item x="2338"/>
        <item x="2672"/>
        <item x="971"/>
        <item x="1092"/>
        <item x="2279"/>
        <item x="2341"/>
        <item x="65"/>
        <item x="254"/>
        <item x="365"/>
        <item x="1324"/>
        <item x="482"/>
        <item x="2536"/>
        <item x="1287"/>
        <item x="173"/>
        <item x="293"/>
        <item x="2032"/>
        <item x="1801"/>
        <item x="2069"/>
        <item x="2193"/>
        <item x="2391"/>
        <item x="1650"/>
        <item x="1242"/>
        <item x="2520"/>
        <item x="1209"/>
        <item x="789"/>
        <item x="1448"/>
        <item x="1246"/>
        <item x="2785"/>
        <item x="394"/>
        <item x="427"/>
        <item x="1211"/>
        <item x="2887"/>
        <item x="1923"/>
        <item x="1091"/>
        <item x="2398"/>
        <item x="2325"/>
        <item x="2515"/>
        <item x="762"/>
        <item x="529"/>
        <item x="2028"/>
        <item x="25"/>
        <item x="2465"/>
        <item x="1618"/>
        <item x="572"/>
        <item x="613"/>
        <item x="1481"/>
        <item x="2426"/>
        <item x="2575"/>
        <item x="416"/>
        <item x="1041"/>
        <item x="1883"/>
        <item x="723"/>
        <item x="448"/>
        <item x="994"/>
        <item x="909"/>
        <item x="1896"/>
        <item x="2130"/>
        <item x="2071"/>
        <item x="1251"/>
        <item x="1483"/>
        <item x="319"/>
        <item x="1518"/>
        <item x="2164"/>
        <item x="1825"/>
        <item x="1399"/>
        <item x="15"/>
        <item x="114"/>
        <item x="2245"/>
        <item x="80"/>
        <item x="2479"/>
        <item x="1547"/>
        <item x="2808"/>
        <item x="2266"/>
        <item x="1059"/>
        <item x="2802"/>
        <item x="623"/>
        <item x="919"/>
        <item x="2383"/>
        <item x="1601"/>
        <item x="2141"/>
        <item x="2318"/>
        <item x="1418"/>
        <item x="1422"/>
        <item x="985"/>
        <item x="865"/>
        <item x="1859"/>
        <item x="2234"/>
        <item x="1911"/>
        <item x="2110"/>
        <item x="2693"/>
        <item x="649"/>
        <item x="1376"/>
        <item x="483"/>
        <item x="2650"/>
        <item x="611"/>
        <item x="2421"/>
        <item x="2882"/>
        <item x="1206"/>
        <item x="1065"/>
        <item x="163"/>
        <item x="2121"/>
        <item x="2800"/>
        <item x="2723"/>
        <item x="2877"/>
        <item x="986"/>
        <item x="316"/>
        <item x="691"/>
        <item x="169"/>
        <item x="2731"/>
        <item x="2051"/>
        <item x="1817"/>
        <item x="2538"/>
        <item x="2801"/>
        <item x="594"/>
        <item x="1610"/>
        <item x="788"/>
        <item x="825"/>
        <item x="816"/>
        <item x="1766"/>
        <item x="1933"/>
        <item x="1252"/>
        <item x="896"/>
        <item x="2763"/>
        <item x="620"/>
        <item x="590"/>
        <item x="2806"/>
        <item x="52"/>
        <item x="861"/>
        <item x="2551"/>
        <item x="2516"/>
        <item x="371"/>
        <item x="202"/>
        <item x="2643"/>
        <item x="381"/>
        <item x="571"/>
        <item x="2685"/>
        <item x="2878"/>
        <item x="1553"/>
        <item x="1245"/>
        <item x="1706"/>
        <item x="102"/>
        <item x="837"/>
        <item x="2365"/>
        <item x="731"/>
        <item x="1526"/>
        <item x="2248"/>
        <item x="914"/>
        <item x="344"/>
        <item x="1141"/>
        <item x="1653"/>
        <item x="1329"/>
        <item x="1613"/>
        <item x="1768"/>
        <item x="978"/>
        <item x="600"/>
        <item x="1670"/>
        <item x="2447"/>
        <item x="224"/>
        <item x="363"/>
        <item x="95"/>
        <item x="2273"/>
        <item x="673"/>
        <item x="1695"/>
        <item x="606"/>
        <item x="710"/>
        <item x="1326"/>
        <item x="63"/>
        <item x="1449"/>
        <item x="686"/>
        <item x="828"/>
        <item x="514"/>
        <item x="2267"/>
        <item x="1132"/>
        <item x="2588"/>
        <item x="2537"/>
        <item x="872"/>
        <item x="1955"/>
        <item x="480"/>
        <item x="1382"/>
        <item x="2510"/>
        <item x="954"/>
        <item x="2053"/>
        <item x="893"/>
        <item x="2547"/>
        <item x="539"/>
        <item x="2491"/>
        <item x="2035"/>
        <item x="2362"/>
        <item x="2140"/>
        <item x="172"/>
        <item x="1652"/>
        <item x="1959"/>
        <item x="153"/>
        <item x="1107"/>
        <item x="2896"/>
        <item x="904"/>
        <item x="1121"/>
        <item x="2829"/>
        <item x="1701"/>
        <item x="2697"/>
        <item x="2876"/>
        <item x="1822"/>
        <item x="79"/>
        <item x="1342"/>
        <item x="2561"/>
        <item x="2096"/>
        <item x="2444"/>
        <item x="1517"/>
        <item x="2792"/>
        <item x="796"/>
        <item x="988"/>
        <item x="1523"/>
        <item x="2819"/>
        <item x="1549"/>
        <item x="2255"/>
        <item x="2050"/>
        <item x="2814"/>
        <item x="798"/>
        <item x="2845"/>
        <item x="1929"/>
        <item x="346"/>
        <item x="1231"/>
        <item x="1253"/>
        <item x="2114"/>
        <item x="640"/>
        <item x="701"/>
        <item x="1105"/>
        <item x="1944"/>
        <item x="2086"/>
        <item x="238"/>
        <item x="1044"/>
        <item x="2865"/>
        <item x="315"/>
        <item x="1233"/>
        <item x="1744"/>
        <item x="569"/>
        <item x="1213"/>
        <item x="1069"/>
        <item x="992"/>
        <item x="314"/>
        <item x="1040"/>
        <item x="2726"/>
        <item x="1733"/>
        <item x="587"/>
        <item x="779"/>
        <item x="906"/>
        <item x="176"/>
        <item x="2864"/>
        <item x="91"/>
        <item x="1707"/>
        <item x="1350"/>
        <item x="1116"/>
        <item x="1807"/>
        <item x="179"/>
        <item x="1085"/>
        <item x="1833"/>
        <item x="1348"/>
        <item x="1748"/>
        <item x="1591"/>
        <item x="533"/>
        <item x="2543"/>
        <item x="1056"/>
        <item x="712"/>
        <item x="304"/>
        <item x="1655"/>
        <item x="2058"/>
        <item x="2512"/>
        <item x="260"/>
        <item x="392"/>
        <item x="1864"/>
        <item x="1284"/>
        <item x="257"/>
        <item x="2240"/>
        <item x="2397"/>
        <item x="925"/>
        <item x="1445"/>
        <item x="708"/>
        <item x="1856"/>
        <item x="350"/>
        <item x="1647"/>
        <item x="2214"/>
        <item x="1567"/>
        <item x="2610"/>
        <item x="1942"/>
        <item x="2728"/>
        <item x="2336"/>
        <item x="2097"/>
        <item x="2235"/>
        <item x="2601"/>
        <item x="1924"/>
        <item x="2803"/>
        <item x="644"/>
        <item x="1584"/>
        <item x="2730"/>
        <item x="811"/>
        <item x="2160"/>
        <item x="1945"/>
        <item x="1169"/>
        <item x="1227"/>
        <item x="1400"/>
        <item x="1867"/>
        <item x="2368"/>
        <item x="294"/>
        <item x="2750"/>
        <item x="1279"/>
        <item x="1384"/>
        <item x="1072"/>
        <item x="1871"/>
        <item x="2433"/>
        <item x="1723"/>
        <item x="2436"/>
        <item x="2393"/>
        <item x="352"/>
        <item x="165"/>
        <item x="119"/>
        <item x="993"/>
        <item x="2249"/>
        <item x="2739"/>
        <item x="1722"/>
        <item x="450"/>
        <item x="1742"/>
        <item x="2552"/>
        <item x="885"/>
        <item x="1237"/>
        <item x="1732"/>
        <item x="1293"/>
        <item x="990"/>
        <item x="867"/>
        <item x="1150"/>
        <item x="959"/>
        <item x="2010"/>
        <item x="2729"/>
        <item x="1996"/>
        <item x="2888"/>
        <item x="2528"/>
        <item x="175"/>
        <item x="277"/>
        <item x="2089"/>
        <item x="1160"/>
        <item x="1920"/>
        <item x="717"/>
        <item x="2676"/>
        <item x="2147"/>
        <item x="1668"/>
        <item x="1239"/>
        <item x="958"/>
        <item x="2375"/>
        <item x="882"/>
        <item x="1068"/>
        <item x="1971"/>
        <item x="1522"/>
        <item x="109"/>
        <item x="2253"/>
        <item x="1046"/>
        <item x="1975"/>
        <item x="505"/>
        <item x="1080"/>
        <item x="1512"/>
        <item x="1834"/>
        <item x="1405"/>
        <item x="326"/>
        <item x="949"/>
        <item x="2406"/>
        <item x="1163"/>
        <item x="923"/>
        <item x="2910"/>
        <item x="299"/>
        <item x="1415"/>
        <item x="929"/>
        <item x="2254"/>
        <item x="1878"/>
        <item x="2434"/>
        <item x="2265"/>
        <item x="2439"/>
        <item x="324"/>
        <item x="428"/>
        <item x="961"/>
        <item x="467"/>
        <item x="967"/>
        <item x="2386"/>
        <item x="2897"/>
        <item x="1205"/>
        <item x="722"/>
        <item x="2379"/>
        <item x="2518"/>
        <item x="2831"/>
        <item x="850"/>
        <item x="2342"/>
        <item x="1186"/>
        <item x="399"/>
        <item x="2703"/>
        <item x="1796"/>
        <item x="2367"/>
        <item x="498"/>
        <item x="279"/>
        <item x="159"/>
        <item x="1947"/>
        <item x="692"/>
        <item x="1870"/>
        <item x="972"/>
        <item x="1608"/>
        <item x="2007"/>
        <item x="1328"/>
        <item x="443"/>
        <item x="1159"/>
        <item x="1177"/>
        <item x="1425"/>
        <item x="1201"/>
        <item x="2469"/>
        <item x="1362"/>
        <item x="1004"/>
        <item x="2867"/>
        <item x="1686"/>
        <item x="2854"/>
        <item x="1571"/>
        <item x="1880"/>
        <item x="2460"/>
        <item x="2533"/>
        <item x="364"/>
        <item x="121"/>
        <item x="1784"/>
        <item x="1434"/>
        <item x="924"/>
        <item x="219"/>
        <item x="2374"/>
        <item x="2724"/>
        <item x="1446"/>
        <item x="1779"/>
        <item x="1217"/>
        <item x="596"/>
        <item x="1568"/>
        <item x="1917"/>
        <item x="1453"/>
        <item x="2315"/>
        <item x="2233"/>
        <item x="626"/>
        <item x="832"/>
        <item x="665"/>
        <item x="618"/>
        <item x="1855"/>
        <item x="653"/>
        <item x="775"/>
        <item x="507"/>
        <item x="2742"/>
        <item x="1915"/>
        <item x="1008"/>
        <item x="2635"/>
        <item x="2455"/>
        <item x="2744"/>
        <item x="2532"/>
        <item x="2044"/>
        <item x="70"/>
        <item x="2577"/>
        <item x="82"/>
        <item x="2637"/>
        <item x="1111"/>
        <item x="2082"/>
        <item x="1269"/>
        <item x="1122"/>
        <item x="2477"/>
        <item x="704"/>
        <item x="1193"/>
        <item x="747"/>
        <item x="632"/>
        <item x="1516"/>
        <item x="1070"/>
        <item x="1294"/>
        <item x="905"/>
        <item x="2440"/>
        <item x="212"/>
        <item x="1171"/>
        <item x="910"/>
        <item x="2748"/>
        <item x="1423"/>
        <item x="2743"/>
        <item x="1586"/>
        <item x="1424"/>
        <item x="2261"/>
        <item x="1840"/>
        <item x="557"/>
        <item x="1055"/>
        <item x="2230"/>
        <item x="19"/>
        <item x="1167"/>
        <item x="1627"/>
        <item x="1992"/>
        <item x="964"/>
        <item x="1421"/>
        <item x="1054"/>
        <item x="2842"/>
        <item x="917"/>
        <item x="827"/>
        <item x="2787"/>
        <item x="1378"/>
        <item x="161"/>
        <item x="695"/>
        <item x="568"/>
        <item x="2107"/>
        <item x="2335"/>
        <item x="830"/>
        <item x="1463"/>
        <item x="11"/>
        <item x="2762"/>
        <item x="190"/>
        <item x="1895"/>
        <item x="1198"/>
        <item x="1238"/>
        <item x="2826"/>
        <item x="2446"/>
        <item x="2911"/>
        <item x="1969"/>
        <item x="457"/>
        <item x="765"/>
        <item x="497"/>
        <item x="2772"/>
        <item x="2332"/>
        <item x="575"/>
        <item x="92"/>
        <item x="2745"/>
        <item x="1374"/>
        <item x="123"/>
        <item x="777"/>
        <item x="1697"/>
        <item x="1459"/>
        <item x="445"/>
        <item x="2150"/>
        <item x="313"/>
        <item x="2101"/>
        <item x="852"/>
        <item x="1451"/>
        <item x="2903"/>
        <item x="1094"/>
        <item x="2747"/>
        <item x="516"/>
        <item x="1736"/>
        <item x="2692"/>
        <item x="725"/>
        <item x="782"/>
        <item x="1414"/>
        <item x="652"/>
        <item x="2514"/>
        <item x="519"/>
        <item x="567"/>
        <item x="2300"/>
        <item x="688"/>
        <item x="1026"/>
        <item x="883"/>
        <item x="2709"/>
        <item x="200"/>
        <item x="1745"/>
        <item x="2229"/>
        <item x="1582"/>
        <item x="2244"/>
        <item x="1751"/>
        <item x="380"/>
        <item x="1071"/>
        <item x="556"/>
        <item x="236"/>
        <item x="1064"/>
        <item x="1666"/>
        <item x="2137"/>
        <item x="1556"/>
        <item x="117"/>
        <item x="2720"/>
        <item x="1135"/>
        <item x="2394"/>
        <item x="598"/>
        <item x="1687"/>
        <item x="1665"/>
        <item x="2104"/>
        <item x="1724"/>
        <item x="496"/>
        <item x="2093"/>
        <item x="1904"/>
        <item x="2277"/>
        <item x="258"/>
        <item x="854"/>
        <item x="840"/>
        <item x="2791"/>
        <item x="376"/>
        <item x="1474"/>
        <item x="2270"/>
        <item x="1577"/>
        <item x="248"/>
        <item x="2420"/>
        <item x="1480"/>
        <item x="308"/>
        <item x="1677"/>
        <item x="446"/>
        <item x="2402"/>
        <item x="1433"/>
        <item x="2196"/>
        <item x="763"/>
        <item x="1114"/>
        <item x="62"/>
        <item x="1894"/>
        <item x="1387"/>
        <item x="2419"/>
        <item x="1377"/>
        <item x="1615"/>
        <item x="1356"/>
        <item x="987"/>
        <item x="288"/>
        <item x="2596"/>
        <item x="420"/>
        <item x="1389"/>
        <item x="1636"/>
        <item x="2925"/>
        <item x="54"/>
        <item x="2435"/>
        <item x="250"/>
        <item x="1351"/>
        <item x="1560"/>
        <item x="222"/>
        <item x="597"/>
        <item x="2324"/>
        <item x="2655"/>
        <item x="2329"/>
        <item x="1101"/>
        <item x="2280"/>
        <item x="944"/>
        <item x="2875"/>
        <item x="39"/>
        <item x="1899"/>
        <item x="2740"/>
        <item x="247"/>
        <item x="1347"/>
        <item x="421"/>
        <item x="741"/>
        <item x="1145"/>
        <item x="1367"/>
        <item x="703"/>
        <item x="2735"/>
        <item x="230"/>
        <item x="1428"/>
        <item x="1638"/>
        <item x="1995"/>
        <item x="1406"/>
        <item x="562"/>
        <item x="2902"/>
        <item x="2646"/>
        <item x="2671"/>
        <item x="1472"/>
        <item x="1262"/>
        <item x="2360"/>
        <item x="2493"/>
        <item x="1785"/>
        <item x="1985"/>
        <item x="2171"/>
        <item x="2608"/>
        <item x="2100"/>
        <item x="45"/>
        <item x="1476"/>
        <item x="81"/>
        <item x="2451"/>
        <item x="1661"/>
        <item x="193"/>
        <item x="300"/>
        <item x="2415"/>
        <item x="1076"/>
        <item x="2146"/>
        <item x="607"/>
        <item x="696"/>
        <item x="1593"/>
        <item x="2468"/>
        <item x="171"/>
        <item x="1680"/>
        <item x="2459"/>
        <item x="881"/>
        <item x="2928"/>
        <item x="1283"/>
        <item x="103"/>
        <item x="1492"/>
        <item x="2626"/>
        <item x="285"/>
        <item x="1771"/>
        <item x="1117"/>
        <item x="1838"/>
        <item x="1256"/>
        <item x="2649"/>
        <item x="1296"/>
        <item x="2079"/>
        <item x="21"/>
        <item x="268"/>
        <item x="1401"/>
        <item x="1292"/>
        <item x="1716"/>
        <item x="518"/>
        <item x="2870"/>
        <item x="1244"/>
        <item x="1391"/>
        <item x="431"/>
        <item x="941"/>
        <item x="1941"/>
        <item x="133"/>
        <item x="1264"/>
        <item x="1388"/>
        <item x="385"/>
        <item x="1573"/>
        <item x="1542"/>
        <item x="1196"/>
        <item x="140"/>
        <item x="774"/>
        <item x="1873"/>
        <item x="146"/>
        <item x="2889"/>
        <item x="874"/>
        <item x="2727"/>
        <item x="650"/>
        <item x="1355"/>
        <item x="737"/>
        <item x="588"/>
        <item x="2033"/>
        <item x="1017"/>
        <item x="2135"/>
        <item x="2065"/>
        <item x="1907"/>
        <item x="1935"/>
        <item x="2638"/>
        <item x="2562"/>
        <item x="142"/>
        <item x="426"/>
        <item x="980"/>
        <item x="244"/>
        <item x="1882"/>
        <item x="521"/>
        <item x="1620"/>
        <item x="2698"/>
        <item x="2212"/>
        <item x="296"/>
        <item x="1258"/>
        <item x="2790"/>
        <item x="2915"/>
        <item x="100"/>
        <item x="2893"/>
        <item x="671"/>
        <item x="1800"/>
        <item x="1841"/>
        <item x="1506"/>
        <item x="2326"/>
        <item x="806"/>
        <item x="860"/>
        <item x="1721"/>
        <item x="211"/>
        <item x="282"/>
        <item x="1077"/>
        <item x="2464"/>
        <item x="2563"/>
        <item x="50"/>
        <item x="143"/>
        <item x="1529"/>
        <item x="2526"/>
        <item x="2134"/>
        <item x="1317"/>
        <item x="264"/>
        <item x="239"/>
        <item x="1312"/>
        <item x="616"/>
        <item x="1508"/>
        <item x="1596"/>
        <item x="2595"/>
        <item x="2062"/>
        <item x="76"/>
        <item x="1972"/>
        <item x="207"/>
        <item x="2339"/>
        <item x="783"/>
        <item x="1644"/>
        <item x="1419"/>
        <item x="683"/>
        <item x="1939"/>
        <item x="2580"/>
        <item x="2358"/>
        <item x="35"/>
        <item x="1991"/>
        <item x="2225"/>
        <item x="283"/>
        <item x="2361"/>
        <item x="1999"/>
        <item x="1074"/>
        <item x="1413"/>
        <item x="805"/>
        <item x="1783"/>
        <item x="2057"/>
        <item x="2450"/>
        <item x="1501"/>
        <item x="506"/>
        <item x="1095"/>
        <item x="2811"/>
        <item x="2287"/>
        <item x="2816"/>
        <item x="2628"/>
        <item x="26"/>
        <item x="1089"/>
        <item x="757"/>
        <item x="1789"/>
        <item x="1970"/>
        <item x="1097"/>
        <item x="1143"/>
        <item x="583"/>
        <item x="2839"/>
        <item x="460"/>
        <item x="888"/>
        <item x="2822"/>
        <item x="2529"/>
        <item x="1731"/>
        <item x="149"/>
        <item x="1973"/>
        <item x="1020"/>
        <item x="362"/>
        <item x="973"/>
        <item x="2256"/>
        <item x="2219"/>
        <item x="2168"/>
        <item x="2890"/>
        <item x="517"/>
        <item x="2211"/>
        <item x="2165"/>
        <item x="166"/>
        <item x="1576"/>
        <item x="2283"/>
        <item x="1278"/>
        <item x="147"/>
        <item x="2467"/>
        <item x="1988"/>
        <item x="1956"/>
        <item x="2540"/>
        <item x="2860"/>
        <item x="2241"/>
        <item x="799"/>
        <item x="265"/>
        <item x="2759"/>
        <item x="413"/>
        <item x="2269"/>
        <item x="719"/>
        <item x="2414"/>
        <item x="40"/>
        <item x="1103"/>
        <item x="1667"/>
        <item x="1260"/>
        <item x="1185"/>
        <item x="2478"/>
        <item x="754"/>
        <item x="2113"/>
        <item x="2513"/>
        <item x="2616"/>
        <item x="1630"/>
        <item x="1795"/>
        <item x="2619"/>
        <item x="916"/>
        <item x="417"/>
        <item x="661"/>
        <item x="735"/>
        <item x="1535"/>
        <item x="957"/>
        <item x="2495"/>
        <item x="948"/>
        <item x="174"/>
        <item x="2725"/>
        <item x="1622"/>
        <item x="983"/>
        <item x="585"/>
        <item x="2496"/>
        <item x="1366"/>
        <item x="2895"/>
        <item x="728"/>
        <item x="2037"/>
        <item x="307"/>
        <item x="1845"/>
        <item x="430"/>
        <item x="1438"/>
        <item x="2554"/>
        <item x="2416"/>
        <item x="2123"/>
        <item x="2118"/>
        <item x="2408"/>
        <item x="1165"/>
        <item x="1127"/>
        <item x="2011"/>
        <item x="1226"/>
        <item x="487"/>
        <item x="1977"/>
        <item x="1140"/>
        <item x="1814"/>
        <item x="1345"/>
        <item x="1663"/>
        <item x="1727"/>
        <item x="1657"/>
        <item x="1191"/>
        <item x="2413"/>
        <item x="1749"/>
        <item x="1826"/>
        <item x="601"/>
        <item x="2063"/>
        <item x="204"/>
        <item x="818"/>
        <item x="1093"/>
        <item x="1936"/>
        <item x="2894"/>
        <item x="2155"/>
        <item x="144"/>
        <item x="2306"/>
        <item x="2926"/>
        <item x="23"/>
        <item x="582"/>
        <item x="1308"/>
        <item x="996"/>
        <item x="1703"/>
        <item x="1288"/>
        <item x="2186"/>
        <item x="2898"/>
        <item x="1019"/>
        <item x="220"/>
        <item x="104"/>
        <item x="1229"/>
        <item x="2048"/>
        <item x="2207"/>
        <item x="1640"/>
        <item x="2574"/>
        <item x="2231"/>
        <item x="1951"/>
        <item x="2557"/>
        <item x="216"/>
        <item x="493"/>
        <item x="1079"/>
        <item x="2314"/>
        <item x="141"/>
        <item x="584"/>
        <item x="1273"/>
        <item x="1940"/>
        <item x="1049"/>
        <item x="1322"/>
        <item x="1774"/>
        <item x="1363"/>
        <item x="2553"/>
        <item x="1530"/>
        <item x="1922"/>
        <item x="2769"/>
        <item x="2579"/>
        <item x="2109"/>
        <item x="2624"/>
        <item x="1641"/>
        <item x="2852"/>
        <item x="1301"/>
        <item x="2924"/>
        <item x="43"/>
        <item x="759"/>
        <item x="842"/>
        <item x="2830"/>
        <item x="605"/>
        <item x="894"/>
        <item x="2858"/>
        <item x="970"/>
        <item x="2658"/>
        <item x="2351"/>
        <item x="705"/>
        <item x="624"/>
        <item x="2183"/>
        <item x="337"/>
        <item x="510"/>
        <item x="1862"/>
        <item x="1455"/>
        <item x="2345"/>
        <item x="495"/>
        <item x="2678"/>
        <item x="2403"/>
        <item x="1460"/>
        <item x="1158"/>
        <item x="915"/>
        <item x="1791"/>
        <item x="89"/>
        <item x="2081"/>
        <item x="2448"/>
        <item x="1946"/>
        <item x="2694"/>
        <item x="402"/>
        <item x="490"/>
        <item x="2809"/>
        <item x="1397"/>
        <item x="2215"/>
        <item x="366"/>
        <item x="75"/>
        <item x="937"/>
        <item x="2216"/>
        <item x="1494"/>
        <item x="1997"/>
        <item x="1761"/>
        <item x="122"/>
        <item x="1323"/>
        <item x="14"/>
        <item x="2578"/>
        <item x="241"/>
        <item x="1039"/>
        <item x="797"/>
        <item x="863"/>
        <item x="536"/>
        <item x="334"/>
        <item x="2823"/>
        <item x="1762"/>
        <item x="2463"/>
        <item x="2474"/>
        <item x="2199"/>
        <item x="465"/>
        <item x="1557"/>
        <item x="2157"/>
        <item x="1746"/>
        <item x="2872"/>
        <item x="579"/>
        <item x="499"/>
        <item x="1126"/>
        <item x="1232"/>
        <item x="1320"/>
        <item x="280"/>
        <item x="1102"/>
        <item x="1544"/>
        <item x="2788"/>
        <item x="4"/>
        <item x="1898"/>
        <item x="2258"/>
        <item x="1563"/>
        <item x="2679"/>
        <item x="1082"/>
        <item x="1220"/>
        <item x="645"/>
        <item x="1403"/>
        <item x="2112"/>
        <item x="372"/>
        <item x="1340"/>
        <item x="188"/>
        <item x="1464"/>
        <item x="2293"/>
        <item x="2281"/>
        <item x="1280"/>
        <item x="1134"/>
        <item x="1984"/>
        <item x="10"/>
        <item x="2525"/>
        <item x="2615"/>
        <item x="2863"/>
        <item x="730"/>
        <item x="185"/>
        <item x="423"/>
        <item x="1361"/>
        <item x="2627"/>
        <item x="2060"/>
        <item x="781"/>
        <item x="902"/>
        <item x="1676"/>
        <item x="2388"/>
        <item x="335"/>
        <item x="116"/>
        <item x="756"/>
        <item x="2227"/>
        <item x="1303"/>
        <item x="1656"/>
        <item x="625"/>
        <item x="22"/>
        <item x="773"/>
        <item x="355"/>
        <item x="2654"/>
        <item x="2238"/>
        <item x="956"/>
        <item x="1646"/>
        <item x="662"/>
        <item x="2056"/>
        <item x="1850"/>
        <item x="2681"/>
        <item x="1311"/>
        <item x="1949"/>
        <item x="2570"/>
        <item x="2718"/>
        <item x="1164"/>
        <item x="615"/>
        <item x="1927"/>
        <item x="1965"/>
        <item x="86"/>
        <item x="2668"/>
        <item x="1958"/>
        <item x="655"/>
        <item x="1884"/>
        <item x="2714"/>
        <item x="302"/>
        <item x="2084"/>
        <item x="478"/>
        <item x="1149"/>
        <item x="2320"/>
        <item x="327"/>
        <item x="2307"/>
        <item x="591"/>
        <item x="1307"/>
        <item x="1868"/>
        <item x="105"/>
        <item x="1087"/>
        <item x="2914"/>
        <item x="1979"/>
        <item x="2794"/>
        <item x="565"/>
        <item x="1633"/>
        <item x="2758"/>
        <item x="434"/>
        <item x="124"/>
        <item x="1892"/>
        <item x="1539"/>
        <item x="1006"/>
        <item x="345"/>
        <item x="2883"/>
        <item x="1552"/>
        <item x="660"/>
        <item x="2153"/>
        <item x="2167"/>
        <item x="1780"/>
        <item x="1489"/>
        <item x="469"/>
        <item x="1383"/>
        <item x="1048"/>
        <item x="1454"/>
        <item x="1493"/>
        <item x="1330"/>
        <item x="2786"/>
        <item x="504"/>
        <item x="553"/>
        <item x="749"/>
        <item x="1172"/>
        <item x="2206"/>
        <item x="1034"/>
        <item x="1993"/>
        <item x="844"/>
        <item x="2417"/>
        <item x="1013"/>
        <item x="1155"/>
        <item x="1147"/>
        <item x="1291"/>
        <item x="2385"/>
        <item x="740"/>
        <item x="112"/>
        <item x="1897"/>
        <item x="2568"/>
        <item x="0"/>
        <item x="303"/>
        <item x="826"/>
        <item x="2550"/>
        <item x="1431"/>
        <item x="1192"/>
        <item x="2501"/>
        <item x="1199"/>
        <item x="2400"/>
        <item x="1614"/>
        <item x="1178"/>
        <item x="1813"/>
        <item x="1466"/>
        <item x="2904"/>
        <item x="1212"/>
        <item x="1066"/>
        <item x="2343"/>
        <item x="60"/>
        <item x="1208"/>
        <item x="2614"/>
        <item x="2288"/>
        <item x="1012"/>
        <item x="1777"/>
        <item x="1337"/>
        <item x="634"/>
        <item x="2517"/>
        <item x="2825"/>
        <item x="1325"/>
        <item x="2775"/>
        <item x="1555"/>
        <item x="2208"/>
        <item x="2064"/>
        <item x="2605"/>
        <item x="1314"/>
        <item x="2029"/>
        <item x="486"/>
        <item x="93"/>
        <item x="1222"/>
        <item x="444"/>
        <item x="2312"/>
        <item x="936"/>
        <item x="1521"/>
        <item x="1843"/>
        <item x="2871"/>
        <item x="1888"/>
        <item x="2909"/>
        <item x="2558"/>
        <item x="669"/>
        <item x="2874"/>
        <item x="769"/>
        <item x="1497"/>
        <item x="2218"/>
        <item x="726"/>
        <item x="2585"/>
        <item x="1639"/>
        <item x="383"/>
        <item x="78"/>
        <item x="492"/>
        <item x="2617"/>
        <item x="1820"/>
        <item x="162"/>
        <item x="1931"/>
        <item x="1467"/>
        <item x="1597"/>
        <item x="1353"/>
        <item x="1989"/>
        <item x="197"/>
        <item x="1964"/>
        <item x="2027"/>
        <item x="1247"/>
        <item x="433"/>
        <item x="2765"/>
        <item x="1000"/>
        <item x="1214"/>
        <item x="1763"/>
        <item x="1612"/>
        <item x="576"/>
        <item x="1671"/>
        <item x="215"/>
        <item x="2392"/>
        <item x="1249"/>
        <item x="208"/>
        <item x="1902"/>
        <item x="999"/>
        <item x="2847"/>
        <item x="2840"/>
        <item x="2040"/>
        <item x="2154"/>
        <item x="2163"/>
        <item x="1750"/>
        <item x="107"/>
        <item x="1429"/>
        <item x="37"/>
        <item x="1659"/>
        <item x="1021"/>
        <item x="2598"/>
        <item x="379"/>
        <item x="1832"/>
        <item x="1372"/>
        <item x="1932"/>
        <item x="2706"/>
        <item x="2804"/>
        <item x="2592"/>
        <item x="1842"/>
        <item x="412"/>
        <item x="249"/>
        <item x="2556"/>
        <item x="670"/>
        <item x="2166"/>
        <item x="977"/>
        <item x="1029"/>
        <item x="1675"/>
        <item x="2194"/>
        <item x="2298"/>
        <item x="1554"/>
        <item x="2634"/>
        <item x="301"/>
        <item x="1531"/>
        <item x="1741"/>
        <item x="2322"/>
        <item x="550"/>
        <item x="2132"/>
        <item x="833"/>
        <item x="1224"/>
        <item x="2456"/>
        <item x="229"/>
        <item x="1207"/>
        <item x="1829"/>
        <item x="1710"/>
        <item x="1240"/>
        <item x="561"/>
        <item x="1773"/>
        <item x="456"/>
        <item x="1594"/>
        <item x="1030"/>
        <item x="267"/>
        <item x="2623"/>
        <item x="401"/>
        <item x="599"/>
        <item x="111"/>
        <item x="1866"/>
        <item x="1416"/>
        <item x="2504"/>
        <item x="2352"/>
        <item x="2252"/>
        <item x="566"/>
        <item x="2344"/>
        <item x="1705"/>
        <item x="1913"/>
        <item x="1846"/>
        <item x="1874"/>
        <item x="2651"/>
        <item x="2481"/>
        <item x="2503"/>
        <item x="2422"/>
        <item x="403"/>
        <item x="2399"/>
        <item x="2039"/>
        <item x="2509"/>
        <item x="969"/>
        <item x="1908"/>
        <item x="1683"/>
        <item x="1963"/>
        <item x="1241"/>
        <item x="1912"/>
        <item x="252"/>
        <item x="1799"/>
        <item x="1546"/>
        <item x="97"/>
        <item x="1504"/>
        <item x="1010"/>
        <item x="1113"/>
        <item x="530"/>
        <item x="1271"/>
        <item x="920"/>
        <item x="1033"/>
        <item x="357"/>
        <item x="2046"/>
        <item x="911"/>
        <item x="2175"/>
        <item x="864"/>
        <item x="1470"/>
        <item x="2090"/>
        <item x="1909"/>
        <item x="2707"/>
        <item x="1617"/>
        <item x="570"/>
        <item x="84"/>
        <item x="639"/>
        <item x="928"/>
        <item x="1998"/>
        <item x="2222"/>
        <item x="2075"/>
        <item x="406"/>
        <item x="1380"/>
        <item x="942"/>
        <item x="1263"/>
        <item x="813"/>
        <item x="397"/>
        <item x="2187"/>
        <item x="287"/>
        <item x="687"/>
        <item x="2767"/>
        <item x="2633"/>
        <item x="2498"/>
        <item x="951"/>
        <item x="1420"/>
        <item x="1672"/>
        <item x="429"/>
        <item x="269"/>
        <item x="2275"/>
        <item x="1725"/>
        <item x="1760"/>
        <item x="1803"/>
        <item x="2405"/>
        <item x="64"/>
        <item x="106"/>
        <item x="2741"/>
        <item x="1976"/>
        <item x="150"/>
        <item x="139"/>
        <item x="1181"/>
        <item x="196"/>
        <item x="563"/>
        <item x="9"/>
        <item x="1408"/>
        <item x="856"/>
        <item x="2299"/>
        <item x="1645"/>
        <item x="56"/>
        <item x="1860"/>
        <item x="1524"/>
        <item x="542"/>
        <item x="1282"/>
        <item x="926"/>
        <item x="2817"/>
        <item x="46"/>
        <item x="1569"/>
        <item x="538"/>
        <item x="53"/>
        <item x="99"/>
        <item x="16"/>
        <item x="2907"/>
        <item x="1674"/>
        <item x="2094"/>
        <item x="2751"/>
        <item x="1067"/>
        <item x="2192"/>
        <item x="2828"/>
        <item x="1295"/>
        <item x="1189"/>
        <item x="963"/>
        <item x="1960"/>
        <item x="733"/>
        <item x="44"/>
        <item x="2612"/>
        <item x="2670"/>
        <item x="2016"/>
        <item x="841"/>
        <item x="2453"/>
        <item x="1900"/>
        <item x="1848"/>
        <item x="90"/>
        <item x="2237"/>
        <item x="2539"/>
        <item x="2083"/>
        <item x="975"/>
        <item x="2906"/>
        <item x="1818"/>
        <item x="2559"/>
        <item x="2327"/>
        <item x="1651"/>
        <item x="524"/>
        <item x="1098"/>
        <item x="2795"/>
        <item x="900"/>
        <item x="1437"/>
        <item x="461"/>
        <item x="27"/>
        <item x="192"/>
        <item x="2857"/>
        <item x="2704"/>
        <item x="672"/>
        <item x="1042"/>
        <item x="1712"/>
        <item x="1183"/>
        <item x="804"/>
        <item x="1009"/>
        <item x="2095"/>
        <item x="1319"/>
        <item x="2246"/>
        <item x="390"/>
        <item x="135"/>
        <item x="608"/>
        <item x="2815"/>
        <item x="2066"/>
        <item x="554"/>
        <item x="2523"/>
        <item x="2138"/>
        <item x="2052"/>
        <item x="1190"/>
        <item x="1889"/>
        <item x="2129"/>
        <item x="113"/>
        <item x="960"/>
        <item x="178"/>
        <item x="718"/>
        <item x="2919"/>
        <item x="290"/>
        <item x="2835"/>
        <item x="1458"/>
        <item x="180"/>
        <item x="1274"/>
        <item x="2566"/>
        <item x="2778"/>
        <item x="981"/>
        <item x="997"/>
        <item x="2452"/>
        <item x="2929"/>
        <item x="838"/>
        <item x="1123"/>
        <item x="1715"/>
        <item x="1658"/>
        <item x="2127"/>
        <item x="1857"/>
        <item x="2719"/>
        <item x="2508"/>
        <item x="439"/>
        <item x="2505"/>
        <item x="1819"/>
        <item x="484"/>
        <item x="438"/>
        <item x="131"/>
        <item x="1921"/>
        <item x="1702"/>
        <item x="1266"/>
        <item x="1759"/>
        <item x="1028"/>
        <item x="1469"/>
        <item x="1756"/>
        <item x="195"/>
        <item x="2519"/>
        <item x="2346"/>
        <item x="984"/>
        <item x="1022"/>
        <item x="24"/>
        <item x="678"/>
        <item x="278"/>
        <item x="1689"/>
        <item x="182"/>
        <item x="1830"/>
        <item x="128"/>
        <item x="1349"/>
        <item x="2311"/>
        <item x="646"/>
        <item x="1468"/>
        <item x="742"/>
        <item x="289"/>
        <item x="2302"/>
        <item x="903"/>
        <item x="2756"/>
        <item x="2885"/>
        <item x="98"/>
        <item x="835"/>
        <item x="1681"/>
        <item x="266"/>
        <item x="170"/>
        <item x="68"/>
        <item x="1315"/>
        <item x="706"/>
        <item x="2292"/>
        <item x="752"/>
        <item x="2331"/>
        <item x="1631"/>
        <item x="2602"/>
        <item x="700"/>
        <item x="2156"/>
        <item x="1815"/>
        <item x="1015"/>
        <item x="1891"/>
        <item x="2263"/>
        <item x="1498"/>
        <item x="2067"/>
        <item x="138"/>
        <item x="1698"/>
        <item x="2879"/>
        <item x="291"/>
        <item x="298"/>
        <item x="1579"/>
        <item x="2457"/>
        <item x="2301"/>
        <item x="1346"/>
        <item x="809"/>
        <item x="2105"/>
        <item x="1327"/>
        <item x="425"/>
        <item x="522"/>
        <item x="1519"/>
        <item x="1863"/>
        <item x="2017"/>
        <item x="1851"/>
        <item x="1255"/>
        <item x="2363"/>
        <item x="581"/>
        <item x="1792"/>
        <item x="1390"/>
        <item x="2738"/>
        <item x="2038"/>
        <item x="2013"/>
        <item x="2511"/>
        <item x="361"/>
        <item x="1011"/>
        <item x="2221"/>
        <item x="2272"/>
        <item x="386"/>
        <item x="1720"/>
        <item x="794"/>
        <item x="2837"/>
        <item x="1152"/>
        <item x="321"/>
        <item x="1708"/>
        <item x="729"/>
        <item x="66"/>
        <item x="1700"/>
        <item x="685"/>
        <item x="59"/>
        <item x="707"/>
        <item x="2629"/>
        <item x="2317"/>
        <item x="2303"/>
        <item x="358"/>
        <item x="8"/>
        <item x="2648"/>
        <item x="2705"/>
        <item x="1120"/>
        <item x="233"/>
        <item x="1131"/>
        <item x="1195"/>
        <item x="693"/>
        <item x="1499"/>
        <item x="2569"/>
        <item x="2285"/>
        <item x="2309"/>
        <item x="393"/>
        <item x="1404"/>
        <item x="1592"/>
        <item x="2108"/>
        <item x="2049"/>
        <item x="2181"/>
        <item x="2708"/>
        <item x="405"/>
        <item x="1753"/>
        <item x="1642"/>
        <item x="2176"/>
        <item x="1852"/>
        <item x="2036"/>
        <item x="1302"/>
        <item x="2382"/>
        <item x="2061"/>
        <item x="1354"/>
        <item x="2201"/>
        <item x="508"/>
        <item x="2087"/>
        <item x="2665"/>
        <item x="411"/>
        <item x="666"/>
        <item x="1886"/>
        <item x="1714"/>
        <item x="2334"/>
        <item x="1003"/>
        <item x="77"/>
        <item x="866"/>
        <item x="2462"/>
        <item x="436"/>
        <item x="1129"/>
        <item x="714"/>
        <item x="2357"/>
        <item x="1200"/>
        <item x="1981"/>
        <item x="2673"/>
        <item x="1540"/>
        <item x="1962"/>
        <item x="1502"/>
        <item x="1139"/>
        <item x="501"/>
        <item x="1660"/>
        <item x="1589"/>
        <item x="974"/>
        <item x="2085"/>
        <item x="875"/>
        <item x="887"/>
        <item x="1903"/>
        <item x="2560"/>
        <item x="1604"/>
        <item x="2143"/>
        <item x="73"/>
        <item x="1839"/>
        <item x="332"/>
        <item x="2047"/>
        <item x="87"/>
        <item x="891"/>
        <item x="228"/>
        <item x="1385"/>
        <item x="1371"/>
        <item x="897"/>
        <item x="812"/>
        <item x="2423"/>
        <item x="851"/>
        <item x="736"/>
        <item x="1637"/>
        <item x="341"/>
        <item x="375"/>
        <item x="748"/>
        <item x="1849"/>
        <item x="2091"/>
        <item x="2359"/>
        <item x="820"/>
        <item x="768"/>
        <item x="470"/>
        <item x="2776"/>
        <item x="807"/>
        <item x="675"/>
        <item x="2631"/>
        <item x="2912"/>
        <item x="29"/>
        <item x="682"/>
        <item x="802"/>
        <item x="7"/>
        <item x="1572"/>
        <item x="2761"/>
        <item x="2004"/>
        <item x="1588"/>
        <item x="1696"/>
        <item x="2862"/>
        <item x="2916"/>
        <item x="2796"/>
        <item x="1684"/>
        <item x="965"/>
        <item x="382"/>
        <item x="2587"/>
        <item x="2483"/>
        <item x="2522"/>
        <item x="709"/>
        <item x="2683"/>
        <item x="2622"/>
        <item x="474"/>
        <item x="391"/>
        <item x="2687"/>
        <item x="181"/>
        <item x="2319"/>
        <item x="1357"/>
        <item x="262"/>
        <item x="908"/>
        <item x="1664"/>
        <item x="1691"/>
        <item x="476"/>
        <item x="547"/>
        <item x="2330"/>
        <item x="1339"/>
        <item x="2591"/>
        <item x="1234"/>
        <item x="310"/>
        <item x="217"/>
        <item x="2866"/>
        <item x="1673"/>
        <item x="2618"/>
        <item x="680"/>
        <item x="2812"/>
        <item x="1037"/>
        <item x="913"/>
        <item x="593"/>
        <item x="1154"/>
        <item x="2732"/>
        <item x="1166"/>
        <item x="1537"/>
        <item x="819"/>
        <item x="2472"/>
        <item x="2777"/>
        <item x="2733"/>
        <item x="2859"/>
        <item x="1966"/>
        <item x="1338"/>
        <item x="604"/>
        <item x="1138"/>
        <item x="2521"/>
        <item x="2833"/>
        <item x="879"/>
        <item x="786"/>
        <item x="2644"/>
        <item x="847"/>
        <item x="2594"/>
        <item x="1053"/>
        <item x="1541"/>
        <item x="1318"/>
        <item x="5"/>
        <item x="979"/>
        <item x="1585"/>
        <item x="2034"/>
        <item x="1678"/>
        <item x="1643"/>
        <item x="2180"/>
        <item x="1060"/>
        <item x="1336"/>
        <item x="1334"/>
        <item x="2438"/>
        <item x="338"/>
        <item x="2076"/>
        <item x="1396"/>
        <item x="388"/>
        <item x="408"/>
        <item x="2198"/>
        <item x="2774"/>
        <item x="1755"/>
        <item x="1804"/>
        <item x="459"/>
        <item x="1743"/>
        <item x="1679"/>
        <item x="462"/>
        <item x="1473"/>
        <item x="509"/>
        <item x="1930"/>
        <item x="2295"/>
        <item x="83"/>
        <item x="1216"/>
        <item x="2684"/>
        <item x="2736"/>
        <item x="746"/>
        <item x="203"/>
        <item x="2120"/>
        <item x="2139"/>
        <item x="2485"/>
        <item x="2102"/>
        <item x="1281"/>
        <item x="2838"/>
        <item x="96"/>
        <item x="1075"/>
        <item x="245"/>
        <item x="1485"/>
        <item x="2754"/>
        <item x="1110"/>
        <item x="210"/>
        <item x="491"/>
        <item x="441"/>
        <item x="1788"/>
        <item x="627"/>
        <item x="2567"/>
        <item x="720"/>
        <item x="343"/>
        <item x="55"/>
        <item x="410"/>
        <item x="1148"/>
        <item x="464"/>
        <item x="732"/>
        <item x="1625"/>
        <item x="2473"/>
        <item x="126"/>
        <item x="2784"/>
        <item x="2713"/>
        <item x="472"/>
        <item x="2642"/>
        <item x="1407"/>
        <item x="684"/>
        <item x="1532"/>
        <item x="1901"/>
        <item x="1412"/>
        <item x="2922"/>
        <item x="2310"/>
        <item x="2892"/>
        <item x="156"/>
        <item x="2771"/>
        <item x="2304"/>
        <item x="2530"/>
        <item x="1943"/>
        <item x="2242"/>
        <item x="643"/>
        <item x="1393"/>
        <item x="225"/>
        <item x="2395"/>
        <item x="2172"/>
        <item x="2542"/>
        <item x="1812"/>
        <item x="1061"/>
        <item x="2607"/>
        <item x="221"/>
        <item x="1747"/>
        <item x="2401"/>
        <item x="1767"/>
        <item x="1018"/>
        <item x="1386"/>
        <item x="1369"/>
        <item x="1381"/>
        <item x="743"/>
        <item x="2412"/>
        <item x="2593"/>
        <item x="592"/>
        <item x="1879"/>
        <item x="895"/>
        <item x="2760"/>
        <item x="1635"/>
        <item x="1277"/>
        <item x="2752"/>
        <item x="2042"/>
        <item x="1831"/>
        <item x="1024"/>
        <item x="1772"/>
        <item x="2000"/>
        <item x="2125"/>
        <item x="724"/>
        <item x="312"/>
        <item x="2232"/>
        <item x="2691"/>
        <item x="815"/>
        <item x="213"/>
        <item x="2625"/>
        <item x="218"/>
        <item x="2106"/>
        <item x="1808"/>
        <item x="422"/>
        <item x="760"/>
        <item x="2471"/>
        <item x="771"/>
        <item x="2659"/>
        <item x="679"/>
        <item x="1528"/>
        <item x="1452"/>
        <item x="2080"/>
        <item x="72"/>
        <item x="2565"/>
        <item x="651"/>
        <item x="793"/>
        <item x="20"/>
        <item x="1500"/>
        <item x="1835"/>
        <item x="2855"/>
        <item x="2213"/>
        <item x="702"/>
        <item x="2276"/>
        <item x="1309"/>
        <item x="2696"/>
        <item x="2609"/>
        <item x="418"/>
        <item x="2429"/>
        <item x="548"/>
        <item x="1045"/>
        <item x="560"/>
        <item x="2353"/>
        <item x="2236"/>
        <item x="808"/>
        <item x="1096"/>
        <item x="871"/>
        <item x="612"/>
        <item x="1276"/>
        <item x="657"/>
        <item x="1810"/>
        <item x="2396"/>
        <item x="1289"/>
        <item x="101"/>
        <item x="1230"/>
        <item x="551"/>
        <item x="2674"/>
        <item x="1844"/>
        <item x="251"/>
        <item x="1333"/>
        <item x="823"/>
        <item x="694"/>
        <item x="873"/>
        <item x="2350"/>
        <item x="2695"/>
        <item x="373"/>
        <item x="451"/>
        <item x="2470"/>
        <item x="2"/>
        <item x="1580"/>
        <item x="2119"/>
        <item x="1023"/>
        <item x="697"/>
        <item x="1496"/>
        <item x="2142"/>
        <item x="1824"/>
        <item x="764"/>
        <item x="1058"/>
        <item x="1570"/>
        <item x="862"/>
        <item x="1967"/>
        <item x="901"/>
        <item x="191"/>
        <item x="2264"/>
        <item x="2308"/>
        <item x="67"/>
        <item x="540"/>
        <item x="463"/>
        <item x="950"/>
        <item x="1341"/>
        <item x="31"/>
        <item x="2524"/>
        <item x="1527"/>
        <item x="1108"/>
        <item x="348"/>
        <item x="1910"/>
        <item x="1443"/>
        <item x="976"/>
        <item x="1598"/>
        <item x="2490"/>
        <item x="531"/>
        <item x="1699"/>
        <item x="1430"/>
        <item x="1259"/>
        <item x="2356"/>
        <item x="2152"/>
        <item x="2861"/>
        <item x="991"/>
        <item x="1513"/>
        <item x="1890"/>
        <item x="1112"/>
        <item x="271"/>
        <item x="2899"/>
        <item x="1358"/>
        <item x="12"/>
        <item x="2128"/>
        <item x="2389"/>
        <item x="452"/>
        <item x="110"/>
        <item x="424"/>
        <item x="886"/>
        <item x="1298"/>
        <item x="1051"/>
        <item x="1853"/>
        <item x="2920"/>
        <item x="360"/>
        <item x="231"/>
        <item x="2573"/>
        <item x="306"/>
        <item x="1690"/>
        <item x="2023"/>
        <item x="770"/>
        <item x="1718"/>
        <item x="2813"/>
        <item x="2001"/>
        <item x="2257"/>
        <item x="2660"/>
        <item x="1769"/>
        <item x="2905"/>
        <item x="2873"/>
        <item x="2749"/>
        <item x="2178"/>
        <item x="2321"/>
        <item x="1488"/>
        <item x="2425"/>
        <item x="2116"/>
        <item x="750"/>
        <item x="234"/>
        <item x="1693"/>
        <item x="1550"/>
        <item x="698"/>
        <item x="409"/>
        <item x="2224"/>
        <item x="2019"/>
        <item x="1937"/>
        <item x="1478"/>
        <item x="2024"/>
        <item x="635"/>
        <item x="526"/>
        <item x="647"/>
        <item x="2475"/>
        <item x="2480"/>
        <item x="1063"/>
        <item x="935"/>
        <item x="2702"/>
        <item x="2204"/>
        <item x="1566"/>
        <item x="1536"/>
        <item x="2913"/>
        <item x="57"/>
        <item x="610"/>
        <item x="982"/>
        <item x="407"/>
        <item x="1740"/>
        <item x="331"/>
        <item x="1410"/>
        <item x="2372"/>
        <item x="1735"/>
        <item x="17"/>
        <item x="1161"/>
        <item x="253"/>
        <item x="619"/>
        <item x="2541"/>
        <item x="2427"/>
        <item x="1197"/>
        <item x="2371"/>
        <item x="577"/>
        <item x="2611"/>
        <item x="2824"/>
        <item x="1052"/>
        <item x="574"/>
        <item x="1248"/>
        <item x="1104"/>
        <item x="447"/>
        <item x="2711"/>
        <item x="690"/>
        <item x="739"/>
        <item x="2546"/>
        <item x="1952"/>
        <item x="1823"/>
        <item x="1477"/>
        <item x="2636"/>
        <item x="227"/>
        <item x="1086"/>
        <item x="614"/>
        <item x="1057"/>
        <item x="2115"/>
        <item x="256"/>
        <item x="342"/>
        <item x="359"/>
        <item x="2003"/>
        <item x="617"/>
        <item x="1914"/>
        <item x="1146"/>
        <item x="2597"/>
        <item x="2620"/>
        <item x="2259"/>
        <item x="2323"/>
        <item x="1925"/>
        <item x="814"/>
        <item x="1847"/>
        <item x="573"/>
        <item x="689"/>
        <item x="1858"/>
        <item x="2656"/>
        <item x="1682"/>
        <item x="502"/>
        <item x="537"/>
        <item x="2783"/>
        <item x="2500"/>
        <item x="1035"/>
        <item x="235"/>
        <item x="641"/>
        <item x="2688"/>
        <item x="32"/>
        <item x="2746"/>
        <item x="1906"/>
        <item x="2884"/>
        <item x="1607"/>
        <item x="1787"/>
        <item x="520"/>
        <item x="2773"/>
        <item x="1558"/>
        <item x="206"/>
        <item x="1619"/>
        <item x="1603"/>
        <item x="1257"/>
        <item x="2431"/>
        <item x="94"/>
        <item x="2296"/>
        <item x="2555"/>
        <item x="2025"/>
        <item x="523"/>
        <item x="2098"/>
        <item x="2020"/>
        <item x="790"/>
        <item x="2092"/>
        <item x="1634"/>
        <item x="263"/>
        <item x="1290"/>
        <item x="1265"/>
        <item x="323"/>
        <item x="931"/>
        <item x="1821"/>
        <item x="396"/>
        <item x="2290"/>
        <item x="659"/>
        <item x="2690"/>
        <item x="1475"/>
        <item x="1394"/>
        <item x="1790"/>
        <item x="261"/>
        <item x="630"/>
        <item x="1654"/>
        <item x="2850"/>
        <item x="940"/>
        <item x="853"/>
        <item x="259"/>
        <item x="2576"/>
        <item x="2488"/>
        <item x="1881"/>
        <item x="946"/>
        <item x="1872"/>
        <item x="1806"/>
        <item x="1484"/>
        <item x="953"/>
        <item x="2923"/>
        <item x="485"/>
        <item x="1954"/>
        <item x="1491"/>
        <item x="48"/>
        <item x="1602"/>
        <item x="1124"/>
        <item x="1157"/>
        <item x="494"/>
        <item x="766"/>
        <item x="932"/>
        <item x="1465"/>
        <item x="2535"/>
        <item x="47"/>
        <item x="194"/>
        <item x="668"/>
        <item x="1144"/>
        <item x="564"/>
        <item x="800"/>
        <item x="664"/>
        <item x="1461"/>
        <item x="2210"/>
        <item x="275"/>
        <item x="1099"/>
        <item x="34"/>
        <item x="2055"/>
        <item x="1837"/>
        <item x="1487"/>
        <item x="1482"/>
        <item x="2099"/>
        <item x="1709"/>
        <item x="1905"/>
        <item x="2507"/>
        <item x="134"/>
        <item x="2677"/>
        <item x="1662"/>
        <item x="1726"/>
        <item x="1520"/>
        <item x="543"/>
        <item x="286"/>
        <item x="962"/>
        <item x="51"/>
        <item x="2647"/>
        <item x="1456"/>
        <item x="1088"/>
        <item x="943"/>
        <item x="2675"/>
        <item x="2721"/>
        <item x="586"/>
        <item x="2376"/>
        <item x="1221"/>
        <item x="821"/>
        <item x="621"/>
        <item x="471"/>
        <item x="1043"/>
        <item x="1133"/>
        <item x="2544"/>
        <item x="1605"/>
        <item x="1782"/>
        <item x="2482"/>
        <item x="2661"/>
        <item x="2663"/>
        <item x="2821"/>
        <item x="1254"/>
        <item x="1261"/>
        <item x="1704"/>
        <item x="1869"/>
        <item x="2606"/>
        <item x="2006"/>
        <item x="1621"/>
        <item x="1968"/>
        <item x="2366"/>
        <item x="2131"/>
        <item x="512"/>
        <item x="532"/>
        <item x="2111"/>
        <item x="2174"/>
        <item x="528"/>
        <item x="1629"/>
        <item x="1893"/>
        <item x="1379"/>
        <item x="2442"/>
        <item x="1047"/>
        <item x="3"/>
        <item x="2316"/>
        <item x="2239"/>
        <item x="1457"/>
        <item x="1275"/>
        <item x="1436"/>
        <item x="2424"/>
        <item x="1300"/>
        <item x="477"/>
        <item x="1184"/>
        <item x="1918"/>
        <item x="1507"/>
        <item x="2260"/>
        <item x="995"/>
        <item x="2278"/>
        <item x="1728"/>
        <item x="1299"/>
        <item x="2757"/>
        <item x="479"/>
        <item x="1306"/>
        <item x="353"/>
        <item x="1078"/>
        <item x="2581"/>
        <item x="183"/>
        <item x="744"/>
        <item x="780"/>
        <item x="349"/>
        <item x="1875"/>
        <item x="187"/>
        <item x="1797"/>
        <item x="1162"/>
        <item x="2228"/>
        <item x="1694"/>
        <item x="273"/>
        <item x="1409"/>
        <item x="127"/>
        <item x="2466"/>
        <item x="801"/>
        <item x="858"/>
        <item x="2489"/>
        <item x="223"/>
        <item x="1794"/>
        <item x="1649"/>
        <item x="255"/>
        <item x="2664"/>
        <item x="1170"/>
        <item x="276"/>
        <item x="795"/>
        <item x="272"/>
        <item x="2846"/>
        <item x="1770"/>
        <item x="132"/>
        <item x="237"/>
        <item x="1364"/>
        <item x="889"/>
        <item x="2682"/>
        <item x="2849"/>
        <item x="1737"/>
        <item x="404"/>
        <item x="525"/>
        <item x="1036"/>
        <item x="2054"/>
        <item x="2145"/>
        <item x="2494"/>
        <item x="1545"/>
        <item x="699"/>
        <item x="33"/>
        <item x="1534"/>
        <item x="2527"/>
        <item x="1987"/>
        <item x="868"/>
        <item x="384"/>
        <item x="817"/>
        <item x="2613"/>
        <item x="1583"/>
        <item x="137"/>
        <item x="1313"/>
        <item x="1392"/>
        <item x="2770"/>
        <item x="1182"/>
        <item x="546"/>
        <item x="1395"/>
        <item x="846"/>
        <item x="2722"/>
        <item x="374"/>
        <item x="2639"/>
        <item x="778"/>
        <item x="2177"/>
        <item x="1176"/>
        <item x="677"/>
        <item x="1027"/>
        <item x="2640"/>
        <item x="2443"/>
        <item x="1926"/>
        <item t="default"/>
      </items>
    </pivotField>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pivotField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axis="axisRow" showAll="0">
      <items count="15">
        <item x="0"/>
        <item x="1"/>
        <item x="2"/>
        <item x="3"/>
        <item x="4"/>
        <item x="5"/>
        <item x="6"/>
        <item x="7"/>
        <item x="8"/>
        <item x="9"/>
        <item x="10"/>
        <item x="11"/>
        <item x="12"/>
        <item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Count of Patient_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70EAB7-0262-4D1E-97E7-B7DECB2125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3:G6" firstHeaderRow="1" firstDataRow="1" firstDataCol="1"/>
  <pivotFields count="15">
    <pivotField dataField="1" showAll="0"/>
    <pivotField showAll="0"/>
    <pivotField showAll="0">
      <items count="8">
        <item x="0"/>
        <item x="1"/>
        <item x="2"/>
        <item x="3"/>
        <item x="4"/>
        <item x="5"/>
        <item x="6"/>
        <item t="default"/>
      </items>
    </pivotField>
    <pivotField axis="axisRow" showAll="0">
      <items count="3">
        <item x="1"/>
        <item x="0"/>
        <item t="default"/>
      </items>
    </pivotField>
    <pivotField showAll="0">
      <items count="8">
        <item x="5"/>
        <item x="1"/>
        <item x="6"/>
        <item x="4"/>
        <item x="3"/>
        <item x="2"/>
        <item x="0"/>
        <item t="default"/>
      </items>
    </pivotField>
    <pivotField showAll="0"/>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pivotField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Patient_ID" fld="0" subtotal="count" baseField="0" baseItem="0"/>
  </dataFields>
  <chartFormats count="6">
    <chartFormat chart="17"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3" count="1" selected="0">
            <x v="0"/>
          </reference>
        </references>
      </pivotArea>
    </chartFormat>
    <chartFormat chart="20" format="6">
      <pivotArea type="data" outline="0" fieldPosition="0">
        <references count="2">
          <reference field="4294967294" count="1" selected="0">
            <x v="0"/>
          </reference>
          <reference field="3" count="1" selected="0">
            <x v="1"/>
          </reference>
        </references>
      </pivotArea>
    </chartFormat>
    <chartFormat chart="17" format="1">
      <pivotArea type="data" outline="0" fieldPosition="0">
        <references count="2">
          <reference field="4294967294" count="1" selected="0">
            <x v="0"/>
          </reference>
          <reference field="3" count="1" selected="0">
            <x v="0"/>
          </reference>
        </references>
      </pivotArea>
    </chartFormat>
    <chartFormat chart="17"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C2BEE6-0611-4B73-9D3D-3C03899393E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3:K26" firstHeaderRow="1" firstDataRow="1" firstDataCol="1"/>
  <pivotFields count="15">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8">
        <item x="0"/>
        <item x="1"/>
        <item x="2"/>
        <item x="3"/>
        <item x="4"/>
        <item x="5"/>
        <item x="6"/>
        <item t="default"/>
      </items>
    </pivotField>
    <pivotField showAll="0">
      <items count="3">
        <item x="1"/>
        <item x="0"/>
        <item t="default"/>
      </items>
    </pivotField>
    <pivotField showAll="0">
      <items count="8">
        <item x="5"/>
        <item x="1"/>
        <item x="6"/>
        <item x="4"/>
        <item x="3"/>
        <item x="2"/>
        <item x="0"/>
        <item t="default"/>
      </items>
    </pivotField>
    <pivotField showAll="0">
      <items count="2931">
        <item x="1083"/>
        <item x="152"/>
        <item x="28"/>
        <item x="1002"/>
        <item x="2652"/>
        <item x="939"/>
        <item x="2286"/>
        <item x="442"/>
        <item x="339"/>
        <item x="713"/>
        <item x="292"/>
        <item x="368"/>
        <item x="387"/>
        <item x="1442"/>
        <item x="2836"/>
        <item x="136"/>
        <item x="676"/>
        <item x="2407"/>
        <item x="453"/>
        <item x="1978"/>
        <item x="822"/>
        <item x="1031"/>
        <item x="2179"/>
        <item x="633"/>
        <item x="2486"/>
        <item x="892"/>
        <item x="511"/>
        <item x="1561"/>
        <item x="2818"/>
        <item x="2782"/>
        <item x="367"/>
        <item x="322"/>
        <item x="305"/>
        <item x="209"/>
        <item x="398"/>
        <item x="1187"/>
        <item x="2021"/>
        <item x="2755"/>
        <item x="1982"/>
        <item x="2766"/>
        <item x="2370"/>
        <item x="1758"/>
        <item x="1581"/>
        <item x="727"/>
        <item x="549"/>
        <item x="158"/>
        <item x="1062"/>
        <item x="1471"/>
        <item x="1270"/>
        <item x="2841"/>
        <item x="1717"/>
        <item x="2667"/>
        <item x="2657"/>
        <item x="1125"/>
        <item x="2159"/>
        <item x="968"/>
        <item x="2810"/>
        <item x="2737"/>
        <item x="2549"/>
        <item x="2404"/>
        <item x="1130"/>
        <item x="333"/>
        <item x="1626"/>
        <item x="927"/>
        <item x="947"/>
        <item x="1486"/>
        <item x="2918"/>
        <item x="855"/>
        <item x="857"/>
        <item x="1514"/>
        <item x="1778"/>
        <item x="2868"/>
        <item x="199"/>
        <item x="351"/>
        <item x="2002"/>
        <item x="488"/>
        <item x="1624"/>
        <item x="328"/>
        <item x="1343"/>
        <item x="515"/>
        <item x="2072"/>
        <item x="1250"/>
        <item x="1928"/>
        <item x="890"/>
        <item x="2834"/>
        <item x="622"/>
        <item x="2381"/>
        <item x="2492"/>
        <item x="845"/>
        <item x="2645"/>
        <item x="2734"/>
        <item x="2545"/>
        <item x="2074"/>
        <item x="347"/>
        <item x="2200"/>
        <item x="2355"/>
        <item x="377"/>
        <item x="2078"/>
        <item x="1188"/>
        <item x="1809"/>
        <item x="2418"/>
        <item x="1370"/>
        <item x="38"/>
        <item x="2780"/>
        <item x="1980"/>
        <item x="2534"/>
        <item x="1180"/>
        <item x="1286"/>
        <item x="2313"/>
        <item x="1786"/>
        <item x="1623"/>
        <item x="2797"/>
        <item x="2268"/>
        <item x="922"/>
        <item x="270"/>
        <item x="952"/>
        <item x="1115"/>
        <item x="30"/>
        <item x="177"/>
        <item x="2599"/>
        <item x="829"/>
        <item x="848"/>
        <item x="2173"/>
        <item x="2584"/>
        <item x="2185"/>
        <item x="1775"/>
        <item x="1648"/>
        <item x="2305"/>
        <item x="2271"/>
        <item x="88"/>
        <item x="205"/>
        <item x="755"/>
        <item x="184"/>
        <item x="475"/>
        <item x="2126"/>
        <item x="1590"/>
        <item x="2030"/>
        <item x="2151"/>
        <item x="1375"/>
        <item x="246"/>
        <item x="1223"/>
        <item x="753"/>
        <item x="2247"/>
        <item x="898"/>
        <item x="1916"/>
        <item x="2117"/>
        <item x="1168"/>
        <item x="1081"/>
        <item x="1411"/>
        <item x="1574"/>
        <item x="1109"/>
        <item x="2251"/>
        <item x="148"/>
        <item x="340"/>
        <item x="2641"/>
        <item x="226"/>
        <item x="129"/>
        <item x="157"/>
        <item x="1137"/>
        <item x="558"/>
        <item x="2768"/>
        <item x="831"/>
        <item x="1738"/>
        <item x="61"/>
        <item x="1957"/>
        <item x="1511"/>
        <item x="108"/>
        <item x="2009"/>
        <item x="274"/>
        <item x="164"/>
        <item x="295"/>
        <item x="1798"/>
        <item x="1887"/>
        <item x="930"/>
        <item x="1439"/>
        <item x="2191"/>
        <item x="1479"/>
        <item x="1175"/>
        <item x="1551"/>
        <item x="2921"/>
        <item x="1877"/>
        <item x="41"/>
        <item x="1032"/>
        <item x="400"/>
        <item x="2461"/>
        <item x="2621"/>
        <item x="2369"/>
        <item x="1368"/>
        <item x="2340"/>
        <item x="1432"/>
        <item x="2409"/>
        <item x="2548"/>
        <item x="784"/>
        <item x="1236"/>
        <item x="151"/>
        <item x="1562"/>
        <item x="544"/>
        <item x="738"/>
        <item x="489"/>
        <item x="1816"/>
        <item x="2223"/>
        <item x="2582"/>
        <item x="2378"/>
        <item x="870"/>
        <item x="2881"/>
        <item x="2197"/>
        <item x="998"/>
        <item x="578"/>
        <item x="1885"/>
        <item x="189"/>
        <item x="1719"/>
        <item x="2012"/>
        <item x="2014"/>
        <item x="155"/>
        <item x="1793"/>
        <item x="356"/>
        <item x="2604"/>
        <item x="1510"/>
        <item x="1084"/>
        <item x="1344"/>
        <item x="1575"/>
        <item x="145"/>
        <item x="2848"/>
        <item x="2387"/>
        <item x="1599"/>
        <item x="1203"/>
        <item x="1505"/>
        <item x="1016"/>
        <item x="2886"/>
        <item x="2820"/>
        <item x="1360"/>
        <item x="2220"/>
        <item x="1321"/>
        <item x="297"/>
        <item x="85"/>
        <item x="354"/>
        <item x="2390"/>
        <item x="1304"/>
        <item x="320"/>
        <item x="311"/>
        <item x="2045"/>
        <item x="2158"/>
        <item x="1151"/>
        <item x="1441"/>
        <item x="2005"/>
        <item x="2432"/>
        <item x="1559"/>
        <item x="500"/>
        <item x="884"/>
        <item x="2347"/>
        <item x="843"/>
        <item x="2410"/>
        <item x="458"/>
        <item x="1014"/>
        <item x="2328"/>
        <item x="2077"/>
        <item x="1194"/>
        <item x="186"/>
        <item x="1174"/>
        <item x="2008"/>
        <item x="2603"/>
        <item x="716"/>
        <item x="1711"/>
        <item x="603"/>
        <item x="1352"/>
        <item x="1267"/>
        <item x="656"/>
        <item x="1776"/>
        <item x="2666"/>
        <item x="2348"/>
        <item x="1754"/>
        <item x="1765"/>
        <item x="1427"/>
        <item x="667"/>
        <item x="636"/>
        <item x="1447"/>
        <item x="663"/>
        <item x="2441"/>
        <item x="2445"/>
        <item x="966"/>
        <item x="1331"/>
        <item x="1632"/>
        <item x="2284"/>
        <item x="2454"/>
        <item x="1142"/>
        <item x="810"/>
        <item x="1"/>
        <item x="637"/>
        <item x="2484"/>
        <item x="1734"/>
        <item x="1335"/>
        <item x="878"/>
        <item x="602"/>
        <item x="2700"/>
        <item x="1450"/>
        <item x="2497"/>
        <item x="1316"/>
        <item x="899"/>
        <item x="1305"/>
        <item x="609"/>
        <item x="2170"/>
        <item x="2583"/>
        <item x="1509"/>
        <item x="1073"/>
        <item x="1444"/>
        <item x="595"/>
        <item x="1525"/>
        <item x="1533"/>
        <item x="559"/>
        <item x="849"/>
        <item x="654"/>
        <item x="395"/>
        <item x="2716"/>
        <item x="792"/>
        <item x="1440"/>
        <item x="1106"/>
        <item x="2226"/>
        <item x="776"/>
        <item x="1373"/>
        <item x="2209"/>
        <item x="2349"/>
        <item x="2026"/>
        <item x="2022"/>
        <item x="638"/>
        <item x="535"/>
        <item x="240"/>
        <item x="2162"/>
        <item x="2274"/>
        <item x="115"/>
        <item x="167"/>
        <item x="2059"/>
        <item x="414"/>
        <item x="503"/>
        <item x="2590"/>
        <item x="2869"/>
        <item x="2827"/>
        <item x="2571"/>
        <item x="1225"/>
        <item x="2908"/>
        <item x="2217"/>
        <item x="1215"/>
        <item x="2018"/>
        <item x="1038"/>
        <item x="767"/>
        <item x="201"/>
        <item x="877"/>
        <item x="2144"/>
        <item x="1802"/>
        <item x="284"/>
        <item x="1948"/>
        <item x="642"/>
        <item x="758"/>
        <item x="1600"/>
        <item x="859"/>
        <item x="1628"/>
        <item x="232"/>
        <item x="2689"/>
        <item x="2779"/>
        <item x="785"/>
        <item x="1490"/>
        <item x="2807"/>
        <item x="449"/>
        <item x="1739"/>
        <item x="2856"/>
        <item x="2798"/>
        <item x="1332"/>
        <item x="2669"/>
        <item x="1950"/>
        <item x="876"/>
        <item x="2294"/>
        <item x="2799"/>
        <item x="1503"/>
        <item x="1268"/>
        <item x="198"/>
        <item x="1548"/>
        <item x="2449"/>
        <item x="580"/>
        <item x="2203"/>
        <item x="309"/>
        <item x="880"/>
        <item x="118"/>
        <item x="2900"/>
        <item x="2793"/>
        <item x="329"/>
        <item x="2122"/>
        <item x="839"/>
        <item x="1836"/>
        <item x="721"/>
        <item x="2384"/>
        <item x="1876"/>
        <item x="1219"/>
        <item x="2586"/>
        <item x="761"/>
        <item x="1752"/>
        <item x="330"/>
        <item x="435"/>
        <item x="318"/>
        <item x="1417"/>
        <item x="2589"/>
        <item x="787"/>
        <item x="552"/>
        <item x="481"/>
        <item x="1953"/>
        <item x="49"/>
        <item x="2476"/>
        <item x="1974"/>
        <item x="715"/>
        <item x="921"/>
        <item x="1515"/>
        <item x="1861"/>
        <item x="1272"/>
        <item x="934"/>
        <item x="1587"/>
        <item x="2148"/>
        <item x="2506"/>
        <item x="2364"/>
        <item x="2250"/>
        <item x="2843"/>
        <item x="1218"/>
        <item x="2428"/>
        <item x="125"/>
        <item x="2377"/>
        <item x="1543"/>
        <item x="1606"/>
        <item x="2764"/>
        <item x="2844"/>
        <item x="2632"/>
        <item x="1713"/>
        <item x="2715"/>
        <item x="336"/>
        <item x="2851"/>
        <item x="317"/>
        <item x="938"/>
        <item x="1204"/>
        <item x="2015"/>
        <item x="1938"/>
        <item x="1005"/>
        <item x="2188"/>
        <item x="513"/>
        <item x="534"/>
        <item x="1669"/>
        <item x="1426"/>
        <item x="1179"/>
        <item x="2380"/>
        <item x="389"/>
        <item x="1827"/>
        <item x="120"/>
        <item x="2600"/>
        <item x="1685"/>
        <item x="2289"/>
        <item x="1156"/>
        <item x="1934"/>
        <item x="154"/>
        <item x="2070"/>
        <item x="1118"/>
        <item x="1986"/>
        <item x="2531"/>
        <item x="1119"/>
        <item x="2853"/>
        <item x="1994"/>
        <item x="2499"/>
        <item x="629"/>
        <item x="2891"/>
        <item x="1402"/>
        <item x="36"/>
        <item x="419"/>
        <item x="1243"/>
        <item x="2753"/>
        <item x="1781"/>
        <item x="2832"/>
        <item x="869"/>
        <item x="2354"/>
        <item x="824"/>
        <item x="648"/>
        <item x="130"/>
        <item x="1007"/>
        <item x="955"/>
        <item x="2184"/>
        <item x="454"/>
        <item x="2149"/>
        <item x="160"/>
        <item x="74"/>
        <item x="912"/>
        <item x="2031"/>
        <item x="2124"/>
        <item x="69"/>
        <item x="1228"/>
        <item x="2333"/>
        <item x="168"/>
        <item x="2917"/>
        <item x="1854"/>
        <item x="1730"/>
        <item x="2662"/>
        <item x="2653"/>
        <item x="2169"/>
        <item x="1578"/>
        <item x="42"/>
        <item x="2502"/>
        <item x="834"/>
        <item x="2880"/>
        <item x="1297"/>
        <item x="370"/>
        <item x="2282"/>
        <item x="1365"/>
        <item x="2572"/>
        <item x="2291"/>
        <item x="2073"/>
        <item x="2701"/>
        <item x="772"/>
        <item x="1616"/>
        <item x="6"/>
        <item x="1202"/>
        <item x="1310"/>
        <item x="1001"/>
        <item x="803"/>
        <item x="1990"/>
        <item x="2262"/>
        <item x="2297"/>
        <item x="1688"/>
        <item x="2699"/>
        <item x="1865"/>
        <item x="1611"/>
        <item x="2202"/>
        <item x="2437"/>
        <item x="734"/>
        <item x="1495"/>
        <item x="791"/>
        <item x="1128"/>
        <item x="545"/>
        <item x="2136"/>
        <item x="2189"/>
        <item x="2043"/>
        <item x="1235"/>
        <item x="1025"/>
        <item x="541"/>
        <item x="933"/>
        <item x="945"/>
        <item x="1961"/>
        <item x="1090"/>
        <item x="243"/>
        <item x="437"/>
        <item x="2205"/>
        <item x="2161"/>
        <item x="2088"/>
        <item x="2487"/>
        <item x="1757"/>
        <item x="2133"/>
        <item x="1538"/>
        <item x="2182"/>
        <item x="1729"/>
        <item x="1764"/>
        <item x="555"/>
        <item x="71"/>
        <item x="242"/>
        <item x="468"/>
        <item x="415"/>
        <item x="1050"/>
        <item x="631"/>
        <item x="2103"/>
        <item x="907"/>
        <item x="711"/>
        <item x="1595"/>
        <item x="2680"/>
        <item x="2781"/>
        <item x="2717"/>
        <item x="658"/>
        <item x="2430"/>
        <item x="527"/>
        <item x="1983"/>
        <item x="2337"/>
        <item x="2712"/>
        <item x="1285"/>
        <item x="2805"/>
        <item x="1919"/>
        <item x="751"/>
        <item x="2373"/>
        <item x="2686"/>
        <item x="1692"/>
        <item x="1398"/>
        <item x="589"/>
        <item x="2195"/>
        <item x="681"/>
        <item x="369"/>
        <item x="13"/>
        <item x="2041"/>
        <item x="1811"/>
        <item x="281"/>
        <item x="2190"/>
        <item x="466"/>
        <item x="918"/>
        <item x="1359"/>
        <item x="455"/>
        <item x="378"/>
        <item x="2789"/>
        <item x="2411"/>
        <item x="1173"/>
        <item x="214"/>
        <item x="440"/>
        <item x="989"/>
        <item x="58"/>
        <item x="18"/>
        <item x="2901"/>
        <item x="1435"/>
        <item x="432"/>
        <item x="628"/>
        <item x="2927"/>
        <item x="1462"/>
        <item x="2564"/>
        <item x="1153"/>
        <item x="1609"/>
        <item x="2630"/>
        <item x="2458"/>
        <item x="1828"/>
        <item x="325"/>
        <item x="1565"/>
        <item x="745"/>
        <item x="2710"/>
        <item x="2068"/>
        <item x="2243"/>
        <item x="1564"/>
        <item x="1100"/>
        <item x="836"/>
        <item x="1210"/>
        <item x="1136"/>
        <item x="1805"/>
        <item x="473"/>
        <item x="674"/>
        <item x="2338"/>
        <item x="2672"/>
        <item x="971"/>
        <item x="1092"/>
        <item x="2279"/>
        <item x="2341"/>
        <item x="65"/>
        <item x="254"/>
        <item x="365"/>
        <item x="1324"/>
        <item x="482"/>
        <item x="2536"/>
        <item x="1287"/>
        <item x="173"/>
        <item x="293"/>
        <item x="2032"/>
        <item x="1801"/>
        <item x="2069"/>
        <item x="2193"/>
        <item x="2391"/>
        <item x="1650"/>
        <item x="1242"/>
        <item x="2520"/>
        <item x="1209"/>
        <item x="789"/>
        <item x="1448"/>
        <item x="1246"/>
        <item x="2785"/>
        <item x="394"/>
        <item x="427"/>
        <item x="1211"/>
        <item x="2887"/>
        <item x="1923"/>
        <item x="1091"/>
        <item x="2398"/>
        <item x="2325"/>
        <item x="2515"/>
        <item x="762"/>
        <item x="529"/>
        <item x="2028"/>
        <item x="25"/>
        <item x="2465"/>
        <item x="1618"/>
        <item x="572"/>
        <item x="613"/>
        <item x="1481"/>
        <item x="2426"/>
        <item x="2575"/>
        <item x="416"/>
        <item x="1041"/>
        <item x="1883"/>
        <item x="723"/>
        <item x="448"/>
        <item x="994"/>
        <item x="909"/>
        <item x="1896"/>
        <item x="2130"/>
        <item x="2071"/>
        <item x="1251"/>
        <item x="1483"/>
        <item x="319"/>
        <item x="1518"/>
        <item x="2164"/>
        <item x="1825"/>
        <item x="1399"/>
        <item x="15"/>
        <item x="114"/>
        <item x="2245"/>
        <item x="80"/>
        <item x="2479"/>
        <item x="1547"/>
        <item x="2808"/>
        <item x="2266"/>
        <item x="1059"/>
        <item x="2802"/>
        <item x="623"/>
        <item x="919"/>
        <item x="2383"/>
        <item x="1601"/>
        <item x="2141"/>
        <item x="2318"/>
        <item x="1418"/>
        <item x="1422"/>
        <item x="985"/>
        <item x="865"/>
        <item x="1859"/>
        <item x="2234"/>
        <item x="1911"/>
        <item x="2110"/>
        <item x="2693"/>
        <item x="649"/>
        <item x="1376"/>
        <item x="483"/>
        <item x="2650"/>
        <item x="611"/>
        <item x="2421"/>
        <item x="2882"/>
        <item x="1206"/>
        <item x="1065"/>
        <item x="163"/>
        <item x="2121"/>
        <item x="2800"/>
        <item x="2723"/>
        <item x="2877"/>
        <item x="986"/>
        <item x="316"/>
        <item x="691"/>
        <item x="169"/>
        <item x="2731"/>
        <item x="2051"/>
        <item x="1817"/>
        <item x="2538"/>
        <item x="2801"/>
        <item x="594"/>
        <item x="1610"/>
        <item x="788"/>
        <item x="825"/>
        <item x="816"/>
        <item x="1766"/>
        <item x="1933"/>
        <item x="1252"/>
        <item x="896"/>
        <item x="2763"/>
        <item x="620"/>
        <item x="590"/>
        <item x="2806"/>
        <item x="52"/>
        <item x="861"/>
        <item x="2551"/>
        <item x="2516"/>
        <item x="371"/>
        <item x="202"/>
        <item x="2643"/>
        <item x="381"/>
        <item x="571"/>
        <item x="2685"/>
        <item x="2878"/>
        <item x="1553"/>
        <item x="1245"/>
        <item x="1706"/>
        <item x="102"/>
        <item x="837"/>
        <item x="2365"/>
        <item x="731"/>
        <item x="1526"/>
        <item x="2248"/>
        <item x="914"/>
        <item x="344"/>
        <item x="1141"/>
        <item x="1653"/>
        <item x="1329"/>
        <item x="1613"/>
        <item x="1768"/>
        <item x="978"/>
        <item x="600"/>
        <item x="1670"/>
        <item x="2447"/>
        <item x="224"/>
        <item x="363"/>
        <item x="95"/>
        <item x="2273"/>
        <item x="673"/>
        <item x="1695"/>
        <item x="606"/>
        <item x="710"/>
        <item x="1326"/>
        <item x="63"/>
        <item x="1449"/>
        <item x="686"/>
        <item x="828"/>
        <item x="514"/>
        <item x="2267"/>
        <item x="1132"/>
        <item x="2588"/>
        <item x="2537"/>
        <item x="872"/>
        <item x="1955"/>
        <item x="480"/>
        <item x="1382"/>
        <item x="2510"/>
        <item x="954"/>
        <item x="2053"/>
        <item x="893"/>
        <item x="2547"/>
        <item x="539"/>
        <item x="2491"/>
        <item x="2035"/>
        <item x="2362"/>
        <item x="2140"/>
        <item x="172"/>
        <item x="1652"/>
        <item x="1959"/>
        <item x="153"/>
        <item x="1107"/>
        <item x="2896"/>
        <item x="904"/>
        <item x="1121"/>
        <item x="2829"/>
        <item x="1701"/>
        <item x="2697"/>
        <item x="2876"/>
        <item x="1822"/>
        <item x="79"/>
        <item x="1342"/>
        <item x="2561"/>
        <item x="2096"/>
        <item x="2444"/>
        <item x="1517"/>
        <item x="2792"/>
        <item x="796"/>
        <item x="988"/>
        <item x="1523"/>
        <item x="2819"/>
        <item x="1549"/>
        <item x="2255"/>
        <item x="2050"/>
        <item x="2814"/>
        <item x="798"/>
        <item x="2845"/>
        <item x="1929"/>
        <item x="346"/>
        <item x="1231"/>
        <item x="1253"/>
        <item x="2114"/>
        <item x="640"/>
        <item x="701"/>
        <item x="1105"/>
        <item x="1944"/>
        <item x="2086"/>
        <item x="238"/>
        <item x="1044"/>
        <item x="2865"/>
        <item x="315"/>
        <item x="1233"/>
        <item x="1744"/>
        <item x="569"/>
        <item x="1213"/>
        <item x="1069"/>
        <item x="992"/>
        <item x="314"/>
        <item x="1040"/>
        <item x="2726"/>
        <item x="1733"/>
        <item x="587"/>
        <item x="779"/>
        <item x="906"/>
        <item x="176"/>
        <item x="2864"/>
        <item x="91"/>
        <item x="1707"/>
        <item x="1350"/>
        <item x="1116"/>
        <item x="1807"/>
        <item x="179"/>
        <item x="1085"/>
        <item x="1833"/>
        <item x="1348"/>
        <item x="1748"/>
        <item x="1591"/>
        <item x="533"/>
        <item x="2543"/>
        <item x="1056"/>
        <item x="712"/>
        <item x="304"/>
        <item x="1655"/>
        <item x="2058"/>
        <item x="2512"/>
        <item x="260"/>
        <item x="392"/>
        <item x="1864"/>
        <item x="1284"/>
        <item x="257"/>
        <item x="2240"/>
        <item x="2397"/>
        <item x="925"/>
        <item x="1445"/>
        <item x="708"/>
        <item x="1856"/>
        <item x="350"/>
        <item x="1647"/>
        <item x="2214"/>
        <item x="1567"/>
        <item x="2610"/>
        <item x="1942"/>
        <item x="2728"/>
        <item x="2336"/>
        <item x="2097"/>
        <item x="2235"/>
        <item x="2601"/>
        <item x="1924"/>
        <item x="2803"/>
        <item x="644"/>
        <item x="1584"/>
        <item x="2730"/>
        <item x="811"/>
        <item x="2160"/>
        <item x="1945"/>
        <item x="1169"/>
        <item x="1227"/>
        <item x="1400"/>
        <item x="1867"/>
        <item x="2368"/>
        <item x="294"/>
        <item x="2750"/>
        <item x="1279"/>
        <item x="1384"/>
        <item x="1072"/>
        <item x="1871"/>
        <item x="2433"/>
        <item x="1723"/>
        <item x="2436"/>
        <item x="2393"/>
        <item x="352"/>
        <item x="165"/>
        <item x="119"/>
        <item x="993"/>
        <item x="2249"/>
        <item x="2739"/>
        <item x="1722"/>
        <item x="450"/>
        <item x="1742"/>
        <item x="2552"/>
        <item x="885"/>
        <item x="1237"/>
        <item x="1732"/>
        <item x="1293"/>
        <item x="990"/>
        <item x="867"/>
        <item x="1150"/>
        <item x="959"/>
        <item x="2010"/>
        <item x="2729"/>
        <item x="1996"/>
        <item x="2888"/>
        <item x="2528"/>
        <item x="175"/>
        <item x="277"/>
        <item x="2089"/>
        <item x="1160"/>
        <item x="1920"/>
        <item x="717"/>
        <item x="2676"/>
        <item x="2147"/>
        <item x="1668"/>
        <item x="1239"/>
        <item x="958"/>
        <item x="2375"/>
        <item x="882"/>
        <item x="1068"/>
        <item x="1971"/>
        <item x="1522"/>
        <item x="109"/>
        <item x="2253"/>
        <item x="1046"/>
        <item x="1975"/>
        <item x="505"/>
        <item x="1080"/>
        <item x="1512"/>
        <item x="1834"/>
        <item x="1405"/>
        <item x="326"/>
        <item x="949"/>
        <item x="2406"/>
        <item x="1163"/>
        <item x="923"/>
        <item x="2910"/>
        <item x="299"/>
        <item x="1415"/>
        <item x="929"/>
        <item x="2254"/>
        <item x="1878"/>
        <item x="2434"/>
        <item x="2265"/>
        <item x="2439"/>
        <item x="324"/>
        <item x="428"/>
        <item x="961"/>
        <item x="467"/>
        <item x="967"/>
        <item x="2386"/>
        <item x="2897"/>
        <item x="1205"/>
        <item x="722"/>
        <item x="2379"/>
        <item x="2518"/>
        <item x="2831"/>
        <item x="850"/>
        <item x="2342"/>
        <item x="1186"/>
        <item x="399"/>
        <item x="2703"/>
        <item x="1796"/>
        <item x="2367"/>
        <item x="498"/>
        <item x="279"/>
        <item x="159"/>
        <item x="1947"/>
        <item x="692"/>
        <item x="1870"/>
        <item x="972"/>
        <item x="1608"/>
        <item x="2007"/>
        <item x="1328"/>
        <item x="443"/>
        <item x="1159"/>
        <item x="1177"/>
        <item x="1425"/>
        <item x="1201"/>
        <item x="2469"/>
        <item x="1362"/>
        <item x="1004"/>
        <item x="2867"/>
        <item x="1686"/>
        <item x="2854"/>
        <item x="1571"/>
        <item x="1880"/>
        <item x="2460"/>
        <item x="2533"/>
        <item x="364"/>
        <item x="121"/>
        <item x="1784"/>
        <item x="1434"/>
        <item x="924"/>
        <item x="219"/>
        <item x="2374"/>
        <item x="2724"/>
        <item x="1446"/>
        <item x="1779"/>
        <item x="1217"/>
        <item x="596"/>
        <item x="1568"/>
        <item x="1917"/>
        <item x="1453"/>
        <item x="2315"/>
        <item x="2233"/>
        <item x="626"/>
        <item x="832"/>
        <item x="665"/>
        <item x="618"/>
        <item x="1855"/>
        <item x="653"/>
        <item x="775"/>
        <item x="507"/>
        <item x="2742"/>
        <item x="1915"/>
        <item x="1008"/>
        <item x="2635"/>
        <item x="2455"/>
        <item x="2744"/>
        <item x="2532"/>
        <item x="2044"/>
        <item x="70"/>
        <item x="2577"/>
        <item x="82"/>
        <item x="2637"/>
        <item x="1111"/>
        <item x="2082"/>
        <item x="1269"/>
        <item x="1122"/>
        <item x="2477"/>
        <item x="704"/>
        <item x="1193"/>
        <item x="747"/>
        <item x="632"/>
        <item x="1516"/>
        <item x="1070"/>
        <item x="1294"/>
        <item x="905"/>
        <item x="2440"/>
        <item x="212"/>
        <item x="1171"/>
        <item x="910"/>
        <item x="2748"/>
        <item x="1423"/>
        <item x="2743"/>
        <item x="1586"/>
        <item x="1424"/>
        <item x="2261"/>
        <item x="1840"/>
        <item x="557"/>
        <item x="1055"/>
        <item x="2230"/>
        <item x="19"/>
        <item x="1167"/>
        <item x="1627"/>
        <item x="1992"/>
        <item x="964"/>
        <item x="1421"/>
        <item x="1054"/>
        <item x="2842"/>
        <item x="917"/>
        <item x="827"/>
        <item x="2787"/>
        <item x="1378"/>
        <item x="161"/>
        <item x="695"/>
        <item x="568"/>
        <item x="2107"/>
        <item x="2335"/>
        <item x="830"/>
        <item x="1463"/>
        <item x="11"/>
        <item x="2762"/>
        <item x="190"/>
        <item x="1895"/>
        <item x="1198"/>
        <item x="1238"/>
        <item x="2826"/>
        <item x="2446"/>
        <item x="2911"/>
        <item x="1969"/>
        <item x="457"/>
        <item x="765"/>
        <item x="497"/>
        <item x="2772"/>
        <item x="2332"/>
        <item x="575"/>
        <item x="92"/>
        <item x="2745"/>
        <item x="1374"/>
        <item x="123"/>
        <item x="777"/>
        <item x="1697"/>
        <item x="1459"/>
        <item x="445"/>
        <item x="2150"/>
        <item x="313"/>
        <item x="2101"/>
        <item x="852"/>
        <item x="1451"/>
        <item x="2903"/>
        <item x="1094"/>
        <item x="2747"/>
        <item x="516"/>
        <item x="1736"/>
        <item x="2692"/>
        <item x="725"/>
        <item x="782"/>
        <item x="1414"/>
        <item x="652"/>
        <item x="2514"/>
        <item x="519"/>
        <item x="567"/>
        <item x="2300"/>
        <item x="688"/>
        <item x="1026"/>
        <item x="883"/>
        <item x="2709"/>
        <item x="200"/>
        <item x="1745"/>
        <item x="2229"/>
        <item x="1582"/>
        <item x="2244"/>
        <item x="1751"/>
        <item x="380"/>
        <item x="1071"/>
        <item x="556"/>
        <item x="236"/>
        <item x="1064"/>
        <item x="1666"/>
        <item x="2137"/>
        <item x="1556"/>
        <item x="117"/>
        <item x="2720"/>
        <item x="1135"/>
        <item x="2394"/>
        <item x="598"/>
        <item x="1687"/>
        <item x="1665"/>
        <item x="2104"/>
        <item x="1724"/>
        <item x="496"/>
        <item x="2093"/>
        <item x="1904"/>
        <item x="2277"/>
        <item x="258"/>
        <item x="854"/>
        <item x="840"/>
        <item x="2791"/>
        <item x="376"/>
        <item x="1474"/>
        <item x="2270"/>
        <item x="1577"/>
        <item x="248"/>
        <item x="2420"/>
        <item x="1480"/>
        <item x="308"/>
        <item x="1677"/>
        <item x="446"/>
        <item x="2402"/>
        <item x="1433"/>
        <item x="2196"/>
        <item x="763"/>
        <item x="1114"/>
        <item x="62"/>
        <item x="1894"/>
        <item x="1387"/>
        <item x="2419"/>
        <item x="1377"/>
        <item x="1615"/>
        <item x="1356"/>
        <item x="987"/>
        <item x="288"/>
        <item x="2596"/>
        <item x="420"/>
        <item x="1389"/>
        <item x="1636"/>
        <item x="2925"/>
        <item x="54"/>
        <item x="2435"/>
        <item x="250"/>
        <item x="1351"/>
        <item x="1560"/>
        <item x="222"/>
        <item x="597"/>
        <item x="2324"/>
        <item x="2655"/>
        <item x="2329"/>
        <item x="1101"/>
        <item x="2280"/>
        <item x="944"/>
        <item x="2875"/>
        <item x="39"/>
        <item x="1899"/>
        <item x="2740"/>
        <item x="247"/>
        <item x="1347"/>
        <item x="421"/>
        <item x="741"/>
        <item x="1145"/>
        <item x="1367"/>
        <item x="703"/>
        <item x="2735"/>
        <item x="230"/>
        <item x="1428"/>
        <item x="1638"/>
        <item x="1995"/>
        <item x="1406"/>
        <item x="562"/>
        <item x="2902"/>
        <item x="2646"/>
        <item x="2671"/>
        <item x="1472"/>
        <item x="1262"/>
        <item x="2360"/>
        <item x="2493"/>
        <item x="1785"/>
        <item x="1985"/>
        <item x="2171"/>
        <item x="2608"/>
        <item x="2100"/>
        <item x="45"/>
        <item x="1476"/>
        <item x="81"/>
        <item x="2451"/>
        <item x="1661"/>
        <item x="193"/>
        <item x="300"/>
        <item x="2415"/>
        <item x="1076"/>
        <item x="2146"/>
        <item x="607"/>
        <item x="696"/>
        <item x="1593"/>
        <item x="2468"/>
        <item x="171"/>
        <item x="1680"/>
        <item x="2459"/>
        <item x="881"/>
        <item x="2928"/>
        <item x="1283"/>
        <item x="103"/>
        <item x="1492"/>
        <item x="2626"/>
        <item x="285"/>
        <item x="1771"/>
        <item x="1117"/>
        <item x="1838"/>
        <item x="1256"/>
        <item x="2649"/>
        <item x="1296"/>
        <item x="2079"/>
        <item x="21"/>
        <item x="268"/>
        <item x="1401"/>
        <item x="1292"/>
        <item x="1716"/>
        <item x="518"/>
        <item x="2870"/>
        <item x="1244"/>
        <item x="1391"/>
        <item x="431"/>
        <item x="941"/>
        <item x="1941"/>
        <item x="133"/>
        <item x="1264"/>
        <item x="1388"/>
        <item x="385"/>
        <item x="1573"/>
        <item x="1542"/>
        <item x="1196"/>
        <item x="140"/>
        <item x="774"/>
        <item x="1873"/>
        <item x="146"/>
        <item x="2889"/>
        <item x="874"/>
        <item x="2727"/>
        <item x="650"/>
        <item x="1355"/>
        <item x="737"/>
        <item x="588"/>
        <item x="2033"/>
        <item x="1017"/>
        <item x="2135"/>
        <item x="2065"/>
        <item x="1907"/>
        <item x="1935"/>
        <item x="2638"/>
        <item x="2562"/>
        <item x="142"/>
        <item x="426"/>
        <item x="980"/>
        <item x="244"/>
        <item x="1882"/>
        <item x="521"/>
        <item x="1620"/>
        <item x="2698"/>
        <item x="2212"/>
        <item x="296"/>
        <item x="1258"/>
        <item x="2790"/>
        <item x="2915"/>
        <item x="100"/>
        <item x="2893"/>
        <item x="671"/>
        <item x="1800"/>
        <item x="1841"/>
        <item x="1506"/>
        <item x="2326"/>
        <item x="806"/>
        <item x="860"/>
        <item x="1721"/>
        <item x="211"/>
        <item x="282"/>
        <item x="1077"/>
        <item x="2464"/>
        <item x="2563"/>
        <item x="50"/>
        <item x="143"/>
        <item x="1529"/>
        <item x="2526"/>
        <item x="2134"/>
        <item x="1317"/>
        <item x="264"/>
        <item x="239"/>
        <item x="1312"/>
        <item x="616"/>
        <item x="1508"/>
        <item x="1596"/>
        <item x="2595"/>
        <item x="2062"/>
        <item x="76"/>
        <item x="1972"/>
        <item x="207"/>
        <item x="2339"/>
        <item x="783"/>
        <item x="1644"/>
        <item x="1419"/>
        <item x="683"/>
        <item x="1939"/>
        <item x="2580"/>
        <item x="2358"/>
        <item x="35"/>
        <item x="1991"/>
        <item x="2225"/>
        <item x="283"/>
        <item x="2361"/>
        <item x="1999"/>
        <item x="1074"/>
        <item x="1413"/>
        <item x="805"/>
        <item x="1783"/>
        <item x="2057"/>
        <item x="2450"/>
        <item x="1501"/>
        <item x="506"/>
        <item x="1095"/>
        <item x="2811"/>
        <item x="2287"/>
        <item x="2816"/>
        <item x="2628"/>
        <item x="26"/>
        <item x="1089"/>
        <item x="757"/>
        <item x="1789"/>
        <item x="1970"/>
        <item x="1097"/>
        <item x="1143"/>
        <item x="583"/>
        <item x="2839"/>
        <item x="460"/>
        <item x="888"/>
        <item x="2822"/>
        <item x="2529"/>
        <item x="1731"/>
        <item x="149"/>
        <item x="1973"/>
        <item x="1020"/>
        <item x="362"/>
        <item x="973"/>
        <item x="2256"/>
        <item x="2219"/>
        <item x="2168"/>
        <item x="2890"/>
        <item x="517"/>
        <item x="2211"/>
        <item x="2165"/>
        <item x="166"/>
        <item x="1576"/>
        <item x="2283"/>
        <item x="1278"/>
        <item x="147"/>
        <item x="2467"/>
        <item x="1988"/>
        <item x="1956"/>
        <item x="2540"/>
        <item x="2860"/>
        <item x="2241"/>
        <item x="799"/>
        <item x="265"/>
        <item x="2759"/>
        <item x="413"/>
        <item x="2269"/>
        <item x="719"/>
        <item x="2414"/>
        <item x="40"/>
        <item x="1103"/>
        <item x="1667"/>
        <item x="1260"/>
        <item x="1185"/>
        <item x="2478"/>
        <item x="754"/>
        <item x="2113"/>
        <item x="2513"/>
        <item x="2616"/>
        <item x="1630"/>
        <item x="1795"/>
        <item x="2619"/>
        <item x="916"/>
        <item x="417"/>
        <item x="661"/>
        <item x="735"/>
        <item x="1535"/>
        <item x="957"/>
        <item x="2495"/>
        <item x="948"/>
        <item x="174"/>
        <item x="2725"/>
        <item x="1622"/>
        <item x="983"/>
        <item x="585"/>
        <item x="2496"/>
        <item x="1366"/>
        <item x="2895"/>
        <item x="728"/>
        <item x="2037"/>
        <item x="307"/>
        <item x="1845"/>
        <item x="430"/>
        <item x="1438"/>
        <item x="2554"/>
        <item x="2416"/>
        <item x="2123"/>
        <item x="2118"/>
        <item x="2408"/>
        <item x="1165"/>
        <item x="1127"/>
        <item x="2011"/>
        <item x="1226"/>
        <item x="487"/>
        <item x="1977"/>
        <item x="1140"/>
        <item x="1814"/>
        <item x="1345"/>
        <item x="1663"/>
        <item x="1727"/>
        <item x="1657"/>
        <item x="1191"/>
        <item x="2413"/>
        <item x="1749"/>
        <item x="1826"/>
        <item x="601"/>
        <item x="2063"/>
        <item x="204"/>
        <item x="818"/>
        <item x="1093"/>
        <item x="1936"/>
        <item x="2894"/>
        <item x="2155"/>
        <item x="144"/>
        <item x="2306"/>
        <item x="2926"/>
        <item x="23"/>
        <item x="582"/>
        <item x="1308"/>
        <item x="996"/>
        <item x="1703"/>
        <item x="1288"/>
        <item x="2186"/>
        <item x="2898"/>
        <item x="1019"/>
        <item x="220"/>
        <item x="104"/>
        <item x="1229"/>
        <item x="2048"/>
        <item x="2207"/>
        <item x="1640"/>
        <item x="2574"/>
        <item x="2231"/>
        <item x="1951"/>
        <item x="2557"/>
        <item x="216"/>
        <item x="493"/>
        <item x="1079"/>
        <item x="2314"/>
        <item x="141"/>
        <item x="584"/>
        <item x="1273"/>
        <item x="1940"/>
        <item x="1049"/>
        <item x="1322"/>
        <item x="1774"/>
        <item x="1363"/>
        <item x="2553"/>
        <item x="1530"/>
        <item x="1922"/>
        <item x="2769"/>
        <item x="2579"/>
        <item x="2109"/>
        <item x="2624"/>
        <item x="1641"/>
        <item x="2852"/>
        <item x="1301"/>
        <item x="2924"/>
        <item x="43"/>
        <item x="759"/>
        <item x="842"/>
        <item x="2830"/>
        <item x="605"/>
        <item x="894"/>
        <item x="2858"/>
        <item x="970"/>
        <item x="2658"/>
        <item x="2351"/>
        <item x="705"/>
        <item x="624"/>
        <item x="2183"/>
        <item x="337"/>
        <item x="510"/>
        <item x="1862"/>
        <item x="1455"/>
        <item x="2345"/>
        <item x="495"/>
        <item x="2678"/>
        <item x="2403"/>
        <item x="1460"/>
        <item x="1158"/>
        <item x="915"/>
        <item x="1791"/>
        <item x="89"/>
        <item x="2081"/>
        <item x="2448"/>
        <item x="1946"/>
        <item x="2694"/>
        <item x="402"/>
        <item x="490"/>
        <item x="2809"/>
        <item x="1397"/>
        <item x="2215"/>
        <item x="366"/>
        <item x="75"/>
        <item x="937"/>
        <item x="2216"/>
        <item x="1494"/>
        <item x="1997"/>
        <item x="1761"/>
        <item x="122"/>
        <item x="1323"/>
        <item x="14"/>
        <item x="2578"/>
        <item x="241"/>
        <item x="1039"/>
        <item x="797"/>
        <item x="863"/>
        <item x="536"/>
        <item x="334"/>
        <item x="2823"/>
        <item x="1762"/>
        <item x="2463"/>
        <item x="2474"/>
        <item x="2199"/>
        <item x="465"/>
        <item x="1557"/>
        <item x="2157"/>
        <item x="1746"/>
        <item x="2872"/>
        <item x="579"/>
        <item x="499"/>
        <item x="1126"/>
        <item x="1232"/>
        <item x="1320"/>
        <item x="280"/>
        <item x="1102"/>
        <item x="1544"/>
        <item x="2788"/>
        <item x="4"/>
        <item x="1898"/>
        <item x="2258"/>
        <item x="1563"/>
        <item x="2679"/>
        <item x="1082"/>
        <item x="1220"/>
        <item x="645"/>
        <item x="1403"/>
        <item x="2112"/>
        <item x="372"/>
        <item x="1340"/>
        <item x="188"/>
        <item x="1464"/>
        <item x="2293"/>
        <item x="2281"/>
        <item x="1280"/>
        <item x="1134"/>
        <item x="1984"/>
        <item x="10"/>
        <item x="2525"/>
        <item x="2615"/>
        <item x="2863"/>
        <item x="730"/>
        <item x="185"/>
        <item x="423"/>
        <item x="1361"/>
        <item x="2627"/>
        <item x="2060"/>
        <item x="781"/>
        <item x="902"/>
        <item x="1676"/>
        <item x="2388"/>
        <item x="335"/>
        <item x="116"/>
        <item x="756"/>
        <item x="2227"/>
        <item x="1303"/>
        <item x="1656"/>
        <item x="625"/>
        <item x="22"/>
        <item x="773"/>
        <item x="355"/>
        <item x="2654"/>
        <item x="2238"/>
        <item x="956"/>
        <item x="1646"/>
        <item x="662"/>
        <item x="2056"/>
        <item x="1850"/>
        <item x="2681"/>
        <item x="1311"/>
        <item x="1949"/>
        <item x="2570"/>
        <item x="2718"/>
        <item x="1164"/>
        <item x="615"/>
        <item x="1927"/>
        <item x="1965"/>
        <item x="86"/>
        <item x="2668"/>
        <item x="1958"/>
        <item x="655"/>
        <item x="1884"/>
        <item x="2714"/>
        <item x="302"/>
        <item x="2084"/>
        <item x="478"/>
        <item x="1149"/>
        <item x="2320"/>
        <item x="327"/>
        <item x="2307"/>
        <item x="591"/>
        <item x="1307"/>
        <item x="1868"/>
        <item x="105"/>
        <item x="1087"/>
        <item x="2914"/>
        <item x="1979"/>
        <item x="2794"/>
        <item x="565"/>
        <item x="1633"/>
        <item x="2758"/>
        <item x="434"/>
        <item x="124"/>
        <item x="1892"/>
        <item x="1539"/>
        <item x="1006"/>
        <item x="345"/>
        <item x="2883"/>
        <item x="1552"/>
        <item x="660"/>
        <item x="2153"/>
        <item x="2167"/>
        <item x="1780"/>
        <item x="1489"/>
        <item x="469"/>
        <item x="1383"/>
        <item x="1048"/>
        <item x="1454"/>
        <item x="1493"/>
        <item x="1330"/>
        <item x="2786"/>
        <item x="504"/>
        <item x="553"/>
        <item x="749"/>
        <item x="1172"/>
        <item x="2206"/>
        <item x="1034"/>
        <item x="1993"/>
        <item x="844"/>
        <item x="2417"/>
        <item x="1013"/>
        <item x="1155"/>
        <item x="1147"/>
        <item x="1291"/>
        <item x="2385"/>
        <item x="740"/>
        <item x="112"/>
        <item x="1897"/>
        <item x="2568"/>
        <item x="0"/>
        <item x="303"/>
        <item x="826"/>
        <item x="2550"/>
        <item x="1431"/>
        <item x="1192"/>
        <item x="2501"/>
        <item x="1199"/>
        <item x="2400"/>
        <item x="1614"/>
        <item x="1178"/>
        <item x="1813"/>
        <item x="1466"/>
        <item x="2904"/>
        <item x="1212"/>
        <item x="1066"/>
        <item x="2343"/>
        <item x="60"/>
        <item x="1208"/>
        <item x="2614"/>
        <item x="2288"/>
        <item x="1012"/>
        <item x="1777"/>
        <item x="1337"/>
        <item x="634"/>
        <item x="2517"/>
        <item x="2825"/>
        <item x="1325"/>
        <item x="2775"/>
        <item x="1555"/>
        <item x="2208"/>
        <item x="2064"/>
        <item x="2605"/>
        <item x="1314"/>
        <item x="2029"/>
        <item x="486"/>
        <item x="93"/>
        <item x="1222"/>
        <item x="444"/>
        <item x="2312"/>
        <item x="936"/>
        <item x="1521"/>
        <item x="1843"/>
        <item x="2871"/>
        <item x="1888"/>
        <item x="2909"/>
        <item x="2558"/>
        <item x="669"/>
        <item x="2874"/>
        <item x="769"/>
        <item x="1497"/>
        <item x="2218"/>
        <item x="726"/>
        <item x="2585"/>
        <item x="1639"/>
        <item x="383"/>
        <item x="78"/>
        <item x="492"/>
        <item x="2617"/>
        <item x="1820"/>
        <item x="162"/>
        <item x="1931"/>
        <item x="1467"/>
        <item x="1597"/>
        <item x="1353"/>
        <item x="1989"/>
        <item x="197"/>
        <item x="1964"/>
        <item x="2027"/>
        <item x="1247"/>
        <item x="433"/>
        <item x="2765"/>
        <item x="1000"/>
        <item x="1214"/>
        <item x="1763"/>
        <item x="1612"/>
        <item x="576"/>
        <item x="1671"/>
        <item x="215"/>
        <item x="2392"/>
        <item x="1249"/>
        <item x="208"/>
        <item x="1902"/>
        <item x="999"/>
        <item x="2847"/>
        <item x="2840"/>
        <item x="2040"/>
        <item x="2154"/>
        <item x="2163"/>
        <item x="1750"/>
        <item x="107"/>
        <item x="1429"/>
        <item x="37"/>
        <item x="1659"/>
        <item x="1021"/>
        <item x="2598"/>
        <item x="379"/>
        <item x="1832"/>
        <item x="1372"/>
        <item x="1932"/>
        <item x="2706"/>
        <item x="2804"/>
        <item x="2592"/>
        <item x="1842"/>
        <item x="412"/>
        <item x="249"/>
        <item x="2556"/>
        <item x="670"/>
        <item x="2166"/>
        <item x="977"/>
        <item x="1029"/>
        <item x="1675"/>
        <item x="2194"/>
        <item x="2298"/>
        <item x="1554"/>
        <item x="2634"/>
        <item x="301"/>
        <item x="1531"/>
        <item x="1741"/>
        <item x="2322"/>
        <item x="550"/>
        <item x="2132"/>
        <item x="833"/>
        <item x="1224"/>
        <item x="2456"/>
        <item x="229"/>
        <item x="1207"/>
        <item x="1829"/>
        <item x="1710"/>
        <item x="1240"/>
        <item x="561"/>
        <item x="1773"/>
        <item x="456"/>
        <item x="1594"/>
        <item x="1030"/>
        <item x="267"/>
        <item x="2623"/>
        <item x="401"/>
        <item x="599"/>
        <item x="111"/>
        <item x="1866"/>
        <item x="1416"/>
        <item x="2504"/>
        <item x="2352"/>
        <item x="2252"/>
        <item x="566"/>
        <item x="2344"/>
        <item x="1705"/>
        <item x="1913"/>
        <item x="1846"/>
        <item x="1874"/>
        <item x="2651"/>
        <item x="2481"/>
        <item x="2503"/>
        <item x="2422"/>
        <item x="403"/>
        <item x="2399"/>
        <item x="2039"/>
        <item x="2509"/>
        <item x="969"/>
        <item x="1908"/>
        <item x="1683"/>
        <item x="1963"/>
        <item x="1241"/>
        <item x="1912"/>
        <item x="252"/>
        <item x="1799"/>
        <item x="1546"/>
        <item x="97"/>
        <item x="1504"/>
        <item x="1010"/>
        <item x="1113"/>
        <item x="530"/>
        <item x="1271"/>
        <item x="920"/>
        <item x="1033"/>
        <item x="357"/>
        <item x="2046"/>
        <item x="911"/>
        <item x="2175"/>
        <item x="864"/>
        <item x="1470"/>
        <item x="2090"/>
        <item x="1909"/>
        <item x="2707"/>
        <item x="1617"/>
        <item x="570"/>
        <item x="84"/>
        <item x="639"/>
        <item x="928"/>
        <item x="1998"/>
        <item x="2222"/>
        <item x="2075"/>
        <item x="406"/>
        <item x="1380"/>
        <item x="942"/>
        <item x="1263"/>
        <item x="813"/>
        <item x="397"/>
        <item x="2187"/>
        <item x="287"/>
        <item x="687"/>
        <item x="2767"/>
        <item x="2633"/>
        <item x="2498"/>
        <item x="951"/>
        <item x="1420"/>
        <item x="1672"/>
        <item x="429"/>
        <item x="269"/>
        <item x="2275"/>
        <item x="1725"/>
        <item x="1760"/>
        <item x="1803"/>
        <item x="2405"/>
        <item x="64"/>
        <item x="106"/>
        <item x="2741"/>
        <item x="1976"/>
        <item x="150"/>
        <item x="139"/>
        <item x="1181"/>
        <item x="196"/>
        <item x="563"/>
        <item x="9"/>
        <item x="1408"/>
        <item x="856"/>
        <item x="2299"/>
        <item x="1645"/>
        <item x="56"/>
        <item x="1860"/>
        <item x="1524"/>
        <item x="542"/>
        <item x="1282"/>
        <item x="926"/>
        <item x="2817"/>
        <item x="46"/>
        <item x="1569"/>
        <item x="538"/>
        <item x="53"/>
        <item x="99"/>
        <item x="16"/>
        <item x="2907"/>
        <item x="1674"/>
        <item x="2094"/>
        <item x="2751"/>
        <item x="1067"/>
        <item x="2192"/>
        <item x="2828"/>
        <item x="1295"/>
        <item x="1189"/>
        <item x="963"/>
        <item x="1960"/>
        <item x="733"/>
        <item x="44"/>
        <item x="2612"/>
        <item x="2670"/>
        <item x="2016"/>
        <item x="841"/>
        <item x="2453"/>
        <item x="1900"/>
        <item x="1848"/>
        <item x="90"/>
        <item x="2237"/>
        <item x="2539"/>
        <item x="2083"/>
        <item x="975"/>
        <item x="2906"/>
        <item x="1818"/>
        <item x="2559"/>
        <item x="2327"/>
        <item x="1651"/>
        <item x="524"/>
        <item x="1098"/>
        <item x="2795"/>
        <item x="900"/>
        <item x="1437"/>
        <item x="461"/>
        <item x="27"/>
        <item x="192"/>
        <item x="2857"/>
        <item x="2704"/>
        <item x="672"/>
        <item x="1042"/>
        <item x="1712"/>
        <item x="1183"/>
        <item x="804"/>
        <item x="1009"/>
        <item x="2095"/>
        <item x="1319"/>
        <item x="2246"/>
        <item x="390"/>
        <item x="135"/>
        <item x="608"/>
        <item x="2815"/>
        <item x="2066"/>
        <item x="554"/>
        <item x="2523"/>
        <item x="2138"/>
        <item x="2052"/>
        <item x="1190"/>
        <item x="1889"/>
        <item x="2129"/>
        <item x="113"/>
        <item x="960"/>
        <item x="178"/>
        <item x="718"/>
        <item x="2919"/>
        <item x="290"/>
        <item x="2835"/>
        <item x="1458"/>
        <item x="180"/>
        <item x="1274"/>
        <item x="2566"/>
        <item x="2778"/>
        <item x="981"/>
        <item x="997"/>
        <item x="2452"/>
        <item x="2929"/>
        <item x="838"/>
        <item x="1123"/>
        <item x="1715"/>
        <item x="1658"/>
        <item x="2127"/>
        <item x="1857"/>
        <item x="2719"/>
        <item x="2508"/>
        <item x="439"/>
        <item x="2505"/>
        <item x="1819"/>
        <item x="484"/>
        <item x="438"/>
        <item x="131"/>
        <item x="1921"/>
        <item x="1702"/>
        <item x="1266"/>
        <item x="1759"/>
        <item x="1028"/>
        <item x="1469"/>
        <item x="1756"/>
        <item x="195"/>
        <item x="2519"/>
        <item x="2346"/>
        <item x="984"/>
        <item x="1022"/>
        <item x="24"/>
        <item x="678"/>
        <item x="278"/>
        <item x="1689"/>
        <item x="182"/>
        <item x="1830"/>
        <item x="128"/>
        <item x="1349"/>
        <item x="2311"/>
        <item x="646"/>
        <item x="1468"/>
        <item x="742"/>
        <item x="289"/>
        <item x="2302"/>
        <item x="903"/>
        <item x="2756"/>
        <item x="2885"/>
        <item x="98"/>
        <item x="835"/>
        <item x="1681"/>
        <item x="266"/>
        <item x="170"/>
        <item x="68"/>
        <item x="1315"/>
        <item x="706"/>
        <item x="2292"/>
        <item x="752"/>
        <item x="2331"/>
        <item x="1631"/>
        <item x="2602"/>
        <item x="700"/>
        <item x="2156"/>
        <item x="1815"/>
        <item x="1015"/>
        <item x="1891"/>
        <item x="2263"/>
        <item x="1498"/>
        <item x="2067"/>
        <item x="138"/>
        <item x="1698"/>
        <item x="2879"/>
        <item x="291"/>
        <item x="298"/>
        <item x="1579"/>
        <item x="2457"/>
        <item x="2301"/>
        <item x="1346"/>
        <item x="809"/>
        <item x="2105"/>
        <item x="1327"/>
        <item x="425"/>
        <item x="522"/>
        <item x="1519"/>
        <item x="1863"/>
        <item x="2017"/>
        <item x="1851"/>
        <item x="1255"/>
        <item x="2363"/>
        <item x="581"/>
        <item x="1792"/>
        <item x="1390"/>
        <item x="2738"/>
        <item x="2038"/>
        <item x="2013"/>
        <item x="2511"/>
        <item x="361"/>
        <item x="1011"/>
        <item x="2221"/>
        <item x="2272"/>
        <item x="386"/>
        <item x="1720"/>
        <item x="794"/>
        <item x="2837"/>
        <item x="1152"/>
        <item x="321"/>
        <item x="1708"/>
        <item x="729"/>
        <item x="66"/>
        <item x="1700"/>
        <item x="685"/>
        <item x="59"/>
        <item x="707"/>
        <item x="2629"/>
        <item x="2317"/>
        <item x="2303"/>
        <item x="358"/>
        <item x="8"/>
        <item x="2648"/>
        <item x="2705"/>
        <item x="1120"/>
        <item x="233"/>
        <item x="1131"/>
        <item x="1195"/>
        <item x="693"/>
        <item x="1499"/>
        <item x="2569"/>
        <item x="2285"/>
        <item x="2309"/>
        <item x="393"/>
        <item x="1404"/>
        <item x="1592"/>
        <item x="2108"/>
        <item x="2049"/>
        <item x="2181"/>
        <item x="2708"/>
        <item x="405"/>
        <item x="1753"/>
        <item x="1642"/>
        <item x="2176"/>
        <item x="1852"/>
        <item x="2036"/>
        <item x="1302"/>
        <item x="2382"/>
        <item x="2061"/>
        <item x="1354"/>
        <item x="2201"/>
        <item x="508"/>
        <item x="2087"/>
        <item x="2665"/>
        <item x="411"/>
        <item x="666"/>
        <item x="1886"/>
        <item x="1714"/>
        <item x="2334"/>
        <item x="1003"/>
        <item x="77"/>
        <item x="866"/>
        <item x="2462"/>
        <item x="436"/>
        <item x="1129"/>
        <item x="714"/>
        <item x="2357"/>
        <item x="1200"/>
        <item x="1981"/>
        <item x="2673"/>
        <item x="1540"/>
        <item x="1962"/>
        <item x="1502"/>
        <item x="1139"/>
        <item x="501"/>
        <item x="1660"/>
        <item x="1589"/>
        <item x="974"/>
        <item x="2085"/>
        <item x="875"/>
        <item x="887"/>
        <item x="1903"/>
        <item x="2560"/>
        <item x="1604"/>
        <item x="2143"/>
        <item x="73"/>
        <item x="1839"/>
        <item x="332"/>
        <item x="2047"/>
        <item x="87"/>
        <item x="891"/>
        <item x="228"/>
        <item x="1385"/>
        <item x="1371"/>
        <item x="897"/>
        <item x="812"/>
        <item x="2423"/>
        <item x="851"/>
        <item x="736"/>
        <item x="1637"/>
        <item x="341"/>
        <item x="375"/>
        <item x="748"/>
        <item x="1849"/>
        <item x="2091"/>
        <item x="2359"/>
        <item x="820"/>
        <item x="768"/>
        <item x="470"/>
        <item x="2776"/>
        <item x="807"/>
        <item x="675"/>
        <item x="2631"/>
        <item x="2912"/>
        <item x="29"/>
        <item x="682"/>
        <item x="802"/>
        <item x="7"/>
        <item x="1572"/>
        <item x="2761"/>
        <item x="2004"/>
        <item x="1588"/>
        <item x="1696"/>
        <item x="2862"/>
        <item x="2916"/>
        <item x="2796"/>
        <item x="1684"/>
        <item x="965"/>
        <item x="382"/>
        <item x="2587"/>
        <item x="2483"/>
        <item x="2522"/>
        <item x="709"/>
        <item x="2683"/>
        <item x="2622"/>
        <item x="474"/>
        <item x="391"/>
        <item x="2687"/>
        <item x="181"/>
        <item x="2319"/>
        <item x="1357"/>
        <item x="262"/>
        <item x="908"/>
        <item x="1664"/>
        <item x="1691"/>
        <item x="476"/>
        <item x="547"/>
        <item x="2330"/>
        <item x="1339"/>
        <item x="2591"/>
        <item x="1234"/>
        <item x="310"/>
        <item x="217"/>
        <item x="2866"/>
        <item x="1673"/>
        <item x="2618"/>
        <item x="680"/>
        <item x="2812"/>
        <item x="1037"/>
        <item x="913"/>
        <item x="593"/>
        <item x="1154"/>
        <item x="2732"/>
        <item x="1166"/>
        <item x="1537"/>
        <item x="819"/>
        <item x="2472"/>
        <item x="2777"/>
        <item x="2733"/>
        <item x="2859"/>
        <item x="1966"/>
        <item x="1338"/>
        <item x="604"/>
        <item x="1138"/>
        <item x="2521"/>
        <item x="2833"/>
        <item x="879"/>
        <item x="786"/>
        <item x="2644"/>
        <item x="847"/>
        <item x="2594"/>
        <item x="1053"/>
        <item x="1541"/>
        <item x="1318"/>
        <item x="5"/>
        <item x="979"/>
        <item x="1585"/>
        <item x="2034"/>
        <item x="1678"/>
        <item x="1643"/>
        <item x="2180"/>
        <item x="1060"/>
        <item x="1336"/>
        <item x="1334"/>
        <item x="2438"/>
        <item x="338"/>
        <item x="2076"/>
        <item x="1396"/>
        <item x="388"/>
        <item x="408"/>
        <item x="2198"/>
        <item x="2774"/>
        <item x="1755"/>
        <item x="1804"/>
        <item x="459"/>
        <item x="1743"/>
        <item x="1679"/>
        <item x="462"/>
        <item x="1473"/>
        <item x="509"/>
        <item x="1930"/>
        <item x="2295"/>
        <item x="83"/>
        <item x="1216"/>
        <item x="2684"/>
        <item x="2736"/>
        <item x="746"/>
        <item x="203"/>
        <item x="2120"/>
        <item x="2139"/>
        <item x="2485"/>
        <item x="2102"/>
        <item x="1281"/>
        <item x="2838"/>
        <item x="96"/>
        <item x="1075"/>
        <item x="245"/>
        <item x="1485"/>
        <item x="2754"/>
        <item x="1110"/>
        <item x="210"/>
        <item x="491"/>
        <item x="441"/>
        <item x="1788"/>
        <item x="627"/>
        <item x="2567"/>
        <item x="720"/>
        <item x="343"/>
        <item x="55"/>
        <item x="410"/>
        <item x="1148"/>
        <item x="464"/>
        <item x="732"/>
        <item x="1625"/>
        <item x="2473"/>
        <item x="126"/>
        <item x="2784"/>
        <item x="2713"/>
        <item x="472"/>
        <item x="2642"/>
        <item x="1407"/>
        <item x="684"/>
        <item x="1532"/>
        <item x="1901"/>
        <item x="1412"/>
        <item x="2922"/>
        <item x="2310"/>
        <item x="2892"/>
        <item x="156"/>
        <item x="2771"/>
        <item x="2304"/>
        <item x="2530"/>
        <item x="1943"/>
        <item x="2242"/>
        <item x="643"/>
        <item x="1393"/>
        <item x="225"/>
        <item x="2395"/>
        <item x="2172"/>
        <item x="2542"/>
        <item x="1812"/>
        <item x="1061"/>
        <item x="2607"/>
        <item x="221"/>
        <item x="1747"/>
        <item x="2401"/>
        <item x="1767"/>
        <item x="1018"/>
        <item x="1386"/>
        <item x="1369"/>
        <item x="1381"/>
        <item x="743"/>
        <item x="2412"/>
        <item x="2593"/>
        <item x="592"/>
        <item x="1879"/>
        <item x="895"/>
        <item x="2760"/>
        <item x="1635"/>
        <item x="1277"/>
        <item x="2752"/>
        <item x="2042"/>
        <item x="1831"/>
        <item x="1024"/>
        <item x="1772"/>
        <item x="2000"/>
        <item x="2125"/>
        <item x="724"/>
        <item x="312"/>
        <item x="2232"/>
        <item x="2691"/>
        <item x="815"/>
        <item x="213"/>
        <item x="2625"/>
        <item x="218"/>
        <item x="2106"/>
        <item x="1808"/>
        <item x="422"/>
        <item x="760"/>
        <item x="2471"/>
        <item x="771"/>
        <item x="2659"/>
        <item x="679"/>
        <item x="1528"/>
        <item x="1452"/>
        <item x="2080"/>
        <item x="72"/>
        <item x="2565"/>
        <item x="651"/>
        <item x="793"/>
        <item x="20"/>
        <item x="1500"/>
        <item x="1835"/>
        <item x="2855"/>
        <item x="2213"/>
        <item x="702"/>
        <item x="2276"/>
        <item x="1309"/>
        <item x="2696"/>
        <item x="2609"/>
        <item x="418"/>
        <item x="2429"/>
        <item x="548"/>
        <item x="1045"/>
        <item x="560"/>
        <item x="2353"/>
        <item x="2236"/>
        <item x="808"/>
        <item x="1096"/>
        <item x="871"/>
        <item x="612"/>
        <item x="1276"/>
        <item x="657"/>
        <item x="1810"/>
        <item x="2396"/>
        <item x="1289"/>
        <item x="101"/>
        <item x="1230"/>
        <item x="551"/>
        <item x="2674"/>
        <item x="1844"/>
        <item x="251"/>
        <item x="1333"/>
        <item x="823"/>
        <item x="694"/>
        <item x="873"/>
        <item x="2350"/>
        <item x="2695"/>
        <item x="373"/>
        <item x="451"/>
        <item x="2470"/>
        <item x="2"/>
        <item x="1580"/>
        <item x="2119"/>
        <item x="1023"/>
        <item x="697"/>
        <item x="1496"/>
        <item x="2142"/>
        <item x="1824"/>
        <item x="764"/>
        <item x="1058"/>
        <item x="1570"/>
        <item x="862"/>
        <item x="1967"/>
        <item x="901"/>
        <item x="191"/>
        <item x="2264"/>
        <item x="2308"/>
        <item x="67"/>
        <item x="540"/>
        <item x="463"/>
        <item x="950"/>
        <item x="1341"/>
        <item x="31"/>
        <item x="2524"/>
        <item x="1527"/>
        <item x="1108"/>
        <item x="348"/>
        <item x="1910"/>
        <item x="1443"/>
        <item x="976"/>
        <item x="1598"/>
        <item x="2490"/>
        <item x="531"/>
        <item x="1699"/>
        <item x="1430"/>
        <item x="1259"/>
        <item x="2356"/>
        <item x="2152"/>
        <item x="2861"/>
        <item x="991"/>
        <item x="1513"/>
        <item x="1890"/>
        <item x="1112"/>
        <item x="271"/>
        <item x="2899"/>
        <item x="1358"/>
        <item x="12"/>
        <item x="2128"/>
        <item x="2389"/>
        <item x="452"/>
        <item x="110"/>
        <item x="424"/>
        <item x="886"/>
        <item x="1298"/>
        <item x="1051"/>
        <item x="1853"/>
        <item x="2920"/>
        <item x="360"/>
        <item x="231"/>
        <item x="2573"/>
        <item x="306"/>
        <item x="1690"/>
        <item x="2023"/>
        <item x="770"/>
        <item x="1718"/>
        <item x="2813"/>
        <item x="2001"/>
        <item x="2257"/>
        <item x="2660"/>
        <item x="1769"/>
        <item x="2905"/>
        <item x="2873"/>
        <item x="2749"/>
        <item x="2178"/>
        <item x="2321"/>
        <item x="1488"/>
        <item x="2425"/>
        <item x="2116"/>
        <item x="750"/>
        <item x="234"/>
        <item x="1693"/>
        <item x="1550"/>
        <item x="698"/>
        <item x="409"/>
        <item x="2224"/>
        <item x="2019"/>
        <item x="1937"/>
        <item x="1478"/>
        <item x="2024"/>
        <item x="635"/>
        <item x="526"/>
        <item x="647"/>
        <item x="2475"/>
        <item x="2480"/>
        <item x="1063"/>
        <item x="935"/>
        <item x="2702"/>
        <item x="2204"/>
        <item x="1566"/>
        <item x="1536"/>
        <item x="2913"/>
        <item x="57"/>
        <item x="610"/>
        <item x="982"/>
        <item x="407"/>
        <item x="1740"/>
        <item x="331"/>
        <item x="1410"/>
        <item x="2372"/>
        <item x="1735"/>
        <item x="17"/>
        <item x="1161"/>
        <item x="253"/>
        <item x="619"/>
        <item x="2541"/>
        <item x="2427"/>
        <item x="1197"/>
        <item x="2371"/>
        <item x="577"/>
        <item x="2611"/>
        <item x="2824"/>
        <item x="1052"/>
        <item x="574"/>
        <item x="1248"/>
        <item x="1104"/>
        <item x="447"/>
        <item x="2711"/>
        <item x="690"/>
        <item x="739"/>
        <item x="2546"/>
        <item x="1952"/>
        <item x="1823"/>
        <item x="1477"/>
        <item x="2636"/>
        <item x="227"/>
        <item x="1086"/>
        <item x="614"/>
        <item x="1057"/>
        <item x="2115"/>
        <item x="256"/>
        <item x="342"/>
        <item x="359"/>
        <item x="2003"/>
        <item x="617"/>
        <item x="1914"/>
        <item x="1146"/>
        <item x="2597"/>
        <item x="2620"/>
        <item x="2259"/>
        <item x="2323"/>
        <item x="1925"/>
        <item x="814"/>
        <item x="1847"/>
        <item x="573"/>
        <item x="689"/>
        <item x="1858"/>
        <item x="2656"/>
        <item x="1682"/>
        <item x="502"/>
        <item x="537"/>
        <item x="2783"/>
        <item x="2500"/>
        <item x="1035"/>
        <item x="235"/>
        <item x="641"/>
        <item x="2688"/>
        <item x="32"/>
        <item x="2746"/>
        <item x="1906"/>
        <item x="2884"/>
        <item x="1607"/>
        <item x="1787"/>
        <item x="520"/>
        <item x="2773"/>
        <item x="1558"/>
        <item x="206"/>
        <item x="1619"/>
        <item x="1603"/>
        <item x="1257"/>
        <item x="2431"/>
        <item x="94"/>
        <item x="2296"/>
        <item x="2555"/>
        <item x="2025"/>
        <item x="523"/>
        <item x="2098"/>
        <item x="2020"/>
        <item x="790"/>
        <item x="2092"/>
        <item x="1634"/>
        <item x="263"/>
        <item x="1290"/>
        <item x="1265"/>
        <item x="323"/>
        <item x="931"/>
        <item x="1821"/>
        <item x="396"/>
        <item x="2290"/>
        <item x="659"/>
        <item x="2690"/>
        <item x="1475"/>
        <item x="1394"/>
        <item x="1790"/>
        <item x="261"/>
        <item x="630"/>
        <item x="1654"/>
        <item x="2850"/>
        <item x="940"/>
        <item x="853"/>
        <item x="259"/>
        <item x="2576"/>
        <item x="2488"/>
        <item x="1881"/>
        <item x="946"/>
        <item x="1872"/>
        <item x="1806"/>
        <item x="1484"/>
        <item x="953"/>
        <item x="2923"/>
        <item x="485"/>
        <item x="1954"/>
        <item x="1491"/>
        <item x="48"/>
        <item x="1602"/>
        <item x="1124"/>
        <item x="1157"/>
        <item x="494"/>
        <item x="766"/>
        <item x="932"/>
        <item x="1465"/>
        <item x="2535"/>
        <item x="47"/>
        <item x="194"/>
        <item x="668"/>
        <item x="1144"/>
        <item x="564"/>
        <item x="800"/>
        <item x="664"/>
        <item x="1461"/>
        <item x="2210"/>
        <item x="275"/>
        <item x="1099"/>
        <item x="34"/>
        <item x="2055"/>
        <item x="1837"/>
        <item x="1487"/>
        <item x="1482"/>
        <item x="2099"/>
        <item x="1709"/>
        <item x="1905"/>
        <item x="2507"/>
        <item x="134"/>
        <item x="2677"/>
        <item x="1662"/>
        <item x="1726"/>
        <item x="1520"/>
        <item x="543"/>
        <item x="286"/>
        <item x="962"/>
        <item x="51"/>
        <item x="2647"/>
        <item x="1456"/>
        <item x="1088"/>
        <item x="943"/>
        <item x="2675"/>
        <item x="2721"/>
        <item x="586"/>
        <item x="2376"/>
        <item x="1221"/>
        <item x="821"/>
        <item x="621"/>
        <item x="471"/>
        <item x="1043"/>
        <item x="1133"/>
        <item x="2544"/>
        <item x="1605"/>
        <item x="1782"/>
        <item x="2482"/>
        <item x="2661"/>
        <item x="2663"/>
        <item x="2821"/>
        <item x="1254"/>
        <item x="1261"/>
        <item x="1704"/>
        <item x="1869"/>
        <item x="2606"/>
        <item x="2006"/>
        <item x="1621"/>
        <item x="1968"/>
        <item x="2366"/>
        <item x="2131"/>
        <item x="512"/>
        <item x="532"/>
        <item x="2111"/>
        <item x="2174"/>
        <item x="528"/>
        <item x="1629"/>
        <item x="1893"/>
        <item x="1379"/>
        <item x="2442"/>
        <item x="1047"/>
        <item x="3"/>
        <item x="2316"/>
        <item x="2239"/>
        <item x="1457"/>
        <item x="1275"/>
        <item x="1436"/>
        <item x="2424"/>
        <item x="1300"/>
        <item x="477"/>
        <item x="1184"/>
        <item x="1918"/>
        <item x="1507"/>
        <item x="2260"/>
        <item x="995"/>
        <item x="2278"/>
        <item x="1728"/>
        <item x="1299"/>
        <item x="2757"/>
        <item x="479"/>
        <item x="1306"/>
        <item x="353"/>
        <item x="1078"/>
        <item x="2581"/>
        <item x="183"/>
        <item x="744"/>
        <item x="780"/>
        <item x="349"/>
        <item x="1875"/>
        <item x="187"/>
        <item x="1797"/>
        <item x="1162"/>
        <item x="2228"/>
        <item x="1694"/>
        <item x="273"/>
        <item x="1409"/>
        <item x="127"/>
        <item x="2466"/>
        <item x="801"/>
        <item x="858"/>
        <item x="2489"/>
        <item x="223"/>
        <item x="1794"/>
        <item x="1649"/>
        <item x="255"/>
        <item x="2664"/>
        <item x="1170"/>
        <item x="276"/>
        <item x="795"/>
        <item x="272"/>
        <item x="2846"/>
        <item x="1770"/>
        <item x="132"/>
        <item x="237"/>
        <item x="1364"/>
        <item x="889"/>
        <item x="2682"/>
        <item x="2849"/>
        <item x="1737"/>
        <item x="404"/>
        <item x="525"/>
        <item x="1036"/>
        <item x="2054"/>
        <item x="2145"/>
        <item x="2494"/>
        <item x="1545"/>
        <item x="699"/>
        <item x="33"/>
        <item x="1534"/>
        <item x="2527"/>
        <item x="1987"/>
        <item x="868"/>
        <item x="384"/>
        <item x="817"/>
        <item x="2613"/>
        <item x="1583"/>
        <item x="137"/>
        <item x="1313"/>
        <item x="1392"/>
        <item x="2770"/>
        <item x="1182"/>
        <item x="546"/>
        <item x="1395"/>
        <item x="846"/>
        <item x="2722"/>
        <item x="374"/>
        <item x="2639"/>
        <item x="778"/>
        <item x="2177"/>
        <item x="1176"/>
        <item x="677"/>
        <item x="1027"/>
        <item x="2640"/>
        <item x="2443"/>
        <item x="1926"/>
        <item t="default"/>
      </items>
    </pivotField>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pivotField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Count of Patient_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9055AC-E961-4756-9488-18BD44C366E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0:H37" firstHeaderRow="1" firstDataRow="1" firstDataCol="1"/>
  <pivotFields count="15">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8">
        <item x="0"/>
        <item x="1"/>
        <item x="2"/>
        <item x="3"/>
        <item x="4"/>
        <item x="5"/>
        <item x="6"/>
        <item t="default"/>
      </items>
    </pivotField>
    <pivotField showAll="0">
      <items count="3">
        <item x="1"/>
        <item x="0"/>
        <item t="default"/>
      </items>
    </pivotField>
    <pivotField showAll="0">
      <items count="8">
        <item x="5"/>
        <item x="1"/>
        <item x="6"/>
        <item x="4"/>
        <item x="3"/>
        <item x="2"/>
        <item x="0"/>
        <item t="default"/>
      </items>
    </pivotField>
    <pivotField showAll="0">
      <items count="2931">
        <item x="1083"/>
        <item x="152"/>
        <item x="28"/>
        <item x="1002"/>
        <item x="2652"/>
        <item x="939"/>
        <item x="2286"/>
        <item x="442"/>
        <item x="339"/>
        <item x="713"/>
        <item x="292"/>
        <item x="368"/>
        <item x="387"/>
        <item x="1442"/>
        <item x="2836"/>
        <item x="136"/>
        <item x="676"/>
        <item x="2407"/>
        <item x="453"/>
        <item x="1978"/>
        <item x="822"/>
        <item x="1031"/>
        <item x="2179"/>
        <item x="633"/>
        <item x="2486"/>
        <item x="892"/>
        <item x="511"/>
        <item x="1561"/>
        <item x="2818"/>
        <item x="2782"/>
        <item x="367"/>
        <item x="322"/>
        <item x="305"/>
        <item x="209"/>
        <item x="398"/>
        <item x="1187"/>
        <item x="2021"/>
        <item x="2755"/>
        <item x="1982"/>
        <item x="2766"/>
        <item x="2370"/>
        <item x="1758"/>
        <item x="1581"/>
        <item x="727"/>
        <item x="549"/>
        <item x="158"/>
        <item x="1062"/>
        <item x="1471"/>
        <item x="1270"/>
        <item x="2841"/>
        <item x="1717"/>
        <item x="2667"/>
        <item x="2657"/>
        <item x="1125"/>
        <item x="2159"/>
        <item x="968"/>
        <item x="2810"/>
        <item x="2737"/>
        <item x="2549"/>
        <item x="2404"/>
        <item x="1130"/>
        <item x="333"/>
        <item x="1626"/>
        <item x="927"/>
        <item x="947"/>
        <item x="1486"/>
        <item x="2918"/>
        <item x="855"/>
        <item x="857"/>
        <item x="1514"/>
        <item x="1778"/>
        <item x="2868"/>
        <item x="199"/>
        <item x="351"/>
        <item x="2002"/>
        <item x="488"/>
        <item x="1624"/>
        <item x="328"/>
        <item x="1343"/>
        <item x="515"/>
        <item x="2072"/>
        <item x="1250"/>
        <item x="1928"/>
        <item x="890"/>
        <item x="2834"/>
        <item x="622"/>
        <item x="2381"/>
        <item x="2492"/>
        <item x="845"/>
        <item x="2645"/>
        <item x="2734"/>
        <item x="2545"/>
        <item x="2074"/>
        <item x="347"/>
        <item x="2200"/>
        <item x="2355"/>
        <item x="377"/>
        <item x="2078"/>
        <item x="1188"/>
        <item x="1809"/>
        <item x="2418"/>
        <item x="1370"/>
        <item x="38"/>
        <item x="2780"/>
        <item x="1980"/>
        <item x="2534"/>
        <item x="1180"/>
        <item x="1286"/>
        <item x="2313"/>
        <item x="1786"/>
        <item x="1623"/>
        <item x="2797"/>
        <item x="2268"/>
        <item x="922"/>
        <item x="270"/>
        <item x="952"/>
        <item x="1115"/>
        <item x="30"/>
        <item x="177"/>
        <item x="2599"/>
        <item x="829"/>
        <item x="848"/>
        <item x="2173"/>
        <item x="2584"/>
        <item x="2185"/>
        <item x="1775"/>
        <item x="1648"/>
        <item x="2305"/>
        <item x="2271"/>
        <item x="88"/>
        <item x="205"/>
        <item x="755"/>
        <item x="184"/>
        <item x="475"/>
        <item x="2126"/>
        <item x="1590"/>
        <item x="2030"/>
        <item x="2151"/>
        <item x="1375"/>
        <item x="246"/>
        <item x="1223"/>
        <item x="753"/>
        <item x="2247"/>
        <item x="898"/>
        <item x="1916"/>
        <item x="2117"/>
        <item x="1168"/>
        <item x="1081"/>
        <item x="1411"/>
        <item x="1574"/>
        <item x="1109"/>
        <item x="2251"/>
        <item x="148"/>
        <item x="340"/>
        <item x="2641"/>
        <item x="226"/>
        <item x="129"/>
        <item x="157"/>
        <item x="1137"/>
        <item x="558"/>
        <item x="2768"/>
        <item x="831"/>
        <item x="1738"/>
        <item x="61"/>
        <item x="1957"/>
        <item x="1511"/>
        <item x="108"/>
        <item x="2009"/>
        <item x="274"/>
        <item x="164"/>
        <item x="295"/>
        <item x="1798"/>
        <item x="1887"/>
        <item x="930"/>
        <item x="1439"/>
        <item x="2191"/>
        <item x="1479"/>
        <item x="1175"/>
        <item x="1551"/>
        <item x="2921"/>
        <item x="1877"/>
        <item x="41"/>
        <item x="1032"/>
        <item x="400"/>
        <item x="2461"/>
        <item x="2621"/>
        <item x="2369"/>
        <item x="1368"/>
        <item x="2340"/>
        <item x="1432"/>
        <item x="2409"/>
        <item x="2548"/>
        <item x="784"/>
        <item x="1236"/>
        <item x="151"/>
        <item x="1562"/>
        <item x="544"/>
        <item x="738"/>
        <item x="489"/>
        <item x="1816"/>
        <item x="2223"/>
        <item x="2582"/>
        <item x="2378"/>
        <item x="870"/>
        <item x="2881"/>
        <item x="2197"/>
        <item x="998"/>
        <item x="578"/>
        <item x="1885"/>
        <item x="189"/>
        <item x="1719"/>
        <item x="2012"/>
        <item x="2014"/>
        <item x="155"/>
        <item x="1793"/>
        <item x="356"/>
        <item x="2604"/>
        <item x="1510"/>
        <item x="1084"/>
        <item x="1344"/>
        <item x="1575"/>
        <item x="145"/>
        <item x="2848"/>
        <item x="2387"/>
        <item x="1599"/>
        <item x="1203"/>
        <item x="1505"/>
        <item x="1016"/>
        <item x="2886"/>
        <item x="2820"/>
        <item x="1360"/>
        <item x="2220"/>
        <item x="1321"/>
        <item x="297"/>
        <item x="85"/>
        <item x="354"/>
        <item x="2390"/>
        <item x="1304"/>
        <item x="320"/>
        <item x="311"/>
        <item x="2045"/>
        <item x="2158"/>
        <item x="1151"/>
        <item x="1441"/>
        <item x="2005"/>
        <item x="2432"/>
        <item x="1559"/>
        <item x="500"/>
        <item x="884"/>
        <item x="2347"/>
        <item x="843"/>
        <item x="2410"/>
        <item x="458"/>
        <item x="1014"/>
        <item x="2328"/>
        <item x="2077"/>
        <item x="1194"/>
        <item x="186"/>
        <item x="1174"/>
        <item x="2008"/>
        <item x="2603"/>
        <item x="716"/>
        <item x="1711"/>
        <item x="603"/>
        <item x="1352"/>
        <item x="1267"/>
        <item x="656"/>
        <item x="1776"/>
        <item x="2666"/>
        <item x="2348"/>
        <item x="1754"/>
        <item x="1765"/>
        <item x="1427"/>
        <item x="667"/>
        <item x="636"/>
        <item x="1447"/>
        <item x="663"/>
        <item x="2441"/>
        <item x="2445"/>
        <item x="966"/>
        <item x="1331"/>
        <item x="1632"/>
        <item x="2284"/>
        <item x="2454"/>
        <item x="1142"/>
        <item x="810"/>
        <item x="1"/>
        <item x="637"/>
        <item x="2484"/>
        <item x="1734"/>
        <item x="1335"/>
        <item x="878"/>
        <item x="602"/>
        <item x="2700"/>
        <item x="1450"/>
        <item x="2497"/>
        <item x="1316"/>
        <item x="899"/>
        <item x="1305"/>
        <item x="609"/>
        <item x="2170"/>
        <item x="2583"/>
        <item x="1509"/>
        <item x="1073"/>
        <item x="1444"/>
        <item x="595"/>
        <item x="1525"/>
        <item x="1533"/>
        <item x="559"/>
        <item x="849"/>
        <item x="654"/>
        <item x="395"/>
        <item x="2716"/>
        <item x="792"/>
        <item x="1440"/>
        <item x="1106"/>
        <item x="2226"/>
        <item x="776"/>
        <item x="1373"/>
        <item x="2209"/>
        <item x="2349"/>
        <item x="2026"/>
        <item x="2022"/>
        <item x="638"/>
        <item x="535"/>
        <item x="240"/>
        <item x="2162"/>
        <item x="2274"/>
        <item x="115"/>
        <item x="167"/>
        <item x="2059"/>
        <item x="414"/>
        <item x="503"/>
        <item x="2590"/>
        <item x="2869"/>
        <item x="2827"/>
        <item x="2571"/>
        <item x="1225"/>
        <item x="2908"/>
        <item x="2217"/>
        <item x="1215"/>
        <item x="2018"/>
        <item x="1038"/>
        <item x="767"/>
        <item x="201"/>
        <item x="877"/>
        <item x="2144"/>
        <item x="1802"/>
        <item x="284"/>
        <item x="1948"/>
        <item x="642"/>
        <item x="758"/>
        <item x="1600"/>
        <item x="859"/>
        <item x="1628"/>
        <item x="232"/>
        <item x="2689"/>
        <item x="2779"/>
        <item x="785"/>
        <item x="1490"/>
        <item x="2807"/>
        <item x="449"/>
        <item x="1739"/>
        <item x="2856"/>
        <item x="2798"/>
        <item x="1332"/>
        <item x="2669"/>
        <item x="1950"/>
        <item x="876"/>
        <item x="2294"/>
        <item x="2799"/>
        <item x="1503"/>
        <item x="1268"/>
        <item x="198"/>
        <item x="1548"/>
        <item x="2449"/>
        <item x="580"/>
        <item x="2203"/>
        <item x="309"/>
        <item x="880"/>
        <item x="118"/>
        <item x="2900"/>
        <item x="2793"/>
        <item x="329"/>
        <item x="2122"/>
        <item x="839"/>
        <item x="1836"/>
        <item x="721"/>
        <item x="2384"/>
        <item x="1876"/>
        <item x="1219"/>
        <item x="2586"/>
        <item x="761"/>
        <item x="1752"/>
        <item x="330"/>
        <item x="435"/>
        <item x="318"/>
        <item x="1417"/>
        <item x="2589"/>
        <item x="787"/>
        <item x="552"/>
        <item x="481"/>
        <item x="1953"/>
        <item x="49"/>
        <item x="2476"/>
        <item x="1974"/>
        <item x="715"/>
        <item x="921"/>
        <item x="1515"/>
        <item x="1861"/>
        <item x="1272"/>
        <item x="934"/>
        <item x="1587"/>
        <item x="2148"/>
        <item x="2506"/>
        <item x="2364"/>
        <item x="2250"/>
        <item x="2843"/>
        <item x="1218"/>
        <item x="2428"/>
        <item x="125"/>
        <item x="2377"/>
        <item x="1543"/>
        <item x="1606"/>
        <item x="2764"/>
        <item x="2844"/>
        <item x="2632"/>
        <item x="1713"/>
        <item x="2715"/>
        <item x="336"/>
        <item x="2851"/>
        <item x="317"/>
        <item x="938"/>
        <item x="1204"/>
        <item x="2015"/>
        <item x="1938"/>
        <item x="1005"/>
        <item x="2188"/>
        <item x="513"/>
        <item x="534"/>
        <item x="1669"/>
        <item x="1426"/>
        <item x="1179"/>
        <item x="2380"/>
        <item x="389"/>
        <item x="1827"/>
        <item x="120"/>
        <item x="2600"/>
        <item x="1685"/>
        <item x="2289"/>
        <item x="1156"/>
        <item x="1934"/>
        <item x="154"/>
        <item x="2070"/>
        <item x="1118"/>
        <item x="1986"/>
        <item x="2531"/>
        <item x="1119"/>
        <item x="2853"/>
        <item x="1994"/>
        <item x="2499"/>
        <item x="629"/>
        <item x="2891"/>
        <item x="1402"/>
        <item x="36"/>
        <item x="419"/>
        <item x="1243"/>
        <item x="2753"/>
        <item x="1781"/>
        <item x="2832"/>
        <item x="869"/>
        <item x="2354"/>
        <item x="824"/>
        <item x="648"/>
        <item x="130"/>
        <item x="1007"/>
        <item x="955"/>
        <item x="2184"/>
        <item x="454"/>
        <item x="2149"/>
        <item x="160"/>
        <item x="74"/>
        <item x="912"/>
        <item x="2031"/>
        <item x="2124"/>
        <item x="69"/>
        <item x="1228"/>
        <item x="2333"/>
        <item x="168"/>
        <item x="2917"/>
        <item x="1854"/>
        <item x="1730"/>
        <item x="2662"/>
        <item x="2653"/>
        <item x="2169"/>
        <item x="1578"/>
        <item x="42"/>
        <item x="2502"/>
        <item x="834"/>
        <item x="2880"/>
        <item x="1297"/>
        <item x="370"/>
        <item x="2282"/>
        <item x="1365"/>
        <item x="2572"/>
        <item x="2291"/>
        <item x="2073"/>
        <item x="2701"/>
        <item x="772"/>
        <item x="1616"/>
        <item x="6"/>
        <item x="1202"/>
        <item x="1310"/>
        <item x="1001"/>
        <item x="803"/>
        <item x="1990"/>
        <item x="2262"/>
        <item x="2297"/>
        <item x="1688"/>
        <item x="2699"/>
        <item x="1865"/>
        <item x="1611"/>
        <item x="2202"/>
        <item x="2437"/>
        <item x="734"/>
        <item x="1495"/>
        <item x="791"/>
        <item x="1128"/>
        <item x="545"/>
        <item x="2136"/>
        <item x="2189"/>
        <item x="2043"/>
        <item x="1235"/>
        <item x="1025"/>
        <item x="541"/>
        <item x="933"/>
        <item x="945"/>
        <item x="1961"/>
        <item x="1090"/>
        <item x="243"/>
        <item x="437"/>
        <item x="2205"/>
        <item x="2161"/>
        <item x="2088"/>
        <item x="2487"/>
        <item x="1757"/>
        <item x="2133"/>
        <item x="1538"/>
        <item x="2182"/>
        <item x="1729"/>
        <item x="1764"/>
        <item x="555"/>
        <item x="71"/>
        <item x="242"/>
        <item x="468"/>
        <item x="415"/>
        <item x="1050"/>
        <item x="631"/>
        <item x="2103"/>
        <item x="907"/>
        <item x="711"/>
        <item x="1595"/>
        <item x="2680"/>
        <item x="2781"/>
        <item x="2717"/>
        <item x="658"/>
        <item x="2430"/>
        <item x="527"/>
        <item x="1983"/>
        <item x="2337"/>
        <item x="2712"/>
        <item x="1285"/>
        <item x="2805"/>
        <item x="1919"/>
        <item x="751"/>
        <item x="2373"/>
        <item x="2686"/>
        <item x="1692"/>
        <item x="1398"/>
        <item x="589"/>
        <item x="2195"/>
        <item x="681"/>
        <item x="369"/>
        <item x="13"/>
        <item x="2041"/>
        <item x="1811"/>
        <item x="281"/>
        <item x="2190"/>
        <item x="466"/>
        <item x="918"/>
        <item x="1359"/>
        <item x="455"/>
        <item x="378"/>
        <item x="2789"/>
        <item x="2411"/>
        <item x="1173"/>
        <item x="214"/>
        <item x="440"/>
        <item x="989"/>
        <item x="58"/>
        <item x="18"/>
        <item x="2901"/>
        <item x="1435"/>
        <item x="432"/>
        <item x="628"/>
        <item x="2927"/>
        <item x="1462"/>
        <item x="2564"/>
        <item x="1153"/>
        <item x="1609"/>
        <item x="2630"/>
        <item x="2458"/>
        <item x="1828"/>
        <item x="325"/>
        <item x="1565"/>
        <item x="745"/>
        <item x="2710"/>
        <item x="2068"/>
        <item x="2243"/>
        <item x="1564"/>
        <item x="1100"/>
        <item x="836"/>
        <item x="1210"/>
        <item x="1136"/>
        <item x="1805"/>
        <item x="473"/>
        <item x="674"/>
        <item x="2338"/>
        <item x="2672"/>
        <item x="971"/>
        <item x="1092"/>
        <item x="2279"/>
        <item x="2341"/>
        <item x="65"/>
        <item x="254"/>
        <item x="365"/>
        <item x="1324"/>
        <item x="482"/>
        <item x="2536"/>
        <item x="1287"/>
        <item x="173"/>
        <item x="293"/>
        <item x="2032"/>
        <item x="1801"/>
        <item x="2069"/>
        <item x="2193"/>
        <item x="2391"/>
        <item x="1650"/>
        <item x="1242"/>
        <item x="2520"/>
        <item x="1209"/>
        <item x="789"/>
        <item x="1448"/>
        <item x="1246"/>
        <item x="2785"/>
        <item x="394"/>
        <item x="427"/>
        <item x="1211"/>
        <item x="2887"/>
        <item x="1923"/>
        <item x="1091"/>
        <item x="2398"/>
        <item x="2325"/>
        <item x="2515"/>
        <item x="762"/>
        <item x="529"/>
        <item x="2028"/>
        <item x="25"/>
        <item x="2465"/>
        <item x="1618"/>
        <item x="572"/>
        <item x="613"/>
        <item x="1481"/>
        <item x="2426"/>
        <item x="2575"/>
        <item x="416"/>
        <item x="1041"/>
        <item x="1883"/>
        <item x="723"/>
        <item x="448"/>
        <item x="994"/>
        <item x="909"/>
        <item x="1896"/>
        <item x="2130"/>
        <item x="2071"/>
        <item x="1251"/>
        <item x="1483"/>
        <item x="319"/>
        <item x="1518"/>
        <item x="2164"/>
        <item x="1825"/>
        <item x="1399"/>
        <item x="15"/>
        <item x="114"/>
        <item x="2245"/>
        <item x="80"/>
        <item x="2479"/>
        <item x="1547"/>
        <item x="2808"/>
        <item x="2266"/>
        <item x="1059"/>
        <item x="2802"/>
        <item x="623"/>
        <item x="919"/>
        <item x="2383"/>
        <item x="1601"/>
        <item x="2141"/>
        <item x="2318"/>
        <item x="1418"/>
        <item x="1422"/>
        <item x="985"/>
        <item x="865"/>
        <item x="1859"/>
        <item x="2234"/>
        <item x="1911"/>
        <item x="2110"/>
        <item x="2693"/>
        <item x="649"/>
        <item x="1376"/>
        <item x="483"/>
        <item x="2650"/>
        <item x="611"/>
        <item x="2421"/>
        <item x="2882"/>
        <item x="1206"/>
        <item x="1065"/>
        <item x="163"/>
        <item x="2121"/>
        <item x="2800"/>
        <item x="2723"/>
        <item x="2877"/>
        <item x="986"/>
        <item x="316"/>
        <item x="691"/>
        <item x="169"/>
        <item x="2731"/>
        <item x="2051"/>
        <item x="1817"/>
        <item x="2538"/>
        <item x="2801"/>
        <item x="594"/>
        <item x="1610"/>
        <item x="788"/>
        <item x="825"/>
        <item x="816"/>
        <item x="1766"/>
        <item x="1933"/>
        <item x="1252"/>
        <item x="896"/>
        <item x="2763"/>
        <item x="620"/>
        <item x="590"/>
        <item x="2806"/>
        <item x="52"/>
        <item x="861"/>
        <item x="2551"/>
        <item x="2516"/>
        <item x="371"/>
        <item x="202"/>
        <item x="2643"/>
        <item x="381"/>
        <item x="571"/>
        <item x="2685"/>
        <item x="2878"/>
        <item x="1553"/>
        <item x="1245"/>
        <item x="1706"/>
        <item x="102"/>
        <item x="837"/>
        <item x="2365"/>
        <item x="731"/>
        <item x="1526"/>
        <item x="2248"/>
        <item x="914"/>
        <item x="344"/>
        <item x="1141"/>
        <item x="1653"/>
        <item x="1329"/>
        <item x="1613"/>
        <item x="1768"/>
        <item x="978"/>
        <item x="600"/>
        <item x="1670"/>
        <item x="2447"/>
        <item x="224"/>
        <item x="363"/>
        <item x="95"/>
        <item x="2273"/>
        <item x="673"/>
        <item x="1695"/>
        <item x="606"/>
        <item x="710"/>
        <item x="1326"/>
        <item x="63"/>
        <item x="1449"/>
        <item x="686"/>
        <item x="828"/>
        <item x="514"/>
        <item x="2267"/>
        <item x="1132"/>
        <item x="2588"/>
        <item x="2537"/>
        <item x="872"/>
        <item x="1955"/>
        <item x="480"/>
        <item x="1382"/>
        <item x="2510"/>
        <item x="954"/>
        <item x="2053"/>
        <item x="893"/>
        <item x="2547"/>
        <item x="539"/>
        <item x="2491"/>
        <item x="2035"/>
        <item x="2362"/>
        <item x="2140"/>
        <item x="172"/>
        <item x="1652"/>
        <item x="1959"/>
        <item x="153"/>
        <item x="1107"/>
        <item x="2896"/>
        <item x="904"/>
        <item x="1121"/>
        <item x="2829"/>
        <item x="1701"/>
        <item x="2697"/>
        <item x="2876"/>
        <item x="1822"/>
        <item x="79"/>
        <item x="1342"/>
        <item x="2561"/>
        <item x="2096"/>
        <item x="2444"/>
        <item x="1517"/>
        <item x="2792"/>
        <item x="796"/>
        <item x="988"/>
        <item x="1523"/>
        <item x="2819"/>
        <item x="1549"/>
        <item x="2255"/>
        <item x="2050"/>
        <item x="2814"/>
        <item x="798"/>
        <item x="2845"/>
        <item x="1929"/>
        <item x="346"/>
        <item x="1231"/>
        <item x="1253"/>
        <item x="2114"/>
        <item x="640"/>
        <item x="701"/>
        <item x="1105"/>
        <item x="1944"/>
        <item x="2086"/>
        <item x="238"/>
        <item x="1044"/>
        <item x="2865"/>
        <item x="315"/>
        <item x="1233"/>
        <item x="1744"/>
        <item x="569"/>
        <item x="1213"/>
        <item x="1069"/>
        <item x="992"/>
        <item x="314"/>
        <item x="1040"/>
        <item x="2726"/>
        <item x="1733"/>
        <item x="587"/>
        <item x="779"/>
        <item x="906"/>
        <item x="176"/>
        <item x="2864"/>
        <item x="91"/>
        <item x="1707"/>
        <item x="1350"/>
        <item x="1116"/>
        <item x="1807"/>
        <item x="179"/>
        <item x="1085"/>
        <item x="1833"/>
        <item x="1348"/>
        <item x="1748"/>
        <item x="1591"/>
        <item x="533"/>
        <item x="2543"/>
        <item x="1056"/>
        <item x="712"/>
        <item x="304"/>
        <item x="1655"/>
        <item x="2058"/>
        <item x="2512"/>
        <item x="260"/>
        <item x="392"/>
        <item x="1864"/>
        <item x="1284"/>
        <item x="257"/>
        <item x="2240"/>
        <item x="2397"/>
        <item x="925"/>
        <item x="1445"/>
        <item x="708"/>
        <item x="1856"/>
        <item x="350"/>
        <item x="1647"/>
        <item x="2214"/>
        <item x="1567"/>
        <item x="2610"/>
        <item x="1942"/>
        <item x="2728"/>
        <item x="2336"/>
        <item x="2097"/>
        <item x="2235"/>
        <item x="2601"/>
        <item x="1924"/>
        <item x="2803"/>
        <item x="644"/>
        <item x="1584"/>
        <item x="2730"/>
        <item x="811"/>
        <item x="2160"/>
        <item x="1945"/>
        <item x="1169"/>
        <item x="1227"/>
        <item x="1400"/>
        <item x="1867"/>
        <item x="2368"/>
        <item x="294"/>
        <item x="2750"/>
        <item x="1279"/>
        <item x="1384"/>
        <item x="1072"/>
        <item x="1871"/>
        <item x="2433"/>
        <item x="1723"/>
        <item x="2436"/>
        <item x="2393"/>
        <item x="352"/>
        <item x="165"/>
        <item x="119"/>
        <item x="993"/>
        <item x="2249"/>
        <item x="2739"/>
        <item x="1722"/>
        <item x="450"/>
        <item x="1742"/>
        <item x="2552"/>
        <item x="885"/>
        <item x="1237"/>
        <item x="1732"/>
        <item x="1293"/>
        <item x="990"/>
        <item x="867"/>
        <item x="1150"/>
        <item x="959"/>
        <item x="2010"/>
        <item x="2729"/>
        <item x="1996"/>
        <item x="2888"/>
        <item x="2528"/>
        <item x="175"/>
        <item x="277"/>
        <item x="2089"/>
        <item x="1160"/>
        <item x="1920"/>
        <item x="717"/>
        <item x="2676"/>
        <item x="2147"/>
        <item x="1668"/>
        <item x="1239"/>
        <item x="958"/>
        <item x="2375"/>
        <item x="882"/>
        <item x="1068"/>
        <item x="1971"/>
        <item x="1522"/>
        <item x="109"/>
        <item x="2253"/>
        <item x="1046"/>
        <item x="1975"/>
        <item x="505"/>
        <item x="1080"/>
        <item x="1512"/>
        <item x="1834"/>
        <item x="1405"/>
        <item x="326"/>
        <item x="949"/>
        <item x="2406"/>
        <item x="1163"/>
        <item x="923"/>
        <item x="2910"/>
        <item x="299"/>
        <item x="1415"/>
        <item x="929"/>
        <item x="2254"/>
        <item x="1878"/>
        <item x="2434"/>
        <item x="2265"/>
        <item x="2439"/>
        <item x="324"/>
        <item x="428"/>
        <item x="961"/>
        <item x="467"/>
        <item x="967"/>
        <item x="2386"/>
        <item x="2897"/>
        <item x="1205"/>
        <item x="722"/>
        <item x="2379"/>
        <item x="2518"/>
        <item x="2831"/>
        <item x="850"/>
        <item x="2342"/>
        <item x="1186"/>
        <item x="399"/>
        <item x="2703"/>
        <item x="1796"/>
        <item x="2367"/>
        <item x="498"/>
        <item x="279"/>
        <item x="159"/>
        <item x="1947"/>
        <item x="692"/>
        <item x="1870"/>
        <item x="972"/>
        <item x="1608"/>
        <item x="2007"/>
        <item x="1328"/>
        <item x="443"/>
        <item x="1159"/>
        <item x="1177"/>
        <item x="1425"/>
        <item x="1201"/>
        <item x="2469"/>
        <item x="1362"/>
        <item x="1004"/>
        <item x="2867"/>
        <item x="1686"/>
        <item x="2854"/>
        <item x="1571"/>
        <item x="1880"/>
        <item x="2460"/>
        <item x="2533"/>
        <item x="364"/>
        <item x="121"/>
        <item x="1784"/>
        <item x="1434"/>
        <item x="924"/>
        <item x="219"/>
        <item x="2374"/>
        <item x="2724"/>
        <item x="1446"/>
        <item x="1779"/>
        <item x="1217"/>
        <item x="596"/>
        <item x="1568"/>
        <item x="1917"/>
        <item x="1453"/>
        <item x="2315"/>
        <item x="2233"/>
        <item x="626"/>
        <item x="832"/>
        <item x="665"/>
        <item x="618"/>
        <item x="1855"/>
        <item x="653"/>
        <item x="775"/>
        <item x="507"/>
        <item x="2742"/>
        <item x="1915"/>
        <item x="1008"/>
        <item x="2635"/>
        <item x="2455"/>
        <item x="2744"/>
        <item x="2532"/>
        <item x="2044"/>
        <item x="70"/>
        <item x="2577"/>
        <item x="82"/>
        <item x="2637"/>
        <item x="1111"/>
        <item x="2082"/>
        <item x="1269"/>
        <item x="1122"/>
        <item x="2477"/>
        <item x="704"/>
        <item x="1193"/>
        <item x="747"/>
        <item x="632"/>
        <item x="1516"/>
        <item x="1070"/>
        <item x="1294"/>
        <item x="905"/>
        <item x="2440"/>
        <item x="212"/>
        <item x="1171"/>
        <item x="910"/>
        <item x="2748"/>
        <item x="1423"/>
        <item x="2743"/>
        <item x="1586"/>
        <item x="1424"/>
        <item x="2261"/>
        <item x="1840"/>
        <item x="557"/>
        <item x="1055"/>
        <item x="2230"/>
        <item x="19"/>
        <item x="1167"/>
        <item x="1627"/>
        <item x="1992"/>
        <item x="964"/>
        <item x="1421"/>
        <item x="1054"/>
        <item x="2842"/>
        <item x="917"/>
        <item x="827"/>
        <item x="2787"/>
        <item x="1378"/>
        <item x="161"/>
        <item x="695"/>
        <item x="568"/>
        <item x="2107"/>
        <item x="2335"/>
        <item x="830"/>
        <item x="1463"/>
        <item x="11"/>
        <item x="2762"/>
        <item x="190"/>
        <item x="1895"/>
        <item x="1198"/>
        <item x="1238"/>
        <item x="2826"/>
        <item x="2446"/>
        <item x="2911"/>
        <item x="1969"/>
        <item x="457"/>
        <item x="765"/>
        <item x="497"/>
        <item x="2772"/>
        <item x="2332"/>
        <item x="575"/>
        <item x="92"/>
        <item x="2745"/>
        <item x="1374"/>
        <item x="123"/>
        <item x="777"/>
        <item x="1697"/>
        <item x="1459"/>
        <item x="445"/>
        <item x="2150"/>
        <item x="313"/>
        <item x="2101"/>
        <item x="852"/>
        <item x="1451"/>
        <item x="2903"/>
        <item x="1094"/>
        <item x="2747"/>
        <item x="516"/>
        <item x="1736"/>
        <item x="2692"/>
        <item x="725"/>
        <item x="782"/>
        <item x="1414"/>
        <item x="652"/>
        <item x="2514"/>
        <item x="519"/>
        <item x="567"/>
        <item x="2300"/>
        <item x="688"/>
        <item x="1026"/>
        <item x="883"/>
        <item x="2709"/>
        <item x="200"/>
        <item x="1745"/>
        <item x="2229"/>
        <item x="1582"/>
        <item x="2244"/>
        <item x="1751"/>
        <item x="380"/>
        <item x="1071"/>
        <item x="556"/>
        <item x="236"/>
        <item x="1064"/>
        <item x="1666"/>
        <item x="2137"/>
        <item x="1556"/>
        <item x="117"/>
        <item x="2720"/>
        <item x="1135"/>
        <item x="2394"/>
        <item x="598"/>
        <item x="1687"/>
        <item x="1665"/>
        <item x="2104"/>
        <item x="1724"/>
        <item x="496"/>
        <item x="2093"/>
        <item x="1904"/>
        <item x="2277"/>
        <item x="258"/>
        <item x="854"/>
        <item x="840"/>
        <item x="2791"/>
        <item x="376"/>
        <item x="1474"/>
        <item x="2270"/>
        <item x="1577"/>
        <item x="248"/>
        <item x="2420"/>
        <item x="1480"/>
        <item x="308"/>
        <item x="1677"/>
        <item x="446"/>
        <item x="2402"/>
        <item x="1433"/>
        <item x="2196"/>
        <item x="763"/>
        <item x="1114"/>
        <item x="62"/>
        <item x="1894"/>
        <item x="1387"/>
        <item x="2419"/>
        <item x="1377"/>
        <item x="1615"/>
        <item x="1356"/>
        <item x="987"/>
        <item x="288"/>
        <item x="2596"/>
        <item x="420"/>
        <item x="1389"/>
        <item x="1636"/>
        <item x="2925"/>
        <item x="54"/>
        <item x="2435"/>
        <item x="250"/>
        <item x="1351"/>
        <item x="1560"/>
        <item x="222"/>
        <item x="597"/>
        <item x="2324"/>
        <item x="2655"/>
        <item x="2329"/>
        <item x="1101"/>
        <item x="2280"/>
        <item x="944"/>
        <item x="2875"/>
        <item x="39"/>
        <item x="1899"/>
        <item x="2740"/>
        <item x="247"/>
        <item x="1347"/>
        <item x="421"/>
        <item x="741"/>
        <item x="1145"/>
        <item x="1367"/>
        <item x="703"/>
        <item x="2735"/>
        <item x="230"/>
        <item x="1428"/>
        <item x="1638"/>
        <item x="1995"/>
        <item x="1406"/>
        <item x="562"/>
        <item x="2902"/>
        <item x="2646"/>
        <item x="2671"/>
        <item x="1472"/>
        <item x="1262"/>
        <item x="2360"/>
        <item x="2493"/>
        <item x="1785"/>
        <item x="1985"/>
        <item x="2171"/>
        <item x="2608"/>
        <item x="2100"/>
        <item x="45"/>
        <item x="1476"/>
        <item x="81"/>
        <item x="2451"/>
        <item x="1661"/>
        <item x="193"/>
        <item x="300"/>
        <item x="2415"/>
        <item x="1076"/>
        <item x="2146"/>
        <item x="607"/>
        <item x="696"/>
        <item x="1593"/>
        <item x="2468"/>
        <item x="171"/>
        <item x="1680"/>
        <item x="2459"/>
        <item x="881"/>
        <item x="2928"/>
        <item x="1283"/>
        <item x="103"/>
        <item x="1492"/>
        <item x="2626"/>
        <item x="285"/>
        <item x="1771"/>
        <item x="1117"/>
        <item x="1838"/>
        <item x="1256"/>
        <item x="2649"/>
        <item x="1296"/>
        <item x="2079"/>
        <item x="21"/>
        <item x="268"/>
        <item x="1401"/>
        <item x="1292"/>
        <item x="1716"/>
        <item x="518"/>
        <item x="2870"/>
        <item x="1244"/>
        <item x="1391"/>
        <item x="431"/>
        <item x="941"/>
        <item x="1941"/>
        <item x="133"/>
        <item x="1264"/>
        <item x="1388"/>
        <item x="385"/>
        <item x="1573"/>
        <item x="1542"/>
        <item x="1196"/>
        <item x="140"/>
        <item x="774"/>
        <item x="1873"/>
        <item x="146"/>
        <item x="2889"/>
        <item x="874"/>
        <item x="2727"/>
        <item x="650"/>
        <item x="1355"/>
        <item x="737"/>
        <item x="588"/>
        <item x="2033"/>
        <item x="1017"/>
        <item x="2135"/>
        <item x="2065"/>
        <item x="1907"/>
        <item x="1935"/>
        <item x="2638"/>
        <item x="2562"/>
        <item x="142"/>
        <item x="426"/>
        <item x="980"/>
        <item x="244"/>
        <item x="1882"/>
        <item x="521"/>
        <item x="1620"/>
        <item x="2698"/>
        <item x="2212"/>
        <item x="296"/>
        <item x="1258"/>
        <item x="2790"/>
        <item x="2915"/>
        <item x="100"/>
        <item x="2893"/>
        <item x="671"/>
        <item x="1800"/>
        <item x="1841"/>
        <item x="1506"/>
        <item x="2326"/>
        <item x="806"/>
        <item x="860"/>
        <item x="1721"/>
        <item x="211"/>
        <item x="282"/>
        <item x="1077"/>
        <item x="2464"/>
        <item x="2563"/>
        <item x="50"/>
        <item x="143"/>
        <item x="1529"/>
        <item x="2526"/>
        <item x="2134"/>
        <item x="1317"/>
        <item x="264"/>
        <item x="239"/>
        <item x="1312"/>
        <item x="616"/>
        <item x="1508"/>
        <item x="1596"/>
        <item x="2595"/>
        <item x="2062"/>
        <item x="76"/>
        <item x="1972"/>
        <item x="207"/>
        <item x="2339"/>
        <item x="783"/>
        <item x="1644"/>
        <item x="1419"/>
        <item x="683"/>
        <item x="1939"/>
        <item x="2580"/>
        <item x="2358"/>
        <item x="35"/>
        <item x="1991"/>
        <item x="2225"/>
        <item x="283"/>
        <item x="2361"/>
        <item x="1999"/>
        <item x="1074"/>
        <item x="1413"/>
        <item x="805"/>
        <item x="1783"/>
        <item x="2057"/>
        <item x="2450"/>
        <item x="1501"/>
        <item x="506"/>
        <item x="1095"/>
        <item x="2811"/>
        <item x="2287"/>
        <item x="2816"/>
        <item x="2628"/>
        <item x="26"/>
        <item x="1089"/>
        <item x="757"/>
        <item x="1789"/>
        <item x="1970"/>
        <item x="1097"/>
        <item x="1143"/>
        <item x="583"/>
        <item x="2839"/>
        <item x="460"/>
        <item x="888"/>
        <item x="2822"/>
        <item x="2529"/>
        <item x="1731"/>
        <item x="149"/>
        <item x="1973"/>
        <item x="1020"/>
        <item x="362"/>
        <item x="973"/>
        <item x="2256"/>
        <item x="2219"/>
        <item x="2168"/>
        <item x="2890"/>
        <item x="517"/>
        <item x="2211"/>
        <item x="2165"/>
        <item x="166"/>
        <item x="1576"/>
        <item x="2283"/>
        <item x="1278"/>
        <item x="147"/>
        <item x="2467"/>
        <item x="1988"/>
        <item x="1956"/>
        <item x="2540"/>
        <item x="2860"/>
        <item x="2241"/>
        <item x="799"/>
        <item x="265"/>
        <item x="2759"/>
        <item x="413"/>
        <item x="2269"/>
        <item x="719"/>
        <item x="2414"/>
        <item x="40"/>
        <item x="1103"/>
        <item x="1667"/>
        <item x="1260"/>
        <item x="1185"/>
        <item x="2478"/>
        <item x="754"/>
        <item x="2113"/>
        <item x="2513"/>
        <item x="2616"/>
        <item x="1630"/>
        <item x="1795"/>
        <item x="2619"/>
        <item x="916"/>
        <item x="417"/>
        <item x="661"/>
        <item x="735"/>
        <item x="1535"/>
        <item x="957"/>
        <item x="2495"/>
        <item x="948"/>
        <item x="174"/>
        <item x="2725"/>
        <item x="1622"/>
        <item x="983"/>
        <item x="585"/>
        <item x="2496"/>
        <item x="1366"/>
        <item x="2895"/>
        <item x="728"/>
        <item x="2037"/>
        <item x="307"/>
        <item x="1845"/>
        <item x="430"/>
        <item x="1438"/>
        <item x="2554"/>
        <item x="2416"/>
        <item x="2123"/>
        <item x="2118"/>
        <item x="2408"/>
        <item x="1165"/>
        <item x="1127"/>
        <item x="2011"/>
        <item x="1226"/>
        <item x="487"/>
        <item x="1977"/>
        <item x="1140"/>
        <item x="1814"/>
        <item x="1345"/>
        <item x="1663"/>
        <item x="1727"/>
        <item x="1657"/>
        <item x="1191"/>
        <item x="2413"/>
        <item x="1749"/>
        <item x="1826"/>
        <item x="601"/>
        <item x="2063"/>
        <item x="204"/>
        <item x="818"/>
        <item x="1093"/>
        <item x="1936"/>
        <item x="2894"/>
        <item x="2155"/>
        <item x="144"/>
        <item x="2306"/>
        <item x="2926"/>
        <item x="23"/>
        <item x="582"/>
        <item x="1308"/>
        <item x="996"/>
        <item x="1703"/>
        <item x="1288"/>
        <item x="2186"/>
        <item x="2898"/>
        <item x="1019"/>
        <item x="220"/>
        <item x="104"/>
        <item x="1229"/>
        <item x="2048"/>
        <item x="2207"/>
        <item x="1640"/>
        <item x="2574"/>
        <item x="2231"/>
        <item x="1951"/>
        <item x="2557"/>
        <item x="216"/>
        <item x="493"/>
        <item x="1079"/>
        <item x="2314"/>
        <item x="141"/>
        <item x="584"/>
        <item x="1273"/>
        <item x="1940"/>
        <item x="1049"/>
        <item x="1322"/>
        <item x="1774"/>
        <item x="1363"/>
        <item x="2553"/>
        <item x="1530"/>
        <item x="1922"/>
        <item x="2769"/>
        <item x="2579"/>
        <item x="2109"/>
        <item x="2624"/>
        <item x="1641"/>
        <item x="2852"/>
        <item x="1301"/>
        <item x="2924"/>
        <item x="43"/>
        <item x="759"/>
        <item x="842"/>
        <item x="2830"/>
        <item x="605"/>
        <item x="894"/>
        <item x="2858"/>
        <item x="970"/>
        <item x="2658"/>
        <item x="2351"/>
        <item x="705"/>
        <item x="624"/>
        <item x="2183"/>
        <item x="337"/>
        <item x="510"/>
        <item x="1862"/>
        <item x="1455"/>
        <item x="2345"/>
        <item x="495"/>
        <item x="2678"/>
        <item x="2403"/>
        <item x="1460"/>
        <item x="1158"/>
        <item x="915"/>
        <item x="1791"/>
        <item x="89"/>
        <item x="2081"/>
        <item x="2448"/>
        <item x="1946"/>
        <item x="2694"/>
        <item x="402"/>
        <item x="490"/>
        <item x="2809"/>
        <item x="1397"/>
        <item x="2215"/>
        <item x="366"/>
        <item x="75"/>
        <item x="937"/>
        <item x="2216"/>
        <item x="1494"/>
        <item x="1997"/>
        <item x="1761"/>
        <item x="122"/>
        <item x="1323"/>
        <item x="14"/>
        <item x="2578"/>
        <item x="241"/>
        <item x="1039"/>
        <item x="797"/>
        <item x="863"/>
        <item x="536"/>
        <item x="334"/>
        <item x="2823"/>
        <item x="1762"/>
        <item x="2463"/>
        <item x="2474"/>
        <item x="2199"/>
        <item x="465"/>
        <item x="1557"/>
        <item x="2157"/>
        <item x="1746"/>
        <item x="2872"/>
        <item x="579"/>
        <item x="499"/>
        <item x="1126"/>
        <item x="1232"/>
        <item x="1320"/>
        <item x="280"/>
        <item x="1102"/>
        <item x="1544"/>
        <item x="2788"/>
        <item x="4"/>
        <item x="1898"/>
        <item x="2258"/>
        <item x="1563"/>
        <item x="2679"/>
        <item x="1082"/>
        <item x="1220"/>
        <item x="645"/>
        <item x="1403"/>
        <item x="2112"/>
        <item x="372"/>
        <item x="1340"/>
        <item x="188"/>
        <item x="1464"/>
        <item x="2293"/>
        <item x="2281"/>
        <item x="1280"/>
        <item x="1134"/>
        <item x="1984"/>
        <item x="10"/>
        <item x="2525"/>
        <item x="2615"/>
        <item x="2863"/>
        <item x="730"/>
        <item x="185"/>
        <item x="423"/>
        <item x="1361"/>
        <item x="2627"/>
        <item x="2060"/>
        <item x="781"/>
        <item x="902"/>
        <item x="1676"/>
        <item x="2388"/>
        <item x="335"/>
        <item x="116"/>
        <item x="756"/>
        <item x="2227"/>
        <item x="1303"/>
        <item x="1656"/>
        <item x="625"/>
        <item x="22"/>
        <item x="773"/>
        <item x="355"/>
        <item x="2654"/>
        <item x="2238"/>
        <item x="956"/>
        <item x="1646"/>
        <item x="662"/>
        <item x="2056"/>
        <item x="1850"/>
        <item x="2681"/>
        <item x="1311"/>
        <item x="1949"/>
        <item x="2570"/>
        <item x="2718"/>
        <item x="1164"/>
        <item x="615"/>
        <item x="1927"/>
        <item x="1965"/>
        <item x="86"/>
        <item x="2668"/>
        <item x="1958"/>
        <item x="655"/>
        <item x="1884"/>
        <item x="2714"/>
        <item x="302"/>
        <item x="2084"/>
        <item x="478"/>
        <item x="1149"/>
        <item x="2320"/>
        <item x="327"/>
        <item x="2307"/>
        <item x="591"/>
        <item x="1307"/>
        <item x="1868"/>
        <item x="105"/>
        <item x="1087"/>
        <item x="2914"/>
        <item x="1979"/>
        <item x="2794"/>
        <item x="565"/>
        <item x="1633"/>
        <item x="2758"/>
        <item x="434"/>
        <item x="124"/>
        <item x="1892"/>
        <item x="1539"/>
        <item x="1006"/>
        <item x="345"/>
        <item x="2883"/>
        <item x="1552"/>
        <item x="660"/>
        <item x="2153"/>
        <item x="2167"/>
        <item x="1780"/>
        <item x="1489"/>
        <item x="469"/>
        <item x="1383"/>
        <item x="1048"/>
        <item x="1454"/>
        <item x="1493"/>
        <item x="1330"/>
        <item x="2786"/>
        <item x="504"/>
        <item x="553"/>
        <item x="749"/>
        <item x="1172"/>
        <item x="2206"/>
        <item x="1034"/>
        <item x="1993"/>
        <item x="844"/>
        <item x="2417"/>
        <item x="1013"/>
        <item x="1155"/>
        <item x="1147"/>
        <item x="1291"/>
        <item x="2385"/>
        <item x="740"/>
        <item x="112"/>
        <item x="1897"/>
        <item x="2568"/>
        <item x="0"/>
        <item x="303"/>
        <item x="826"/>
        <item x="2550"/>
        <item x="1431"/>
        <item x="1192"/>
        <item x="2501"/>
        <item x="1199"/>
        <item x="2400"/>
        <item x="1614"/>
        <item x="1178"/>
        <item x="1813"/>
        <item x="1466"/>
        <item x="2904"/>
        <item x="1212"/>
        <item x="1066"/>
        <item x="2343"/>
        <item x="60"/>
        <item x="1208"/>
        <item x="2614"/>
        <item x="2288"/>
        <item x="1012"/>
        <item x="1777"/>
        <item x="1337"/>
        <item x="634"/>
        <item x="2517"/>
        <item x="2825"/>
        <item x="1325"/>
        <item x="2775"/>
        <item x="1555"/>
        <item x="2208"/>
        <item x="2064"/>
        <item x="2605"/>
        <item x="1314"/>
        <item x="2029"/>
        <item x="486"/>
        <item x="93"/>
        <item x="1222"/>
        <item x="444"/>
        <item x="2312"/>
        <item x="936"/>
        <item x="1521"/>
        <item x="1843"/>
        <item x="2871"/>
        <item x="1888"/>
        <item x="2909"/>
        <item x="2558"/>
        <item x="669"/>
        <item x="2874"/>
        <item x="769"/>
        <item x="1497"/>
        <item x="2218"/>
        <item x="726"/>
        <item x="2585"/>
        <item x="1639"/>
        <item x="383"/>
        <item x="78"/>
        <item x="492"/>
        <item x="2617"/>
        <item x="1820"/>
        <item x="162"/>
        <item x="1931"/>
        <item x="1467"/>
        <item x="1597"/>
        <item x="1353"/>
        <item x="1989"/>
        <item x="197"/>
        <item x="1964"/>
        <item x="2027"/>
        <item x="1247"/>
        <item x="433"/>
        <item x="2765"/>
        <item x="1000"/>
        <item x="1214"/>
        <item x="1763"/>
        <item x="1612"/>
        <item x="576"/>
        <item x="1671"/>
        <item x="215"/>
        <item x="2392"/>
        <item x="1249"/>
        <item x="208"/>
        <item x="1902"/>
        <item x="999"/>
        <item x="2847"/>
        <item x="2840"/>
        <item x="2040"/>
        <item x="2154"/>
        <item x="2163"/>
        <item x="1750"/>
        <item x="107"/>
        <item x="1429"/>
        <item x="37"/>
        <item x="1659"/>
        <item x="1021"/>
        <item x="2598"/>
        <item x="379"/>
        <item x="1832"/>
        <item x="1372"/>
        <item x="1932"/>
        <item x="2706"/>
        <item x="2804"/>
        <item x="2592"/>
        <item x="1842"/>
        <item x="412"/>
        <item x="249"/>
        <item x="2556"/>
        <item x="670"/>
        <item x="2166"/>
        <item x="977"/>
        <item x="1029"/>
        <item x="1675"/>
        <item x="2194"/>
        <item x="2298"/>
        <item x="1554"/>
        <item x="2634"/>
        <item x="301"/>
        <item x="1531"/>
        <item x="1741"/>
        <item x="2322"/>
        <item x="550"/>
        <item x="2132"/>
        <item x="833"/>
        <item x="1224"/>
        <item x="2456"/>
        <item x="229"/>
        <item x="1207"/>
        <item x="1829"/>
        <item x="1710"/>
        <item x="1240"/>
        <item x="561"/>
        <item x="1773"/>
        <item x="456"/>
        <item x="1594"/>
        <item x="1030"/>
        <item x="267"/>
        <item x="2623"/>
        <item x="401"/>
        <item x="599"/>
        <item x="111"/>
        <item x="1866"/>
        <item x="1416"/>
        <item x="2504"/>
        <item x="2352"/>
        <item x="2252"/>
        <item x="566"/>
        <item x="2344"/>
        <item x="1705"/>
        <item x="1913"/>
        <item x="1846"/>
        <item x="1874"/>
        <item x="2651"/>
        <item x="2481"/>
        <item x="2503"/>
        <item x="2422"/>
        <item x="403"/>
        <item x="2399"/>
        <item x="2039"/>
        <item x="2509"/>
        <item x="969"/>
        <item x="1908"/>
        <item x="1683"/>
        <item x="1963"/>
        <item x="1241"/>
        <item x="1912"/>
        <item x="252"/>
        <item x="1799"/>
        <item x="1546"/>
        <item x="97"/>
        <item x="1504"/>
        <item x="1010"/>
        <item x="1113"/>
        <item x="530"/>
        <item x="1271"/>
        <item x="920"/>
        <item x="1033"/>
        <item x="357"/>
        <item x="2046"/>
        <item x="911"/>
        <item x="2175"/>
        <item x="864"/>
        <item x="1470"/>
        <item x="2090"/>
        <item x="1909"/>
        <item x="2707"/>
        <item x="1617"/>
        <item x="570"/>
        <item x="84"/>
        <item x="639"/>
        <item x="928"/>
        <item x="1998"/>
        <item x="2222"/>
        <item x="2075"/>
        <item x="406"/>
        <item x="1380"/>
        <item x="942"/>
        <item x="1263"/>
        <item x="813"/>
        <item x="397"/>
        <item x="2187"/>
        <item x="287"/>
        <item x="687"/>
        <item x="2767"/>
        <item x="2633"/>
        <item x="2498"/>
        <item x="951"/>
        <item x="1420"/>
        <item x="1672"/>
        <item x="429"/>
        <item x="269"/>
        <item x="2275"/>
        <item x="1725"/>
        <item x="1760"/>
        <item x="1803"/>
        <item x="2405"/>
        <item x="64"/>
        <item x="106"/>
        <item x="2741"/>
        <item x="1976"/>
        <item x="150"/>
        <item x="139"/>
        <item x="1181"/>
        <item x="196"/>
        <item x="563"/>
        <item x="9"/>
        <item x="1408"/>
        <item x="856"/>
        <item x="2299"/>
        <item x="1645"/>
        <item x="56"/>
        <item x="1860"/>
        <item x="1524"/>
        <item x="542"/>
        <item x="1282"/>
        <item x="926"/>
        <item x="2817"/>
        <item x="46"/>
        <item x="1569"/>
        <item x="538"/>
        <item x="53"/>
        <item x="99"/>
        <item x="16"/>
        <item x="2907"/>
        <item x="1674"/>
        <item x="2094"/>
        <item x="2751"/>
        <item x="1067"/>
        <item x="2192"/>
        <item x="2828"/>
        <item x="1295"/>
        <item x="1189"/>
        <item x="963"/>
        <item x="1960"/>
        <item x="733"/>
        <item x="44"/>
        <item x="2612"/>
        <item x="2670"/>
        <item x="2016"/>
        <item x="841"/>
        <item x="2453"/>
        <item x="1900"/>
        <item x="1848"/>
        <item x="90"/>
        <item x="2237"/>
        <item x="2539"/>
        <item x="2083"/>
        <item x="975"/>
        <item x="2906"/>
        <item x="1818"/>
        <item x="2559"/>
        <item x="2327"/>
        <item x="1651"/>
        <item x="524"/>
        <item x="1098"/>
        <item x="2795"/>
        <item x="900"/>
        <item x="1437"/>
        <item x="461"/>
        <item x="27"/>
        <item x="192"/>
        <item x="2857"/>
        <item x="2704"/>
        <item x="672"/>
        <item x="1042"/>
        <item x="1712"/>
        <item x="1183"/>
        <item x="804"/>
        <item x="1009"/>
        <item x="2095"/>
        <item x="1319"/>
        <item x="2246"/>
        <item x="390"/>
        <item x="135"/>
        <item x="608"/>
        <item x="2815"/>
        <item x="2066"/>
        <item x="554"/>
        <item x="2523"/>
        <item x="2138"/>
        <item x="2052"/>
        <item x="1190"/>
        <item x="1889"/>
        <item x="2129"/>
        <item x="113"/>
        <item x="960"/>
        <item x="178"/>
        <item x="718"/>
        <item x="2919"/>
        <item x="290"/>
        <item x="2835"/>
        <item x="1458"/>
        <item x="180"/>
        <item x="1274"/>
        <item x="2566"/>
        <item x="2778"/>
        <item x="981"/>
        <item x="997"/>
        <item x="2452"/>
        <item x="2929"/>
        <item x="838"/>
        <item x="1123"/>
        <item x="1715"/>
        <item x="1658"/>
        <item x="2127"/>
        <item x="1857"/>
        <item x="2719"/>
        <item x="2508"/>
        <item x="439"/>
        <item x="2505"/>
        <item x="1819"/>
        <item x="484"/>
        <item x="438"/>
        <item x="131"/>
        <item x="1921"/>
        <item x="1702"/>
        <item x="1266"/>
        <item x="1759"/>
        <item x="1028"/>
        <item x="1469"/>
        <item x="1756"/>
        <item x="195"/>
        <item x="2519"/>
        <item x="2346"/>
        <item x="984"/>
        <item x="1022"/>
        <item x="24"/>
        <item x="678"/>
        <item x="278"/>
        <item x="1689"/>
        <item x="182"/>
        <item x="1830"/>
        <item x="128"/>
        <item x="1349"/>
        <item x="2311"/>
        <item x="646"/>
        <item x="1468"/>
        <item x="742"/>
        <item x="289"/>
        <item x="2302"/>
        <item x="903"/>
        <item x="2756"/>
        <item x="2885"/>
        <item x="98"/>
        <item x="835"/>
        <item x="1681"/>
        <item x="266"/>
        <item x="170"/>
        <item x="68"/>
        <item x="1315"/>
        <item x="706"/>
        <item x="2292"/>
        <item x="752"/>
        <item x="2331"/>
        <item x="1631"/>
        <item x="2602"/>
        <item x="700"/>
        <item x="2156"/>
        <item x="1815"/>
        <item x="1015"/>
        <item x="1891"/>
        <item x="2263"/>
        <item x="1498"/>
        <item x="2067"/>
        <item x="138"/>
        <item x="1698"/>
        <item x="2879"/>
        <item x="291"/>
        <item x="298"/>
        <item x="1579"/>
        <item x="2457"/>
        <item x="2301"/>
        <item x="1346"/>
        <item x="809"/>
        <item x="2105"/>
        <item x="1327"/>
        <item x="425"/>
        <item x="522"/>
        <item x="1519"/>
        <item x="1863"/>
        <item x="2017"/>
        <item x="1851"/>
        <item x="1255"/>
        <item x="2363"/>
        <item x="581"/>
        <item x="1792"/>
        <item x="1390"/>
        <item x="2738"/>
        <item x="2038"/>
        <item x="2013"/>
        <item x="2511"/>
        <item x="361"/>
        <item x="1011"/>
        <item x="2221"/>
        <item x="2272"/>
        <item x="386"/>
        <item x="1720"/>
        <item x="794"/>
        <item x="2837"/>
        <item x="1152"/>
        <item x="321"/>
        <item x="1708"/>
        <item x="729"/>
        <item x="66"/>
        <item x="1700"/>
        <item x="685"/>
        <item x="59"/>
        <item x="707"/>
        <item x="2629"/>
        <item x="2317"/>
        <item x="2303"/>
        <item x="358"/>
        <item x="8"/>
        <item x="2648"/>
        <item x="2705"/>
        <item x="1120"/>
        <item x="233"/>
        <item x="1131"/>
        <item x="1195"/>
        <item x="693"/>
        <item x="1499"/>
        <item x="2569"/>
        <item x="2285"/>
        <item x="2309"/>
        <item x="393"/>
        <item x="1404"/>
        <item x="1592"/>
        <item x="2108"/>
        <item x="2049"/>
        <item x="2181"/>
        <item x="2708"/>
        <item x="405"/>
        <item x="1753"/>
        <item x="1642"/>
        <item x="2176"/>
        <item x="1852"/>
        <item x="2036"/>
        <item x="1302"/>
        <item x="2382"/>
        <item x="2061"/>
        <item x="1354"/>
        <item x="2201"/>
        <item x="508"/>
        <item x="2087"/>
        <item x="2665"/>
        <item x="411"/>
        <item x="666"/>
        <item x="1886"/>
        <item x="1714"/>
        <item x="2334"/>
        <item x="1003"/>
        <item x="77"/>
        <item x="866"/>
        <item x="2462"/>
        <item x="436"/>
        <item x="1129"/>
        <item x="714"/>
        <item x="2357"/>
        <item x="1200"/>
        <item x="1981"/>
        <item x="2673"/>
        <item x="1540"/>
        <item x="1962"/>
        <item x="1502"/>
        <item x="1139"/>
        <item x="501"/>
        <item x="1660"/>
        <item x="1589"/>
        <item x="974"/>
        <item x="2085"/>
        <item x="875"/>
        <item x="887"/>
        <item x="1903"/>
        <item x="2560"/>
        <item x="1604"/>
        <item x="2143"/>
        <item x="73"/>
        <item x="1839"/>
        <item x="332"/>
        <item x="2047"/>
        <item x="87"/>
        <item x="891"/>
        <item x="228"/>
        <item x="1385"/>
        <item x="1371"/>
        <item x="897"/>
        <item x="812"/>
        <item x="2423"/>
        <item x="851"/>
        <item x="736"/>
        <item x="1637"/>
        <item x="341"/>
        <item x="375"/>
        <item x="748"/>
        <item x="1849"/>
        <item x="2091"/>
        <item x="2359"/>
        <item x="820"/>
        <item x="768"/>
        <item x="470"/>
        <item x="2776"/>
        <item x="807"/>
        <item x="675"/>
        <item x="2631"/>
        <item x="2912"/>
        <item x="29"/>
        <item x="682"/>
        <item x="802"/>
        <item x="7"/>
        <item x="1572"/>
        <item x="2761"/>
        <item x="2004"/>
        <item x="1588"/>
        <item x="1696"/>
        <item x="2862"/>
        <item x="2916"/>
        <item x="2796"/>
        <item x="1684"/>
        <item x="965"/>
        <item x="382"/>
        <item x="2587"/>
        <item x="2483"/>
        <item x="2522"/>
        <item x="709"/>
        <item x="2683"/>
        <item x="2622"/>
        <item x="474"/>
        <item x="391"/>
        <item x="2687"/>
        <item x="181"/>
        <item x="2319"/>
        <item x="1357"/>
        <item x="262"/>
        <item x="908"/>
        <item x="1664"/>
        <item x="1691"/>
        <item x="476"/>
        <item x="547"/>
        <item x="2330"/>
        <item x="1339"/>
        <item x="2591"/>
        <item x="1234"/>
        <item x="310"/>
        <item x="217"/>
        <item x="2866"/>
        <item x="1673"/>
        <item x="2618"/>
        <item x="680"/>
        <item x="2812"/>
        <item x="1037"/>
        <item x="913"/>
        <item x="593"/>
        <item x="1154"/>
        <item x="2732"/>
        <item x="1166"/>
        <item x="1537"/>
        <item x="819"/>
        <item x="2472"/>
        <item x="2777"/>
        <item x="2733"/>
        <item x="2859"/>
        <item x="1966"/>
        <item x="1338"/>
        <item x="604"/>
        <item x="1138"/>
        <item x="2521"/>
        <item x="2833"/>
        <item x="879"/>
        <item x="786"/>
        <item x="2644"/>
        <item x="847"/>
        <item x="2594"/>
        <item x="1053"/>
        <item x="1541"/>
        <item x="1318"/>
        <item x="5"/>
        <item x="979"/>
        <item x="1585"/>
        <item x="2034"/>
        <item x="1678"/>
        <item x="1643"/>
        <item x="2180"/>
        <item x="1060"/>
        <item x="1336"/>
        <item x="1334"/>
        <item x="2438"/>
        <item x="338"/>
        <item x="2076"/>
        <item x="1396"/>
        <item x="388"/>
        <item x="408"/>
        <item x="2198"/>
        <item x="2774"/>
        <item x="1755"/>
        <item x="1804"/>
        <item x="459"/>
        <item x="1743"/>
        <item x="1679"/>
        <item x="462"/>
        <item x="1473"/>
        <item x="509"/>
        <item x="1930"/>
        <item x="2295"/>
        <item x="83"/>
        <item x="1216"/>
        <item x="2684"/>
        <item x="2736"/>
        <item x="746"/>
        <item x="203"/>
        <item x="2120"/>
        <item x="2139"/>
        <item x="2485"/>
        <item x="2102"/>
        <item x="1281"/>
        <item x="2838"/>
        <item x="96"/>
        <item x="1075"/>
        <item x="245"/>
        <item x="1485"/>
        <item x="2754"/>
        <item x="1110"/>
        <item x="210"/>
        <item x="491"/>
        <item x="441"/>
        <item x="1788"/>
        <item x="627"/>
        <item x="2567"/>
        <item x="720"/>
        <item x="343"/>
        <item x="55"/>
        <item x="410"/>
        <item x="1148"/>
        <item x="464"/>
        <item x="732"/>
        <item x="1625"/>
        <item x="2473"/>
        <item x="126"/>
        <item x="2784"/>
        <item x="2713"/>
        <item x="472"/>
        <item x="2642"/>
        <item x="1407"/>
        <item x="684"/>
        <item x="1532"/>
        <item x="1901"/>
        <item x="1412"/>
        <item x="2922"/>
        <item x="2310"/>
        <item x="2892"/>
        <item x="156"/>
        <item x="2771"/>
        <item x="2304"/>
        <item x="2530"/>
        <item x="1943"/>
        <item x="2242"/>
        <item x="643"/>
        <item x="1393"/>
        <item x="225"/>
        <item x="2395"/>
        <item x="2172"/>
        <item x="2542"/>
        <item x="1812"/>
        <item x="1061"/>
        <item x="2607"/>
        <item x="221"/>
        <item x="1747"/>
        <item x="2401"/>
        <item x="1767"/>
        <item x="1018"/>
        <item x="1386"/>
        <item x="1369"/>
        <item x="1381"/>
        <item x="743"/>
        <item x="2412"/>
        <item x="2593"/>
        <item x="592"/>
        <item x="1879"/>
        <item x="895"/>
        <item x="2760"/>
        <item x="1635"/>
        <item x="1277"/>
        <item x="2752"/>
        <item x="2042"/>
        <item x="1831"/>
        <item x="1024"/>
        <item x="1772"/>
        <item x="2000"/>
        <item x="2125"/>
        <item x="724"/>
        <item x="312"/>
        <item x="2232"/>
        <item x="2691"/>
        <item x="815"/>
        <item x="213"/>
        <item x="2625"/>
        <item x="218"/>
        <item x="2106"/>
        <item x="1808"/>
        <item x="422"/>
        <item x="760"/>
        <item x="2471"/>
        <item x="771"/>
        <item x="2659"/>
        <item x="679"/>
        <item x="1528"/>
        <item x="1452"/>
        <item x="2080"/>
        <item x="72"/>
        <item x="2565"/>
        <item x="651"/>
        <item x="793"/>
        <item x="20"/>
        <item x="1500"/>
        <item x="1835"/>
        <item x="2855"/>
        <item x="2213"/>
        <item x="702"/>
        <item x="2276"/>
        <item x="1309"/>
        <item x="2696"/>
        <item x="2609"/>
        <item x="418"/>
        <item x="2429"/>
        <item x="548"/>
        <item x="1045"/>
        <item x="560"/>
        <item x="2353"/>
        <item x="2236"/>
        <item x="808"/>
        <item x="1096"/>
        <item x="871"/>
        <item x="612"/>
        <item x="1276"/>
        <item x="657"/>
        <item x="1810"/>
        <item x="2396"/>
        <item x="1289"/>
        <item x="101"/>
        <item x="1230"/>
        <item x="551"/>
        <item x="2674"/>
        <item x="1844"/>
        <item x="251"/>
        <item x="1333"/>
        <item x="823"/>
        <item x="694"/>
        <item x="873"/>
        <item x="2350"/>
        <item x="2695"/>
        <item x="373"/>
        <item x="451"/>
        <item x="2470"/>
        <item x="2"/>
        <item x="1580"/>
        <item x="2119"/>
        <item x="1023"/>
        <item x="697"/>
        <item x="1496"/>
        <item x="2142"/>
        <item x="1824"/>
        <item x="764"/>
        <item x="1058"/>
        <item x="1570"/>
        <item x="862"/>
        <item x="1967"/>
        <item x="901"/>
        <item x="191"/>
        <item x="2264"/>
        <item x="2308"/>
        <item x="67"/>
        <item x="540"/>
        <item x="463"/>
        <item x="950"/>
        <item x="1341"/>
        <item x="31"/>
        <item x="2524"/>
        <item x="1527"/>
        <item x="1108"/>
        <item x="348"/>
        <item x="1910"/>
        <item x="1443"/>
        <item x="976"/>
        <item x="1598"/>
        <item x="2490"/>
        <item x="531"/>
        <item x="1699"/>
        <item x="1430"/>
        <item x="1259"/>
        <item x="2356"/>
        <item x="2152"/>
        <item x="2861"/>
        <item x="991"/>
        <item x="1513"/>
        <item x="1890"/>
        <item x="1112"/>
        <item x="271"/>
        <item x="2899"/>
        <item x="1358"/>
        <item x="12"/>
        <item x="2128"/>
        <item x="2389"/>
        <item x="452"/>
        <item x="110"/>
        <item x="424"/>
        <item x="886"/>
        <item x="1298"/>
        <item x="1051"/>
        <item x="1853"/>
        <item x="2920"/>
        <item x="360"/>
        <item x="231"/>
        <item x="2573"/>
        <item x="306"/>
        <item x="1690"/>
        <item x="2023"/>
        <item x="770"/>
        <item x="1718"/>
        <item x="2813"/>
        <item x="2001"/>
        <item x="2257"/>
        <item x="2660"/>
        <item x="1769"/>
        <item x="2905"/>
        <item x="2873"/>
        <item x="2749"/>
        <item x="2178"/>
        <item x="2321"/>
        <item x="1488"/>
        <item x="2425"/>
        <item x="2116"/>
        <item x="750"/>
        <item x="234"/>
        <item x="1693"/>
        <item x="1550"/>
        <item x="698"/>
        <item x="409"/>
        <item x="2224"/>
        <item x="2019"/>
        <item x="1937"/>
        <item x="1478"/>
        <item x="2024"/>
        <item x="635"/>
        <item x="526"/>
        <item x="647"/>
        <item x="2475"/>
        <item x="2480"/>
        <item x="1063"/>
        <item x="935"/>
        <item x="2702"/>
        <item x="2204"/>
        <item x="1566"/>
        <item x="1536"/>
        <item x="2913"/>
        <item x="57"/>
        <item x="610"/>
        <item x="982"/>
        <item x="407"/>
        <item x="1740"/>
        <item x="331"/>
        <item x="1410"/>
        <item x="2372"/>
        <item x="1735"/>
        <item x="17"/>
        <item x="1161"/>
        <item x="253"/>
        <item x="619"/>
        <item x="2541"/>
        <item x="2427"/>
        <item x="1197"/>
        <item x="2371"/>
        <item x="577"/>
        <item x="2611"/>
        <item x="2824"/>
        <item x="1052"/>
        <item x="574"/>
        <item x="1248"/>
        <item x="1104"/>
        <item x="447"/>
        <item x="2711"/>
        <item x="690"/>
        <item x="739"/>
        <item x="2546"/>
        <item x="1952"/>
        <item x="1823"/>
        <item x="1477"/>
        <item x="2636"/>
        <item x="227"/>
        <item x="1086"/>
        <item x="614"/>
        <item x="1057"/>
        <item x="2115"/>
        <item x="256"/>
        <item x="342"/>
        <item x="359"/>
        <item x="2003"/>
        <item x="617"/>
        <item x="1914"/>
        <item x="1146"/>
        <item x="2597"/>
        <item x="2620"/>
        <item x="2259"/>
        <item x="2323"/>
        <item x="1925"/>
        <item x="814"/>
        <item x="1847"/>
        <item x="573"/>
        <item x="689"/>
        <item x="1858"/>
        <item x="2656"/>
        <item x="1682"/>
        <item x="502"/>
        <item x="537"/>
        <item x="2783"/>
        <item x="2500"/>
        <item x="1035"/>
        <item x="235"/>
        <item x="641"/>
        <item x="2688"/>
        <item x="32"/>
        <item x="2746"/>
        <item x="1906"/>
        <item x="2884"/>
        <item x="1607"/>
        <item x="1787"/>
        <item x="520"/>
        <item x="2773"/>
        <item x="1558"/>
        <item x="206"/>
        <item x="1619"/>
        <item x="1603"/>
        <item x="1257"/>
        <item x="2431"/>
        <item x="94"/>
        <item x="2296"/>
        <item x="2555"/>
        <item x="2025"/>
        <item x="523"/>
        <item x="2098"/>
        <item x="2020"/>
        <item x="790"/>
        <item x="2092"/>
        <item x="1634"/>
        <item x="263"/>
        <item x="1290"/>
        <item x="1265"/>
        <item x="323"/>
        <item x="931"/>
        <item x="1821"/>
        <item x="396"/>
        <item x="2290"/>
        <item x="659"/>
        <item x="2690"/>
        <item x="1475"/>
        <item x="1394"/>
        <item x="1790"/>
        <item x="261"/>
        <item x="630"/>
        <item x="1654"/>
        <item x="2850"/>
        <item x="940"/>
        <item x="853"/>
        <item x="259"/>
        <item x="2576"/>
        <item x="2488"/>
        <item x="1881"/>
        <item x="946"/>
        <item x="1872"/>
        <item x="1806"/>
        <item x="1484"/>
        <item x="953"/>
        <item x="2923"/>
        <item x="485"/>
        <item x="1954"/>
        <item x="1491"/>
        <item x="48"/>
        <item x="1602"/>
        <item x="1124"/>
        <item x="1157"/>
        <item x="494"/>
        <item x="766"/>
        <item x="932"/>
        <item x="1465"/>
        <item x="2535"/>
        <item x="47"/>
        <item x="194"/>
        <item x="668"/>
        <item x="1144"/>
        <item x="564"/>
        <item x="800"/>
        <item x="664"/>
        <item x="1461"/>
        <item x="2210"/>
        <item x="275"/>
        <item x="1099"/>
        <item x="34"/>
        <item x="2055"/>
        <item x="1837"/>
        <item x="1487"/>
        <item x="1482"/>
        <item x="2099"/>
        <item x="1709"/>
        <item x="1905"/>
        <item x="2507"/>
        <item x="134"/>
        <item x="2677"/>
        <item x="1662"/>
        <item x="1726"/>
        <item x="1520"/>
        <item x="543"/>
        <item x="286"/>
        <item x="962"/>
        <item x="51"/>
        <item x="2647"/>
        <item x="1456"/>
        <item x="1088"/>
        <item x="943"/>
        <item x="2675"/>
        <item x="2721"/>
        <item x="586"/>
        <item x="2376"/>
        <item x="1221"/>
        <item x="821"/>
        <item x="621"/>
        <item x="471"/>
        <item x="1043"/>
        <item x="1133"/>
        <item x="2544"/>
        <item x="1605"/>
        <item x="1782"/>
        <item x="2482"/>
        <item x="2661"/>
        <item x="2663"/>
        <item x="2821"/>
        <item x="1254"/>
        <item x="1261"/>
        <item x="1704"/>
        <item x="1869"/>
        <item x="2606"/>
        <item x="2006"/>
        <item x="1621"/>
        <item x="1968"/>
        <item x="2366"/>
        <item x="2131"/>
        <item x="512"/>
        <item x="532"/>
        <item x="2111"/>
        <item x="2174"/>
        <item x="528"/>
        <item x="1629"/>
        <item x="1893"/>
        <item x="1379"/>
        <item x="2442"/>
        <item x="1047"/>
        <item x="3"/>
        <item x="2316"/>
        <item x="2239"/>
        <item x="1457"/>
        <item x="1275"/>
        <item x="1436"/>
        <item x="2424"/>
        <item x="1300"/>
        <item x="477"/>
        <item x="1184"/>
        <item x="1918"/>
        <item x="1507"/>
        <item x="2260"/>
        <item x="995"/>
        <item x="2278"/>
        <item x="1728"/>
        <item x="1299"/>
        <item x="2757"/>
        <item x="479"/>
        <item x="1306"/>
        <item x="353"/>
        <item x="1078"/>
        <item x="2581"/>
        <item x="183"/>
        <item x="744"/>
        <item x="780"/>
        <item x="349"/>
        <item x="1875"/>
        <item x="187"/>
        <item x="1797"/>
        <item x="1162"/>
        <item x="2228"/>
        <item x="1694"/>
        <item x="273"/>
        <item x="1409"/>
        <item x="127"/>
        <item x="2466"/>
        <item x="801"/>
        <item x="858"/>
        <item x="2489"/>
        <item x="223"/>
        <item x="1794"/>
        <item x="1649"/>
        <item x="255"/>
        <item x="2664"/>
        <item x="1170"/>
        <item x="276"/>
        <item x="795"/>
        <item x="272"/>
        <item x="2846"/>
        <item x="1770"/>
        <item x="132"/>
        <item x="237"/>
        <item x="1364"/>
        <item x="889"/>
        <item x="2682"/>
        <item x="2849"/>
        <item x="1737"/>
        <item x="404"/>
        <item x="525"/>
        <item x="1036"/>
        <item x="2054"/>
        <item x="2145"/>
        <item x="2494"/>
        <item x="1545"/>
        <item x="699"/>
        <item x="33"/>
        <item x="1534"/>
        <item x="2527"/>
        <item x="1987"/>
        <item x="868"/>
        <item x="384"/>
        <item x="817"/>
        <item x="2613"/>
        <item x="1583"/>
        <item x="137"/>
        <item x="1313"/>
        <item x="1392"/>
        <item x="2770"/>
        <item x="1182"/>
        <item x="546"/>
        <item x="1395"/>
        <item x="846"/>
        <item x="2722"/>
        <item x="374"/>
        <item x="2639"/>
        <item x="778"/>
        <item x="2177"/>
        <item x="1176"/>
        <item x="677"/>
        <item x="1027"/>
        <item x="2640"/>
        <item x="2443"/>
        <item x="1926"/>
        <item t="default"/>
      </items>
    </pivotField>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axis="axisRow" showAll="0">
      <items count="7">
        <item x="5"/>
        <item x="4"/>
        <item x="1"/>
        <item x="3"/>
        <item x="0"/>
        <item x="2"/>
        <item t="default"/>
      </items>
    </pivotField>
    <pivotField showAll="0"/>
    <pivotField showAll="0">
      <items count="4">
        <item x="1"/>
        <item x="0"/>
        <item x="2"/>
        <item t="default"/>
      </items>
    </pivotField>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i>
    <i>
      <x v="1"/>
    </i>
    <i>
      <x v="2"/>
    </i>
    <i>
      <x v="3"/>
    </i>
    <i>
      <x v="4"/>
    </i>
    <i>
      <x v="5"/>
    </i>
    <i t="grand">
      <x/>
    </i>
  </rowItems>
  <colItems count="1">
    <i/>
  </colItems>
  <dataFields count="1">
    <dataField name="Count of Patient_ID" fld="0" subtotal="count" baseField="11"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1C4114-25DC-425A-A272-C1493EC3462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3:H21" firstHeaderRow="1" firstDataRow="1" firstDataCol="1"/>
  <pivotFields count="15">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8">
        <item x="0"/>
        <item x="1"/>
        <item x="2"/>
        <item x="3"/>
        <item x="4"/>
        <item x="5"/>
        <item x="6"/>
        <item t="default"/>
      </items>
    </pivotField>
    <pivotField showAll="0">
      <items count="3">
        <item x="1"/>
        <item x="0"/>
        <item t="default"/>
      </items>
    </pivotField>
    <pivotField axis="axisRow" showAll="0" sortType="ascending">
      <items count="8">
        <item x="0"/>
        <item x="2"/>
        <item x="3"/>
        <item x="4"/>
        <item x="6"/>
        <item x="1"/>
        <item x="5"/>
        <item t="default"/>
      </items>
      <autoSortScope>
        <pivotArea dataOnly="0" outline="0" fieldPosition="0">
          <references count="1">
            <reference field="4294967294" count="1" selected="0">
              <x v="0"/>
            </reference>
          </references>
        </pivotArea>
      </autoSortScope>
    </pivotField>
    <pivotField showAll="0">
      <items count="2931">
        <item x="1083"/>
        <item x="152"/>
        <item x="28"/>
        <item x="1002"/>
        <item x="2652"/>
        <item x="939"/>
        <item x="2286"/>
        <item x="442"/>
        <item x="339"/>
        <item x="713"/>
        <item x="292"/>
        <item x="368"/>
        <item x="387"/>
        <item x="1442"/>
        <item x="2836"/>
        <item x="136"/>
        <item x="676"/>
        <item x="2407"/>
        <item x="453"/>
        <item x="1978"/>
        <item x="822"/>
        <item x="1031"/>
        <item x="2179"/>
        <item x="633"/>
        <item x="2486"/>
        <item x="892"/>
        <item x="511"/>
        <item x="1561"/>
        <item x="2818"/>
        <item x="2782"/>
        <item x="367"/>
        <item x="322"/>
        <item x="305"/>
        <item x="209"/>
        <item x="398"/>
        <item x="1187"/>
        <item x="2021"/>
        <item x="2755"/>
        <item x="1982"/>
        <item x="2766"/>
        <item x="2370"/>
        <item x="1758"/>
        <item x="1581"/>
        <item x="727"/>
        <item x="549"/>
        <item x="158"/>
        <item x="1062"/>
        <item x="1471"/>
        <item x="1270"/>
        <item x="2841"/>
        <item x="1717"/>
        <item x="2667"/>
        <item x="2657"/>
        <item x="1125"/>
        <item x="2159"/>
        <item x="968"/>
        <item x="2810"/>
        <item x="2737"/>
        <item x="2549"/>
        <item x="2404"/>
        <item x="1130"/>
        <item x="333"/>
        <item x="1626"/>
        <item x="927"/>
        <item x="947"/>
        <item x="1486"/>
        <item x="2918"/>
        <item x="855"/>
        <item x="857"/>
        <item x="1514"/>
        <item x="1778"/>
        <item x="2868"/>
        <item x="199"/>
        <item x="351"/>
        <item x="2002"/>
        <item x="488"/>
        <item x="1624"/>
        <item x="328"/>
        <item x="1343"/>
        <item x="515"/>
        <item x="2072"/>
        <item x="1250"/>
        <item x="1928"/>
        <item x="890"/>
        <item x="2834"/>
        <item x="622"/>
        <item x="2381"/>
        <item x="2492"/>
        <item x="845"/>
        <item x="2645"/>
        <item x="2734"/>
        <item x="2545"/>
        <item x="2074"/>
        <item x="347"/>
        <item x="2200"/>
        <item x="2355"/>
        <item x="377"/>
        <item x="2078"/>
        <item x="1188"/>
        <item x="1809"/>
        <item x="2418"/>
        <item x="1370"/>
        <item x="38"/>
        <item x="2780"/>
        <item x="1980"/>
        <item x="2534"/>
        <item x="1180"/>
        <item x="1286"/>
        <item x="2313"/>
        <item x="1786"/>
        <item x="1623"/>
        <item x="2797"/>
        <item x="2268"/>
        <item x="922"/>
        <item x="270"/>
        <item x="952"/>
        <item x="1115"/>
        <item x="30"/>
        <item x="177"/>
        <item x="2599"/>
        <item x="829"/>
        <item x="848"/>
        <item x="2173"/>
        <item x="2584"/>
        <item x="2185"/>
        <item x="1775"/>
        <item x="1648"/>
        <item x="2305"/>
        <item x="2271"/>
        <item x="88"/>
        <item x="205"/>
        <item x="755"/>
        <item x="184"/>
        <item x="475"/>
        <item x="2126"/>
        <item x="1590"/>
        <item x="2030"/>
        <item x="2151"/>
        <item x="1375"/>
        <item x="246"/>
        <item x="1223"/>
        <item x="753"/>
        <item x="2247"/>
        <item x="898"/>
        <item x="1916"/>
        <item x="2117"/>
        <item x="1168"/>
        <item x="1081"/>
        <item x="1411"/>
        <item x="1574"/>
        <item x="1109"/>
        <item x="2251"/>
        <item x="148"/>
        <item x="340"/>
        <item x="2641"/>
        <item x="226"/>
        <item x="129"/>
        <item x="157"/>
        <item x="1137"/>
        <item x="558"/>
        <item x="2768"/>
        <item x="831"/>
        <item x="1738"/>
        <item x="61"/>
        <item x="1957"/>
        <item x="1511"/>
        <item x="108"/>
        <item x="2009"/>
        <item x="274"/>
        <item x="164"/>
        <item x="295"/>
        <item x="1798"/>
        <item x="1887"/>
        <item x="930"/>
        <item x="1439"/>
        <item x="2191"/>
        <item x="1479"/>
        <item x="1175"/>
        <item x="1551"/>
        <item x="2921"/>
        <item x="1877"/>
        <item x="41"/>
        <item x="1032"/>
        <item x="400"/>
        <item x="2461"/>
        <item x="2621"/>
        <item x="2369"/>
        <item x="1368"/>
        <item x="2340"/>
        <item x="1432"/>
        <item x="2409"/>
        <item x="2548"/>
        <item x="784"/>
        <item x="1236"/>
        <item x="151"/>
        <item x="1562"/>
        <item x="544"/>
        <item x="738"/>
        <item x="489"/>
        <item x="1816"/>
        <item x="2223"/>
        <item x="2582"/>
        <item x="2378"/>
        <item x="870"/>
        <item x="2881"/>
        <item x="2197"/>
        <item x="998"/>
        <item x="578"/>
        <item x="1885"/>
        <item x="189"/>
        <item x="1719"/>
        <item x="2012"/>
        <item x="2014"/>
        <item x="155"/>
        <item x="1793"/>
        <item x="356"/>
        <item x="2604"/>
        <item x="1510"/>
        <item x="1084"/>
        <item x="1344"/>
        <item x="1575"/>
        <item x="145"/>
        <item x="2848"/>
        <item x="2387"/>
        <item x="1599"/>
        <item x="1203"/>
        <item x="1505"/>
        <item x="1016"/>
        <item x="2886"/>
        <item x="2820"/>
        <item x="1360"/>
        <item x="2220"/>
        <item x="1321"/>
        <item x="297"/>
        <item x="85"/>
        <item x="354"/>
        <item x="2390"/>
        <item x="1304"/>
        <item x="320"/>
        <item x="311"/>
        <item x="2045"/>
        <item x="2158"/>
        <item x="1151"/>
        <item x="1441"/>
        <item x="2005"/>
        <item x="2432"/>
        <item x="1559"/>
        <item x="500"/>
        <item x="884"/>
        <item x="2347"/>
        <item x="843"/>
        <item x="2410"/>
        <item x="458"/>
        <item x="1014"/>
        <item x="2328"/>
        <item x="2077"/>
        <item x="1194"/>
        <item x="186"/>
        <item x="1174"/>
        <item x="2008"/>
        <item x="2603"/>
        <item x="716"/>
        <item x="1711"/>
        <item x="603"/>
        <item x="1352"/>
        <item x="1267"/>
        <item x="656"/>
        <item x="1776"/>
        <item x="2666"/>
        <item x="2348"/>
        <item x="1754"/>
        <item x="1765"/>
        <item x="1427"/>
        <item x="667"/>
        <item x="636"/>
        <item x="1447"/>
        <item x="663"/>
        <item x="2441"/>
        <item x="2445"/>
        <item x="966"/>
        <item x="1331"/>
        <item x="1632"/>
        <item x="2284"/>
        <item x="2454"/>
        <item x="1142"/>
        <item x="810"/>
        <item x="1"/>
        <item x="637"/>
        <item x="2484"/>
        <item x="1734"/>
        <item x="1335"/>
        <item x="878"/>
        <item x="602"/>
        <item x="2700"/>
        <item x="1450"/>
        <item x="2497"/>
        <item x="1316"/>
        <item x="899"/>
        <item x="1305"/>
        <item x="609"/>
        <item x="2170"/>
        <item x="2583"/>
        <item x="1509"/>
        <item x="1073"/>
        <item x="1444"/>
        <item x="595"/>
        <item x="1525"/>
        <item x="1533"/>
        <item x="559"/>
        <item x="849"/>
        <item x="654"/>
        <item x="395"/>
        <item x="2716"/>
        <item x="792"/>
        <item x="1440"/>
        <item x="1106"/>
        <item x="2226"/>
        <item x="776"/>
        <item x="1373"/>
        <item x="2209"/>
        <item x="2349"/>
        <item x="2026"/>
        <item x="2022"/>
        <item x="638"/>
        <item x="535"/>
        <item x="240"/>
        <item x="2162"/>
        <item x="2274"/>
        <item x="115"/>
        <item x="167"/>
        <item x="2059"/>
        <item x="414"/>
        <item x="503"/>
        <item x="2590"/>
        <item x="2869"/>
        <item x="2827"/>
        <item x="2571"/>
        <item x="1225"/>
        <item x="2908"/>
        <item x="2217"/>
        <item x="1215"/>
        <item x="2018"/>
        <item x="1038"/>
        <item x="767"/>
        <item x="201"/>
        <item x="877"/>
        <item x="2144"/>
        <item x="1802"/>
        <item x="284"/>
        <item x="1948"/>
        <item x="642"/>
        <item x="758"/>
        <item x="1600"/>
        <item x="859"/>
        <item x="1628"/>
        <item x="232"/>
        <item x="2689"/>
        <item x="2779"/>
        <item x="785"/>
        <item x="1490"/>
        <item x="2807"/>
        <item x="449"/>
        <item x="1739"/>
        <item x="2856"/>
        <item x="2798"/>
        <item x="1332"/>
        <item x="2669"/>
        <item x="1950"/>
        <item x="876"/>
        <item x="2294"/>
        <item x="2799"/>
        <item x="1503"/>
        <item x="1268"/>
        <item x="198"/>
        <item x="1548"/>
        <item x="2449"/>
        <item x="580"/>
        <item x="2203"/>
        <item x="309"/>
        <item x="880"/>
        <item x="118"/>
        <item x="2900"/>
        <item x="2793"/>
        <item x="329"/>
        <item x="2122"/>
        <item x="839"/>
        <item x="1836"/>
        <item x="721"/>
        <item x="2384"/>
        <item x="1876"/>
        <item x="1219"/>
        <item x="2586"/>
        <item x="761"/>
        <item x="1752"/>
        <item x="330"/>
        <item x="435"/>
        <item x="318"/>
        <item x="1417"/>
        <item x="2589"/>
        <item x="787"/>
        <item x="552"/>
        <item x="481"/>
        <item x="1953"/>
        <item x="49"/>
        <item x="2476"/>
        <item x="1974"/>
        <item x="715"/>
        <item x="921"/>
        <item x="1515"/>
        <item x="1861"/>
        <item x="1272"/>
        <item x="934"/>
        <item x="1587"/>
        <item x="2148"/>
        <item x="2506"/>
        <item x="2364"/>
        <item x="2250"/>
        <item x="2843"/>
        <item x="1218"/>
        <item x="2428"/>
        <item x="125"/>
        <item x="2377"/>
        <item x="1543"/>
        <item x="1606"/>
        <item x="2764"/>
        <item x="2844"/>
        <item x="2632"/>
        <item x="1713"/>
        <item x="2715"/>
        <item x="336"/>
        <item x="2851"/>
        <item x="317"/>
        <item x="938"/>
        <item x="1204"/>
        <item x="2015"/>
        <item x="1938"/>
        <item x="1005"/>
        <item x="2188"/>
        <item x="513"/>
        <item x="534"/>
        <item x="1669"/>
        <item x="1426"/>
        <item x="1179"/>
        <item x="2380"/>
        <item x="389"/>
        <item x="1827"/>
        <item x="120"/>
        <item x="2600"/>
        <item x="1685"/>
        <item x="2289"/>
        <item x="1156"/>
        <item x="1934"/>
        <item x="154"/>
        <item x="2070"/>
        <item x="1118"/>
        <item x="1986"/>
        <item x="2531"/>
        <item x="1119"/>
        <item x="2853"/>
        <item x="1994"/>
        <item x="2499"/>
        <item x="629"/>
        <item x="2891"/>
        <item x="1402"/>
        <item x="36"/>
        <item x="419"/>
        <item x="1243"/>
        <item x="2753"/>
        <item x="1781"/>
        <item x="2832"/>
        <item x="869"/>
        <item x="2354"/>
        <item x="824"/>
        <item x="648"/>
        <item x="130"/>
        <item x="1007"/>
        <item x="955"/>
        <item x="2184"/>
        <item x="454"/>
        <item x="2149"/>
        <item x="160"/>
        <item x="74"/>
        <item x="912"/>
        <item x="2031"/>
        <item x="2124"/>
        <item x="69"/>
        <item x="1228"/>
        <item x="2333"/>
        <item x="168"/>
        <item x="2917"/>
        <item x="1854"/>
        <item x="1730"/>
        <item x="2662"/>
        <item x="2653"/>
        <item x="2169"/>
        <item x="1578"/>
        <item x="42"/>
        <item x="2502"/>
        <item x="834"/>
        <item x="2880"/>
        <item x="1297"/>
        <item x="370"/>
        <item x="2282"/>
        <item x="1365"/>
        <item x="2572"/>
        <item x="2291"/>
        <item x="2073"/>
        <item x="2701"/>
        <item x="772"/>
        <item x="1616"/>
        <item x="6"/>
        <item x="1202"/>
        <item x="1310"/>
        <item x="1001"/>
        <item x="803"/>
        <item x="1990"/>
        <item x="2262"/>
        <item x="2297"/>
        <item x="1688"/>
        <item x="2699"/>
        <item x="1865"/>
        <item x="1611"/>
        <item x="2202"/>
        <item x="2437"/>
        <item x="734"/>
        <item x="1495"/>
        <item x="791"/>
        <item x="1128"/>
        <item x="545"/>
        <item x="2136"/>
        <item x="2189"/>
        <item x="2043"/>
        <item x="1235"/>
        <item x="1025"/>
        <item x="541"/>
        <item x="933"/>
        <item x="945"/>
        <item x="1961"/>
        <item x="1090"/>
        <item x="243"/>
        <item x="437"/>
        <item x="2205"/>
        <item x="2161"/>
        <item x="2088"/>
        <item x="2487"/>
        <item x="1757"/>
        <item x="2133"/>
        <item x="1538"/>
        <item x="2182"/>
        <item x="1729"/>
        <item x="1764"/>
        <item x="555"/>
        <item x="71"/>
        <item x="242"/>
        <item x="468"/>
        <item x="415"/>
        <item x="1050"/>
        <item x="631"/>
        <item x="2103"/>
        <item x="907"/>
        <item x="711"/>
        <item x="1595"/>
        <item x="2680"/>
        <item x="2781"/>
        <item x="2717"/>
        <item x="658"/>
        <item x="2430"/>
        <item x="527"/>
        <item x="1983"/>
        <item x="2337"/>
        <item x="2712"/>
        <item x="1285"/>
        <item x="2805"/>
        <item x="1919"/>
        <item x="751"/>
        <item x="2373"/>
        <item x="2686"/>
        <item x="1692"/>
        <item x="1398"/>
        <item x="589"/>
        <item x="2195"/>
        <item x="681"/>
        <item x="369"/>
        <item x="13"/>
        <item x="2041"/>
        <item x="1811"/>
        <item x="281"/>
        <item x="2190"/>
        <item x="466"/>
        <item x="918"/>
        <item x="1359"/>
        <item x="455"/>
        <item x="378"/>
        <item x="2789"/>
        <item x="2411"/>
        <item x="1173"/>
        <item x="214"/>
        <item x="440"/>
        <item x="989"/>
        <item x="58"/>
        <item x="18"/>
        <item x="2901"/>
        <item x="1435"/>
        <item x="432"/>
        <item x="628"/>
        <item x="2927"/>
        <item x="1462"/>
        <item x="2564"/>
        <item x="1153"/>
        <item x="1609"/>
        <item x="2630"/>
        <item x="2458"/>
        <item x="1828"/>
        <item x="325"/>
        <item x="1565"/>
        <item x="745"/>
        <item x="2710"/>
        <item x="2068"/>
        <item x="2243"/>
        <item x="1564"/>
        <item x="1100"/>
        <item x="836"/>
        <item x="1210"/>
        <item x="1136"/>
        <item x="1805"/>
        <item x="473"/>
        <item x="674"/>
        <item x="2338"/>
        <item x="2672"/>
        <item x="971"/>
        <item x="1092"/>
        <item x="2279"/>
        <item x="2341"/>
        <item x="65"/>
        <item x="254"/>
        <item x="365"/>
        <item x="1324"/>
        <item x="482"/>
        <item x="2536"/>
        <item x="1287"/>
        <item x="173"/>
        <item x="293"/>
        <item x="2032"/>
        <item x="1801"/>
        <item x="2069"/>
        <item x="2193"/>
        <item x="2391"/>
        <item x="1650"/>
        <item x="1242"/>
        <item x="2520"/>
        <item x="1209"/>
        <item x="789"/>
        <item x="1448"/>
        <item x="1246"/>
        <item x="2785"/>
        <item x="394"/>
        <item x="427"/>
        <item x="1211"/>
        <item x="2887"/>
        <item x="1923"/>
        <item x="1091"/>
        <item x="2398"/>
        <item x="2325"/>
        <item x="2515"/>
        <item x="762"/>
        <item x="529"/>
        <item x="2028"/>
        <item x="25"/>
        <item x="2465"/>
        <item x="1618"/>
        <item x="572"/>
        <item x="613"/>
        <item x="1481"/>
        <item x="2426"/>
        <item x="2575"/>
        <item x="416"/>
        <item x="1041"/>
        <item x="1883"/>
        <item x="723"/>
        <item x="448"/>
        <item x="994"/>
        <item x="909"/>
        <item x="1896"/>
        <item x="2130"/>
        <item x="2071"/>
        <item x="1251"/>
        <item x="1483"/>
        <item x="319"/>
        <item x="1518"/>
        <item x="2164"/>
        <item x="1825"/>
        <item x="1399"/>
        <item x="15"/>
        <item x="114"/>
        <item x="2245"/>
        <item x="80"/>
        <item x="2479"/>
        <item x="1547"/>
        <item x="2808"/>
        <item x="2266"/>
        <item x="1059"/>
        <item x="2802"/>
        <item x="623"/>
        <item x="919"/>
        <item x="2383"/>
        <item x="1601"/>
        <item x="2141"/>
        <item x="2318"/>
        <item x="1418"/>
        <item x="1422"/>
        <item x="985"/>
        <item x="865"/>
        <item x="1859"/>
        <item x="2234"/>
        <item x="1911"/>
        <item x="2110"/>
        <item x="2693"/>
        <item x="649"/>
        <item x="1376"/>
        <item x="483"/>
        <item x="2650"/>
        <item x="611"/>
        <item x="2421"/>
        <item x="2882"/>
        <item x="1206"/>
        <item x="1065"/>
        <item x="163"/>
        <item x="2121"/>
        <item x="2800"/>
        <item x="2723"/>
        <item x="2877"/>
        <item x="986"/>
        <item x="316"/>
        <item x="691"/>
        <item x="169"/>
        <item x="2731"/>
        <item x="2051"/>
        <item x="1817"/>
        <item x="2538"/>
        <item x="2801"/>
        <item x="594"/>
        <item x="1610"/>
        <item x="788"/>
        <item x="825"/>
        <item x="816"/>
        <item x="1766"/>
        <item x="1933"/>
        <item x="1252"/>
        <item x="896"/>
        <item x="2763"/>
        <item x="620"/>
        <item x="590"/>
        <item x="2806"/>
        <item x="52"/>
        <item x="861"/>
        <item x="2551"/>
        <item x="2516"/>
        <item x="371"/>
        <item x="202"/>
        <item x="2643"/>
        <item x="381"/>
        <item x="571"/>
        <item x="2685"/>
        <item x="2878"/>
        <item x="1553"/>
        <item x="1245"/>
        <item x="1706"/>
        <item x="102"/>
        <item x="837"/>
        <item x="2365"/>
        <item x="731"/>
        <item x="1526"/>
        <item x="2248"/>
        <item x="914"/>
        <item x="344"/>
        <item x="1141"/>
        <item x="1653"/>
        <item x="1329"/>
        <item x="1613"/>
        <item x="1768"/>
        <item x="978"/>
        <item x="600"/>
        <item x="1670"/>
        <item x="2447"/>
        <item x="224"/>
        <item x="363"/>
        <item x="95"/>
        <item x="2273"/>
        <item x="673"/>
        <item x="1695"/>
        <item x="606"/>
        <item x="710"/>
        <item x="1326"/>
        <item x="63"/>
        <item x="1449"/>
        <item x="686"/>
        <item x="828"/>
        <item x="514"/>
        <item x="2267"/>
        <item x="1132"/>
        <item x="2588"/>
        <item x="2537"/>
        <item x="872"/>
        <item x="1955"/>
        <item x="480"/>
        <item x="1382"/>
        <item x="2510"/>
        <item x="954"/>
        <item x="2053"/>
        <item x="893"/>
        <item x="2547"/>
        <item x="539"/>
        <item x="2491"/>
        <item x="2035"/>
        <item x="2362"/>
        <item x="2140"/>
        <item x="172"/>
        <item x="1652"/>
        <item x="1959"/>
        <item x="153"/>
        <item x="1107"/>
        <item x="2896"/>
        <item x="904"/>
        <item x="1121"/>
        <item x="2829"/>
        <item x="1701"/>
        <item x="2697"/>
        <item x="2876"/>
        <item x="1822"/>
        <item x="79"/>
        <item x="1342"/>
        <item x="2561"/>
        <item x="2096"/>
        <item x="2444"/>
        <item x="1517"/>
        <item x="2792"/>
        <item x="796"/>
        <item x="988"/>
        <item x="1523"/>
        <item x="2819"/>
        <item x="1549"/>
        <item x="2255"/>
        <item x="2050"/>
        <item x="2814"/>
        <item x="798"/>
        <item x="2845"/>
        <item x="1929"/>
        <item x="346"/>
        <item x="1231"/>
        <item x="1253"/>
        <item x="2114"/>
        <item x="640"/>
        <item x="701"/>
        <item x="1105"/>
        <item x="1944"/>
        <item x="2086"/>
        <item x="238"/>
        <item x="1044"/>
        <item x="2865"/>
        <item x="315"/>
        <item x="1233"/>
        <item x="1744"/>
        <item x="569"/>
        <item x="1213"/>
        <item x="1069"/>
        <item x="992"/>
        <item x="314"/>
        <item x="1040"/>
        <item x="2726"/>
        <item x="1733"/>
        <item x="587"/>
        <item x="779"/>
        <item x="906"/>
        <item x="176"/>
        <item x="2864"/>
        <item x="91"/>
        <item x="1707"/>
        <item x="1350"/>
        <item x="1116"/>
        <item x="1807"/>
        <item x="179"/>
        <item x="1085"/>
        <item x="1833"/>
        <item x="1348"/>
        <item x="1748"/>
        <item x="1591"/>
        <item x="533"/>
        <item x="2543"/>
        <item x="1056"/>
        <item x="712"/>
        <item x="304"/>
        <item x="1655"/>
        <item x="2058"/>
        <item x="2512"/>
        <item x="260"/>
        <item x="392"/>
        <item x="1864"/>
        <item x="1284"/>
        <item x="257"/>
        <item x="2240"/>
        <item x="2397"/>
        <item x="925"/>
        <item x="1445"/>
        <item x="708"/>
        <item x="1856"/>
        <item x="350"/>
        <item x="1647"/>
        <item x="2214"/>
        <item x="1567"/>
        <item x="2610"/>
        <item x="1942"/>
        <item x="2728"/>
        <item x="2336"/>
        <item x="2097"/>
        <item x="2235"/>
        <item x="2601"/>
        <item x="1924"/>
        <item x="2803"/>
        <item x="644"/>
        <item x="1584"/>
        <item x="2730"/>
        <item x="811"/>
        <item x="2160"/>
        <item x="1945"/>
        <item x="1169"/>
        <item x="1227"/>
        <item x="1400"/>
        <item x="1867"/>
        <item x="2368"/>
        <item x="294"/>
        <item x="2750"/>
        <item x="1279"/>
        <item x="1384"/>
        <item x="1072"/>
        <item x="1871"/>
        <item x="2433"/>
        <item x="1723"/>
        <item x="2436"/>
        <item x="2393"/>
        <item x="352"/>
        <item x="165"/>
        <item x="119"/>
        <item x="993"/>
        <item x="2249"/>
        <item x="2739"/>
        <item x="1722"/>
        <item x="450"/>
        <item x="1742"/>
        <item x="2552"/>
        <item x="885"/>
        <item x="1237"/>
        <item x="1732"/>
        <item x="1293"/>
        <item x="990"/>
        <item x="867"/>
        <item x="1150"/>
        <item x="959"/>
        <item x="2010"/>
        <item x="2729"/>
        <item x="1996"/>
        <item x="2888"/>
        <item x="2528"/>
        <item x="175"/>
        <item x="277"/>
        <item x="2089"/>
        <item x="1160"/>
        <item x="1920"/>
        <item x="717"/>
        <item x="2676"/>
        <item x="2147"/>
        <item x="1668"/>
        <item x="1239"/>
        <item x="958"/>
        <item x="2375"/>
        <item x="882"/>
        <item x="1068"/>
        <item x="1971"/>
        <item x="1522"/>
        <item x="109"/>
        <item x="2253"/>
        <item x="1046"/>
        <item x="1975"/>
        <item x="505"/>
        <item x="1080"/>
        <item x="1512"/>
        <item x="1834"/>
        <item x="1405"/>
        <item x="326"/>
        <item x="949"/>
        <item x="2406"/>
        <item x="1163"/>
        <item x="923"/>
        <item x="2910"/>
        <item x="299"/>
        <item x="1415"/>
        <item x="929"/>
        <item x="2254"/>
        <item x="1878"/>
        <item x="2434"/>
        <item x="2265"/>
        <item x="2439"/>
        <item x="324"/>
        <item x="428"/>
        <item x="961"/>
        <item x="467"/>
        <item x="967"/>
        <item x="2386"/>
        <item x="2897"/>
        <item x="1205"/>
        <item x="722"/>
        <item x="2379"/>
        <item x="2518"/>
        <item x="2831"/>
        <item x="850"/>
        <item x="2342"/>
        <item x="1186"/>
        <item x="399"/>
        <item x="2703"/>
        <item x="1796"/>
        <item x="2367"/>
        <item x="498"/>
        <item x="279"/>
        <item x="159"/>
        <item x="1947"/>
        <item x="692"/>
        <item x="1870"/>
        <item x="972"/>
        <item x="1608"/>
        <item x="2007"/>
        <item x="1328"/>
        <item x="443"/>
        <item x="1159"/>
        <item x="1177"/>
        <item x="1425"/>
        <item x="1201"/>
        <item x="2469"/>
        <item x="1362"/>
        <item x="1004"/>
        <item x="2867"/>
        <item x="1686"/>
        <item x="2854"/>
        <item x="1571"/>
        <item x="1880"/>
        <item x="2460"/>
        <item x="2533"/>
        <item x="364"/>
        <item x="121"/>
        <item x="1784"/>
        <item x="1434"/>
        <item x="924"/>
        <item x="219"/>
        <item x="2374"/>
        <item x="2724"/>
        <item x="1446"/>
        <item x="1779"/>
        <item x="1217"/>
        <item x="596"/>
        <item x="1568"/>
        <item x="1917"/>
        <item x="1453"/>
        <item x="2315"/>
        <item x="2233"/>
        <item x="626"/>
        <item x="832"/>
        <item x="665"/>
        <item x="618"/>
        <item x="1855"/>
        <item x="653"/>
        <item x="775"/>
        <item x="507"/>
        <item x="2742"/>
        <item x="1915"/>
        <item x="1008"/>
        <item x="2635"/>
        <item x="2455"/>
        <item x="2744"/>
        <item x="2532"/>
        <item x="2044"/>
        <item x="70"/>
        <item x="2577"/>
        <item x="82"/>
        <item x="2637"/>
        <item x="1111"/>
        <item x="2082"/>
        <item x="1269"/>
        <item x="1122"/>
        <item x="2477"/>
        <item x="704"/>
        <item x="1193"/>
        <item x="747"/>
        <item x="632"/>
        <item x="1516"/>
        <item x="1070"/>
        <item x="1294"/>
        <item x="905"/>
        <item x="2440"/>
        <item x="212"/>
        <item x="1171"/>
        <item x="910"/>
        <item x="2748"/>
        <item x="1423"/>
        <item x="2743"/>
        <item x="1586"/>
        <item x="1424"/>
        <item x="2261"/>
        <item x="1840"/>
        <item x="557"/>
        <item x="1055"/>
        <item x="2230"/>
        <item x="19"/>
        <item x="1167"/>
        <item x="1627"/>
        <item x="1992"/>
        <item x="964"/>
        <item x="1421"/>
        <item x="1054"/>
        <item x="2842"/>
        <item x="917"/>
        <item x="827"/>
        <item x="2787"/>
        <item x="1378"/>
        <item x="161"/>
        <item x="695"/>
        <item x="568"/>
        <item x="2107"/>
        <item x="2335"/>
        <item x="830"/>
        <item x="1463"/>
        <item x="11"/>
        <item x="2762"/>
        <item x="190"/>
        <item x="1895"/>
        <item x="1198"/>
        <item x="1238"/>
        <item x="2826"/>
        <item x="2446"/>
        <item x="2911"/>
        <item x="1969"/>
        <item x="457"/>
        <item x="765"/>
        <item x="497"/>
        <item x="2772"/>
        <item x="2332"/>
        <item x="575"/>
        <item x="92"/>
        <item x="2745"/>
        <item x="1374"/>
        <item x="123"/>
        <item x="777"/>
        <item x="1697"/>
        <item x="1459"/>
        <item x="445"/>
        <item x="2150"/>
        <item x="313"/>
        <item x="2101"/>
        <item x="852"/>
        <item x="1451"/>
        <item x="2903"/>
        <item x="1094"/>
        <item x="2747"/>
        <item x="516"/>
        <item x="1736"/>
        <item x="2692"/>
        <item x="725"/>
        <item x="782"/>
        <item x="1414"/>
        <item x="652"/>
        <item x="2514"/>
        <item x="519"/>
        <item x="567"/>
        <item x="2300"/>
        <item x="688"/>
        <item x="1026"/>
        <item x="883"/>
        <item x="2709"/>
        <item x="200"/>
        <item x="1745"/>
        <item x="2229"/>
        <item x="1582"/>
        <item x="2244"/>
        <item x="1751"/>
        <item x="380"/>
        <item x="1071"/>
        <item x="556"/>
        <item x="236"/>
        <item x="1064"/>
        <item x="1666"/>
        <item x="2137"/>
        <item x="1556"/>
        <item x="117"/>
        <item x="2720"/>
        <item x="1135"/>
        <item x="2394"/>
        <item x="598"/>
        <item x="1687"/>
        <item x="1665"/>
        <item x="2104"/>
        <item x="1724"/>
        <item x="496"/>
        <item x="2093"/>
        <item x="1904"/>
        <item x="2277"/>
        <item x="258"/>
        <item x="854"/>
        <item x="840"/>
        <item x="2791"/>
        <item x="376"/>
        <item x="1474"/>
        <item x="2270"/>
        <item x="1577"/>
        <item x="248"/>
        <item x="2420"/>
        <item x="1480"/>
        <item x="308"/>
        <item x="1677"/>
        <item x="446"/>
        <item x="2402"/>
        <item x="1433"/>
        <item x="2196"/>
        <item x="763"/>
        <item x="1114"/>
        <item x="62"/>
        <item x="1894"/>
        <item x="1387"/>
        <item x="2419"/>
        <item x="1377"/>
        <item x="1615"/>
        <item x="1356"/>
        <item x="987"/>
        <item x="288"/>
        <item x="2596"/>
        <item x="420"/>
        <item x="1389"/>
        <item x="1636"/>
        <item x="2925"/>
        <item x="54"/>
        <item x="2435"/>
        <item x="250"/>
        <item x="1351"/>
        <item x="1560"/>
        <item x="222"/>
        <item x="597"/>
        <item x="2324"/>
        <item x="2655"/>
        <item x="2329"/>
        <item x="1101"/>
        <item x="2280"/>
        <item x="944"/>
        <item x="2875"/>
        <item x="39"/>
        <item x="1899"/>
        <item x="2740"/>
        <item x="247"/>
        <item x="1347"/>
        <item x="421"/>
        <item x="741"/>
        <item x="1145"/>
        <item x="1367"/>
        <item x="703"/>
        <item x="2735"/>
        <item x="230"/>
        <item x="1428"/>
        <item x="1638"/>
        <item x="1995"/>
        <item x="1406"/>
        <item x="562"/>
        <item x="2902"/>
        <item x="2646"/>
        <item x="2671"/>
        <item x="1472"/>
        <item x="1262"/>
        <item x="2360"/>
        <item x="2493"/>
        <item x="1785"/>
        <item x="1985"/>
        <item x="2171"/>
        <item x="2608"/>
        <item x="2100"/>
        <item x="45"/>
        <item x="1476"/>
        <item x="81"/>
        <item x="2451"/>
        <item x="1661"/>
        <item x="193"/>
        <item x="300"/>
        <item x="2415"/>
        <item x="1076"/>
        <item x="2146"/>
        <item x="607"/>
        <item x="696"/>
        <item x="1593"/>
        <item x="2468"/>
        <item x="171"/>
        <item x="1680"/>
        <item x="2459"/>
        <item x="881"/>
        <item x="2928"/>
        <item x="1283"/>
        <item x="103"/>
        <item x="1492"/>
        <item x="2626"/>
        <item x="285"/>
        <item x="1771"/>
        <item x="1117"/>
        <item x="1838"/>
        <item x="1256"/>
        <item x="2649"/>
        <item x="1296"/>
        <item x="2079"/>
        <item x="21"/>
        <item x="268"/>
        <item x="1401"/>
        <item x="1292"/>
        <item x="1716"/>
        <item x="518"/>
        <item x="2870"/>
        <item x="1244"/>
        <item x="1391"/>
        <item x="431"/>
        <item x="941"/>
        <item x="1941"/>
        <item x="133"/>
        <item x="1264"/>
        <item x="1388"/>
        <item x="385"/>
        <item x="1573"/>
        <item x="1542"/>
        <item x="1196"/>
        <item x="140"/>
        <item x="774"/>
        <item x="1873"/>
        <item x="146"/>
        <item x="2889"/>
        <item x="874"/>
        <item x="2727"/>
        <item x="650"/>
        <item x="1355"/>
        <item x="737"/>
        <item x="588"/>
        <item x="2033"/>
        <item x="1017"/>
        <item x="2135"/>
        <item x="2065"/>
        <item x="1907"/>
        <item x="1935"/>
        <item x="2638"/>
        <item x="2562"/>
        <item x="142"/>
        <item x="426"/>
        <item x="980"/>
        <item x="244"/>
        <item x="1882"/>
        <item x="521"/>
        <item x="1620"/>
        <item x="2698"/>
        <item x="2212"/>
        <item x="296"/>
        <item x="1258"/>
        <item x="2790"/>
        <item x="2915"/>
        <item x="100"/>
        <item x="2893"/>
        <item x="671"/>
        <item x="1800"/>
        <item x="1841"/>
        <item x="1506"/>
        <item x="2326"/>
        <item x="806"/>
        <item x="860"/>
        <item x="1721"/>
        <item x="211"/>
        <item x="282"/>
        <item x="1077"/>
        <item x="2464"/>
        <item x="2563"/>
        <item x="50"/>
        <item x="143"/>
        <item x="1529"/>
        <item x="2526"/>
        <item x="2134"/>
        <item x="1317"/>
        <item x="264"/>
        <item x="239"/>
        <item x="1312"/>
        <item x="616"/>
        <item x="1508"/>
        <item x="1596"/>
        <item x="2595"/>
        <item x="2062"/>
        <item x="76"/>
        <item x="1972"/>
        <item x="207"/>
        <item x="2339"/>
        <item x="783"/>
        <item x="1644"/>
        <item x="1419"/>
        <item x="683"/>
        <item x="1939"/>
        <item x="2580"/>
        <item x="2358"/>
        <item x="35"/>
        <item x="1991"/>
        <item x="2225"/>
        <item x="283"/>
        <item x="2361"/>
        <item x="1999"/>
        <item x="1074"/>
        <item x="1413"/>
        <item x="805"/>
        <item x="1783"/>
        <item x="2057"/>
        <item x="2450"/>
        <item x="1501"/>
        <item x="506"/>
        <item x="1095"/>
        <item x="2811"/>
        <item x="2287"/>
        <item x="2816"/>
        <item x="2628"/>
        <item x="26"/>
        <item x="1089"/>
        <item x="757"/>
        <item x="1789"/>
        <item x="1970"/>
        <item x="1097"/>
        <item x="1143"/>
        <item x="583"/>
        <item x="2839"/>
        <item x="460"/>
        <item x="888"/>
        <item x="2822"/>
        <item x="2529"/>
        <item x="1731"/>
        <item x="149"/>
        <item x="1973"/>
        <item x="1020"/>
        <item x="362"/>
        <item x="973"/>
        <item x="2256"/>
        <item x="2219"/>
        <item x="2168"/>
        <item x="2890"/>
        <item x="517"/>
        <item x="2211"/>
        <item x="2165"/>
        <item x="166"/>
        <item x="1576"/>
        <item x="2283"/>
        <item x="1278"/>
        <item x="147"/>
        <item x="2467"/>
        <item x="1988"/>
        <item x="1956"/>
        <item x="2540"/>
        <item x="2860"/>
        <item x="2241"/>
        <item x="799"/>
        <item x="265"/>
        <item x="2759"/>
        <item x="413"/>
        <item x="2269"/>
        <item x="719"/>
        <item x="2414"/>
        <item x="40"/>
        <item x="1103"/>
        <item x="1667"/>
        <item x="1260"/>
        <item x="1185"/>
        <item x="2478"/>
        <item x="754"/>
        <item x="2113"/>
        <item x="2513"/>
        <item x="2616"/>
        <item x="1630"/>
        <item x="1795"/>
        <item x="2619"/>
        <item x="916"/>
        <item x="417"/>
        <item x="661"/>
        <item x="735"/>
        <item x="1535"/>
        <item x="957"/>
        <item x="2495"/>
        <item x="948"/>
        <item x="174"/>
        <item x="2725"/>
        <item x="1622"/>
        <item x="983"/>
        <item x="585"/>
        <item x="2496"/>
        <item x="1366"/>
        <item x="2895"/>
        <item x="728"/>
        <item x="2037"/>
        <item x="307"/>
        <item x="1845"/>
        <item x="430"/>
        <item x="1438"/>
        <item x="2554"/>
        <item x="2416"/>
        <item x="2123"/>
        <item x="2118"/>
        <item x="2408"/>
        <item x="1165"/>
        <item x="1127"/>
        <item x="2011"/>
        <item x="1226"/>
        <item x="487"/>
        <item x="1977"/>
        <item x="1140"/>
        <item x="1814"/>
        <item x="1345"/>
        <item x="1663"/>
        <item x="1727"/>
        <item x="1657"/>
        <item x="1191"/>
        <item x="2413"/>
        <item x="1749"/>
        <item x="1826"/>
        <item x="601"/>
        <item x="2063"/>
        <item x="204"/>
        <item x="818"/>
        <item x="1093"/>
        <item x="1936"/>
        <item x="2894"/>
        <item x="2155"/>
        <item x="144"/>
        <item x="2306"/>
        <item x="2926"/>
        <item x="23"/>
        <item x="582"/>
        <item x="1308"/>
        <item x="996"/>
        <item x="1703"/>
        <item x="1288"/>
        <item x="2186"/>
        <item x="2898"/>
        <item x="1019"/>
        <item x="220"/>
        <item x="104"/>
        <item x="1229"/>
        <item x="2048"/>
        <item x="2207"/>
        <item x="1640"/>
        <item x="2574"/>
        <item x="2231"/>
        <item x="1951"/>
        <item x="2557"/>
        <item x="216"/>
        <item x="493"/>
        <item x="1079"/>
        <item x="2314"/>
        <item x="141"/>
        <item x="584"/>
        <item x="1273"/>
        <item x="1940"/>
        <item x="1049"/>
        <item x="1322"/>
        <item x="1774"/>
        <item x="1363"/>
        <item x="2553"/>
        <item x="1530"/>
        <item x="1922"/>
        <item x="2769"/>
        <item x="2579"/>
        <item x="2109"/>
        <item x="2624"/>
        <item x="1641"/>
        <item x="2852"/>
        <item x="1301"/>
        <item x="2924"/>
        <item x="43"/>
        <item x="759"/>
        <item x="842"/>
        <item x="2830"/>
        <item x="605"/>
        <item x="894"/>
        <item x="2858"/>
        <item x="970"/>
        <item x="2658"/>
        <item x="2351"/>
        <item x="705"/>
        <item x="624"/>
        <item x="2183"/>
        <item x="337"/>
        <item x="510"/>
        <item x="1862"/>
        <item x="1455"/>
        <item x="2345"/>
        <item x="495"/>
        <item x="2678"/>
        <item x="2403"/>
        <item x="1460"/>
        <item x="1158"/>
        <item x="915"/>
        <item x="1791"/>
        <item x="89"/>
        <item x="2081"/>
        <item x="2448"/>
        <item x="1946"/>
        <item x="2694"/>
        <item x="402"/>
        <item x="490"/>
        <item x="2809"/>
        <item x="1397"/>
        <item x="2215"/>
        <item x="366"/>
        <item x="75"/>
        <item x="937"/>
        <item x="2216"/>
        <item x="1494"/>
        <item x="1997"/>
        <item x="1761"/>
        <item x="122"/>
        <item x="1323"/>
        <item x="14"/>
        <item x="2578"/>
        <item x="241"/>
        <item x="1039"/>
        <item x="797"/>
        <item x="863"/>
        <item x="536"/>
        <item x="334"/>
        <item x="2823"/>
        <item x="1762"/>
        <item x="2463"/>
        <item x="2474"/>
        <item x="2199"/>
        <item x="465"/>
        <item x="1557"/>
        <item x="2157"/>
        <item x="1746"/>
        <item x="2872"/>
        <item x="579"/>
        <item x="499"/>
        <item x="1126"/>
        <item x="1232"/>
        <item x="1320"/>
        <item x="280"/>
        <item x="1102"/>
        <item x="1544"/>
        <item x="2788"/>
        <item x="4"/>
        <item x="1898"/>
        <item x="2258"/>
        <item x="1563"/>
        <item x="2679"/>
        <item x="1082"/>
        <item x="1220"/>
        <item x="645"/>
        <item x="1403"/>
        <item x="2112"/>
        <item x="372"/>
        <item x="1340"/>
        <item x="188"/>
        <item x="1464"/>
        <item x="2293"/>
        <item x="2281"/>
        <item x="1280"/>
        <item x="1134"/>
        <item x="1984"/>
        <item x="10"/>
        <item x="2525"/>
        <item x="2615"/>
        <item x="2863"/>
        <item x="730"/>
        <item x="185"/>
        <item x="423"/>
        <item x="1361"/>
        <item x="2627"/>
        <item x="2060"/>
        <item x="781"/>
        <item x="902"/>
        <item x="1676"/>
        <item x="2388"/>
        <item x="335"/>
        <item x="116"/>
        <item x="756"/>
        <item x="2227"/>
        <item x="1303"/>
        <item x="1656"/>
        <item x="625"/>
        <item x="22"/>
        <item x="773"/>
        <item x="355"/>
        <item x="2654"/>
        <item x="2238"/>
        <item x="956"/>
        <item x="1646"/>
        <item x="662"/>
        <item x="2056"/>
        <item x="1850"/>
        <item x="2681"/>
        <item x="1311"/>
        <item x="1949"/>
        <item x="2570"/>
        <item x="2718"/>
        <item x="1164"/>
        <item x="615"/>
        <item x="1927"/>
        <item x="1965"/>
        <item x="86"/>
        <item x="2668"/>
        <item x="1958"/>
        <item x="655"/>
        <item x="1884"/>
        <item x="2714"/>
        <item x="302"/>
        <item x="2084"/>
        <item x="478"/>
        <item x="1149"/>
        <item x="2320"/>
        <item x="327"/>
        <item x="2307"/>
        <item x="591"/>
        <item x="1307"/>
        <item x="1868"/>
        <item x="105"/>
        <item x="1087"/>
        <item x="2914"/>
        <item x="1979"/>
        <item x="2794"/>
        <item x="565"/>
        <item x="1633"/>
        <item x="2758"/>
        <item x="434"/>
        <item x="124"/>
        <item x="1892"/>
        <item x="1539"/>
        <item x="1006"/>
        <item x="345"/>
        <item x="2883"/>
        <item x="1552"/>
        <item x="660"/>
        <item x="2153"/>
        <item x="2167"/>
        <item x="1780"/>
        <item x="1489"/>
        <item x="469"/>
        <item x="1383"/>
        <item x="1048"/>
        <item x="1454"/>
        <item x="1493"/>
        <item x="1330"/>
        <item x="2786"/>
        <item x="504"/>
        <item x="553"/>
        <item x="749"/>
        <item x="1172"/>
        <item x="2206"/>
        <item x="1034"/>
        <item x="1993"/>
        <item x="844"/>
        <item x="2417"/>
        <item x="1013"/>
        <item x="1155"/>
        <item x="1147"/>
        <item x="1291"/>
        <item x="2385"/>
        <item x="740"/>
        <item x="112"/>
        <item x="1897"/>
        <item x="2568"/>
        <item x="0"/>
        <item x="303"/>
        <item x="826"/>
        <item x="2550"/>
        <item x="1431"/>
        <item x="1192"/>
        <item x="2501"/>
        <item x="1199"/>
        <item x="2400"/>
        <item x="1614"/>
        <item x="1178"/>
        <item x="1813"/>
        <item x="1466"/>
        <item x="2904"/>
        <item x="1212"/>
        <item x="1066"/>
        <item x="2343"/>
        <item x="60"/>
        <item x="1208"/>
        <item x="2614"/>
        <item x="2288"/>
        <item x="1012"/>
        <item x="1777"/>
        <item x="1337"/>
        <item x="634"/>
        <item x="2517"/>
        <item x="2825"/>
        <item x="1325"/>
        <item x="2775"/>
        <item x="1555"/>
        <item x="2208"/>
        <item x="2064"/>
        <item x="2605"/>
        <item x="1314"/>
        <item x="2029"/>
        <item x="486"/>
        <item x="93"/>
        <item x="1222"/>
        <item x="444"/>
        <item x="2312"/>
        <item x="936"/>
        <item x="1521"/>
        <item x="1843"/>
        <item x="2871"/>
        <item x="1888"/>
        <item x="2909"/>
        <item x="2558"/>
        <item x="669"/>
        <item x="2874"/>
        <item x="769"/>
        <item x="1497"/>
        <item x="2218"/>
        <item x="726"/>
        <item x="2585"/>
        <item x="1639"/>
        <item x="383"/>
        <item x="78"/>
        <item x="492"/>
        <item x="2617"/>
        <item x="1820"/>
        <item x="162"/>
        <item x="1931"/>
        <item x="1467"/>
        <item x="1597"/>
        <item x="1353"/>
        <item x="1989"/>
        <item x="197"/>
        <item x="1964"/>
        <item x="2027"/>
        <item x="1247"/>
        <item x="433"/>
        <item x="2765"/>
        <item x="1000"/>
        <item x="1214"/>
        <item x="1763"/>
        <item x="1612"/>
        <item x="576"/>
        <item x="1671"/>
        <item x="215"/>
        <item x="2392"/>
        <item x="1249"/>
        <item x="208"/>
        <item x="1902"/>
        <item x="999"/>
        <item x="2847"/>
        <item x="2840"/>
        <item x="2040"/>
        <item x="2154"/>
        <item x="2163"/>
        <item x="1750"/>
        <item x="107"/>
        <item x="1429"/>
        <item x="37"/>
        <item x="1659"/>
        <item x="1021"/>
        <item x="2598"/>
        <item x="379"/>
        <item x="1832"/>
        <item x="1372"/>
        <item x="1932"/>
        <item x="2706"/>
        <item x="2804"/>
        <item x="2592"/>
        <item x="1842"/>
        <item x="412"/>
        <item x="249"/>
        <item x="2556"/>
        <item x="670"/>
        <item x="2166"/>
        <item x="977"/>
        <item x="1029"/>
        <item x="1675"/>
        <item x="2194"/>
        <item x="2298"/>
        <item x="1554"/>
        <item x="2634"/>
        <item x="301"/>
        <item x="1531"/>
        <item x="1741"/>
        <item x="2322"/>
        <item x="550"/>
        <item x="2132"/>
        <item x="833"/>
        <item x="1224"/>
        <item x="2456"/>
        <item x="229"/>
        <item x="1207"/>
        <item x="1829"/>
        <item x="1710"/>
        <item x="1240"/>
        <item x="561"/>
        <item x="1773"/>
        <item x="456"/>
        <item x="1594"/>
        <item x="1030"/>
        <item x="267"/>
        <item x="2623"/>
        <item x="401"/>
        <item x="599"/>
        <item x="111"/>
        <item x="1866"/>
        <item x="1416"/>
        <item x="2504"/>
        <item x="2352"/>
        <item x="2252"/>
        <item x="566"/>
        <item x="2344"/>
        <item x="1705"/>
        <item x="1913"/>
        <item x="1846"/>
        <item x="1874"/>
        <item x="2651"/>
        <item x="2481"/>
        <item x="2503"/>
        <item x="2422"/>
        <item x="403"/>
        <item x="2399"/>
        <item x="2039"/>
        <item x="2509"/>
        <item x="969"/>
        <item x="1908"/>
        <item x="1683"/>
        <item x="1963"/>
        <item x="1241"/>
        <item x="1912"/>
        <item x="252"/>
        <item x="1799"/>
        <item x="1546"/>
        <item x="97"/>
        <item x="1504"/>
        <item x="1010"/>
        <item x="1113"/>
        <item x="530"/>
        <item x="1271"/>
        <item x="920"/>
        <item x="1033"/>
        <item x="357"/>
        <item x="2046"/>
        <item x="911"/>
        <item x="2175"/>
        <item x="864"/>
        <item x="1470"/>
        <item x="2090"/>
        <item x="1909"/>
        <item x="2707"/>
        <item x="1617"/>
        <item x="570"/>
        <item x="84"/>
        <item x="639"/>
        <item x="928"/>
        <item x="1998"/>
        <item x="2222"/>
        <item x="2075"/>
        <item x="406"/>
        <item x="1380"/>
        <item x="942"/>
        <item x="1263"/>
        <item x="813"/>
        <item x="397"/>
        <item x="2187"/>
        <item x="287"/>
        <item x="687"/>
        <item x="2767"/>
        <item x="2633"/>
        <item x="2498"/>
        <item x="951"/>
        <item x="1420"/>
        <item x="1672"/>
        <item x="429"/>
        <item x="269"/>
        <item x="2275"/>
        <item x="1725"/>
        <item x="1760"/>
        <item x="1803"/>
        <item x="2405"/>
        <item x="64"/>
        <item x="106"/>
        <item x="2741"/>
        <item x="1976"/>
        <item x="150"/>
        <item x="139"/>
        <item x="1181"/>
        <item x="196"/>
        <item x="563"/>
        <item x="9"/>
        <item x="1408"/>
        <item x="856"/>
        <item x="2299"/>
        <item x="1645"/>
        <item x="56"/>
        <item x="1860"/>
        <item x="1524"/>
        <item x="542"/>
        <item x="1282"/>
        <item x="926"/>
        <item x="2817"/>
        <item x="46"/>
        <item x="1569"/>
        <item x="538"/>
        <item x="53"/>
        <item x="99"/>
        <item x="16"/>
        <item x="2907"/>
        <item x="1674"/>
        <item x="2094"/>
        <item x="2751"/>
        <item x="1067"/>
        <item x="2192"/>
        <item x="2828"/>
        <item x="1295"/>
        <item x="1189"/>
        <item x="963"/>
        <item x="1960"/>
        <item x="733"/>
        <item x="44"/>
        <item x="2612"/>
        <item x="2670"/>
        <item x="2016"/>
        <item x="841"/>
        <item x="2453"/>
        <item x="1900"/>
        <item x="1848"/>
        <item x="90"/>
        <item x="2237"/>
        <item x="2539"/>
        <item x="2083"/>
        <item x="975"/>
        <item x="2906"/>
        <item x="1818"/>
        <item x="2559"/>
        <item x="2327"/>
        <item x="1651"/>
        <item x="524"/>
        <item x="1098"/>
        <item x="2795"/>
        <item x="900"/>
        <item x="1437"/>
        <item x="461"/>
        <item x="27"/>
        <item x="192"/>
        <item x="2857"/>
        <item x="2704"/>
        <item x="672"/>
        <item x="1042"/>
        <item x="1712"/>
        <item x="1183"/>
        <item x="804"/>
        <item x="1009"/>
        <item x="2095"/>
        <item x="1319"/>
        <item x="2246"/>
        <item x="390"/>
        <item x="135"/>
        <item x="608"/>
        <item x="2815"/>
        <item x="2066"/>
        <item x="554"/>
        <item x="2523"/>
        <item x="2138"/>
        <item x="2052"/>
        <item x="1190"/>
        <item x="1889"/>
        <item x="2129"/>
        <item x="113"/>
        <item x="960"/>
        <item x="178"/>
        <item x="718"/>
        <item x="2919"/>
        <item x="290"/>
        <item x="2835"/>
        <item x="1458"/>
        <item x="180"/>
        <item x="1274"/>
        <item x="2566"/>
        <item x="2778"/>
        <item x="981"/>
        <item x="997"/>
        <item x="2452"/>
        <item x="2929"/>
        <item x="838"/>
        <item x="1123"/>
        <item x="1715"/>
        <item x="1658"/>
        <item x="2127"/>
        <item x="1857"/>
        <item x="2719"/>
        <item x="2508"/>
        <item x="439"/>
        <item x="2505"/>
        <item x="1819"/>
        <item x="484"/>
        <item x="438"/>
        <item x="131"/>
        <item x="1921"/>
        <item x="1702"/>
        <item x="1266"/>
        <item x="1759"/>
        <item x="1028"/>
        <item x="1469"/>
        <item x="1756"/>
        <item x="195"/>
        <item x="2519"/>
        <item x="2346"/>
        <item x="984"/>
        <item x="1022"/>
        <item x="24"/>
        <item x="678"/>
        <item x="278"/>
        <item x="1689"/>
        <item x="182"/>
        <item x="1830"/>
        <item x="128"/>
        <item x="1349"/>
        <item x="2311"/>
        <item x="646"/>
        <item x="1468"/>
        <item x="742"/>
        <item x="289"/>
        <item x="2302"/>
        <item x="903"/>
        <item x="2756"/>
        <item x="2885"/>
        <item x="98"/>
        <item x="835"/>
        <item x="1681"/>
        <item x="266"/>
        <item x="170"/>
        <item x="68"/>
        <item x="1315"/>
        <item x="706"/>
        <item x="2292"/>
        <item x="752"/>
        <item x="2331"/>
        <item x="1631"/>
        <item x="2602"/>
        <item x="700"/>
        <item x="2156"/>
        <item x="1815"/>
        <item x="1015"/>
        <item x="1891"/>
        <item x="2263"/>
        <item x="1498"/>
        <item x="2067"/>
        <item x="138"/>
        <item x="1698"/>
        <item x="2879"/>
        <item x="291"/>
        <item x="298"/>
        <item x="1579"/>
        <item x="2457"/>
        <item x="2301"/>
        <item x="1346"/>
        <item x="809"/>
        <item x="2105"/>
        <item x="1327"/>
        <item x="425"/>
        <item x="522"/>
        <item x="1519"/>
        <item x="1863"/>
        <item x="2017"/>
        <item x="1851"/>
        <item x="1255"/>
        <item x="2363"/>
        <item x="581"/>
        <item x="1792"/>
        <item x="1390"/>
        <item x="2738"/>
        <item x="2038"/>
        <item x="2013"/>
        <item x="2511"/>
        <item x="361"/>
        <item x="1011"/>
        <item x="2221"/>
        <item x="2272"/>
        <item x="386"/>
        <item x="1720"/>
        <item x="794"/>
        <item x="2837"/>
        <item x="1152"/>
        <item x="321"/>
        <item x="1708"/>
        <item x="729"/>
        <item x="66"/>
        <item x="1700"/>
        <item x="685"/>
        <item x="59"/>
        <item x="707"/>
        <item x="2629"/>
        <item x="2317"/>
        <item x="2303"/>
        <item x="358"/>
        <item x="8"/>
        <item x="2648"/>
        <item x="2705"/>
        <item x="1120"/>
        <item x="233"/>
        <item x="1131"/>
        <item x="1195"/>
        <item x="693"/>
        <item x="1499"/>
        <item x="2569"/>
        <item x="2285"/>
        <item x="2309"/>
        <item x="393"/>
        <item x="1404"/>
        <item x="1592"/>
        <item x="2108"/>
        <item x="2049"/>
        <item x="2181"/>
        <item x="2708"/>
        <item x="405"/>
        <item x="1753"/>
        <item x="1642"/>
        <item x="2176"/>
        <item x="1852"/>
        <item x="2036"/>
        <item x="1302"/>
        <item x="2382"/>
        <item x="2061"/>
        <item x="1354"/>
        <item x="2201"/>
        <item x="508"/>
        <item x="2087"/>
        <item x="2665"/>
        <item x="411"/>
        <item x="666"/>
        <item x="1886"/>
        <item x="1714"/>
        <item x="2334"/>
        <item x="1003"/>
        <item x="77"/>
        <item x="866"/>
        <item x="2462"/>
        <item x="436"/>
        <item x="1129"/>
        <item x="714"/>
        <item x="2357"/>
        <item x="1200"/>
        <item x="1981"/>
        <item x="2673"/>
        <item x="1540"/>
        <item x="1962"/>
        <item x="1502"/>
        <item x="1139"/>
        <item x="501"/>
        <item x="1660"/>
        <item x="1589"/>
        <item x="974"/>
        <item x="2085"/>
        <item x="875"/>
        <item x="887"/>
        <item x="1903"/>
        <item x="2560"/>
        <item x="1604"/>
        <item x="2143"/>
        <item x="73"/>
        <item x="1839"/>
        <item x="332"/>
        <item x="2047"/>
        <item x="87"/>
        <item x="891"/>
        <item x="228"/>
        <item x="1385"/>
        <item x="1371"/>
        <item x="897"/>
        <item x="812"/>
        <item x="2423"/>
        <item x="851"/>
        <item x="736"/>
        <item x="1637"/>
        <item x="341"/>
        <item x="375"/>
        <item x="748"/>
        <item x="1849"/>
        <item x="2091"/>
        <item x="2359"/>
        <item x="820"/>
        <item x="768"/>
        <item x="470"/>
        <item x="2776"/>
        <item x="807"/>
        <item x="675"/>
        <item x="2631"/>
        <item x="2912"/>
        <item x="29"/>
        <item x="682"/>
        <item x="802"/>
        <item x="7"/>
        <item x="1572"/>
        <item x="2761"/>
        <item x="2004"/>
        <item x="1588"/>
        <item x="1696"/>
        <item x="2862"/>
        <item x="2916"/>
        <item x="2796"/>
        <item x="1684"/>
        <item x="965"/>
        <item x="382"/>
        <item x="2587"/>
        <item x="2483"/>
        <item x="2522"/>
        <item x="709"/>
        <item x="2683"/>
        <item x="2622"/>
        <item x="474"/>
        <item x="391"/>
        <item x="2687"/>
        <item x="181"/>
        <item x="2319"/>
        <item x="1357"/>
        <item x="262"/>
        <item x="908"/>
        <item x="1664"/>
        <item x="1691"/>
        <item x="476"/>
        <item x="547"/>
        <item x="2330"/>
        <item x="1339"/>
        <item x="2591"/>
        <item x="1234"/>
        <item x="310"/>
        <item x="217"/>
        <item x="2866"/>
        <item x="1673"/>
        <item x="2618"/>
        <item x="680"/>
        <item x="2812"/>
        <item x="1037"/>
        <item x="913"/>
        <item x="593"/>
        <item x="1154"/>
        <item x="2732"/>
        <item x="1166"/>
        <item x="1537"/>
        <item x="819"/>
        <item x="2472"/>
        <item x="2777"/>
        <item x="2733"/>
        <item x="2859"/>
        <item x="1966"/>
        <item x="1338"/>
        <item x="604"/>
        <item x="1138"/>
        <item x="2521"/>
        <item x="2833"/>
        <item x="879"/>
        <item x="786"/>
        <item x="2644"/>
        <item x="847"/>
        <item x="2594"/>
        <item x="1053"/>
        <item x="1541"/>
        <item x="1318"/>
        <item x="5"/>
        <item x="979"/>
        <item x="1585"/>
        <item x="2034"/>
        <item x="1678"/>
        <item x="1643"/>
        <item x="2180"/>
        <item x="1060"/>
        <item x="1336"/>
        <item x="1334"/>
        <item x="2438"/>
        <item x="338"/>
        <item x="2076"/>
        <item x="1396"/>
        <item x="388"/>
        <item x="408"/>
        <item x="2198"/>
        <item x="2774"/>
        <item x="1755"/>
        <item x="1804"/>
        <item x="459"/>
        <item x="1743"/>
        <item x="1679"/>
        <item x="462"/>
        <item x="1473"/>
        <item x="509"/>
        <item x="1930"/>
        <item x="2295"/>
        <item x="83"/>
        <item x="1216"/>
        <item x="2684"/>
        <item x="2736"/>
        <item x="746"/>
        <item x="203"/>
        <item x="2120"/>
        <item x="2139"/>
        <item x="2485"/>
        <item x="2102"/>
        <item x="1281"/>
        <item x="2838"/>
        <item x="96"/>
        <item x="1075"/>
        <item x="245"/>
        <item x="1485"/>
        <item x="2754"/>
        <item x="1110"/>
        <item x="210"/>
        <item x="491"/>
        <item x="441"/>
        <item x="1788"/>
        <item x="627"/>
        <item x="2567"/>
        <item x="720"/>
        <item x="343"/>
        <item x="55"/>
        <item x="410"/>
        <item x="1148"/>
        <item x="464"/>
        <item x="732"/>
        <item x="1625"/>
        <item x="2473"/>
        <item x="126"/>
        <item x="2784"/>
        <item x="2713"/>
        <item x="472"/>
        <item x="2642"/>
        <item x="1407"/>
        <item x="684"/>
        <item x="1532"/>
        <item x="1901"/>
        <item x="1412"/>
        <item x="2922"/>
        <item x="2310"/>
        <item x="2892"/>
        <item x="156"/>
        <item x="2771"/>
        <item x="2304"/>
        <item x="2530"/>
        <item x="1943"/>
        <item x="2242"/>
        <item x="643"/>
        <item x="1393"/>
        <item x="225"/>
        <item x="2395"/>
        <item x="2172"/>
        <item x="2542"/>
        <item x="1812"/>
        <item x="1061"/>
        <item x="2607"/>
        <item x="221"/>
        <item x="1747"/>
        <item x="2401"/>
        <item x="1767"/>
        <item x="1018"/>
        <item x="1386"/>
        <item x="1369"/>
        <item x="1381"/>
        <item x="743"/>
        <item x="2412"/>
        <item x="2593"/>
        <item x="592"/>
        <item x="1879"/>
        <item x="895"/>
        <item x="2760"/>
        <item x="1635"/>
        <item x="1277"/>
        <item x="2752"/>
        <item x="2042"/>
        <item x="1831"/>
        <item x="1024"/>
        <item x="1772"/>
        <item x="2000"/>
        <item x="2125"/>
        <item x="724"/>
        <item x="312"/>
        <item x="2232"/>
        <item x="2691"/>
        <item x="815"/>
        <item x="213"/>
        <item x="2625"/>
        <item x="218"/>
        <item x="2106"/>
        <item x="1808"/>
        <item x="422"/>
        <item x="760"/>
        <item x="2471"/>
        <item x="771"/>
        <item x="2659"/>
        <item x="679"/>
        <item x="1528"/>
        <item x="1452"/>
        <item x="2080"/>
        <item x="72"/>
        <item x="2565"/>
        <item x="651"/>
        <item x="793"/>
        <item x="20"/>
        <item x="1500"/>
        <item x="1835"/>
        <item x="2855"/>
        <item x="2213"/>
        <item x="702"/>
        <item x="2276"/>
        <item x="1309"/>
        <item x="2696"/>
        <item x="2609"/>
        <item x="418"/>
        <item x="2429"/>
        <item x="548"/>
        <item x="1045"/>
        <item x="560"/>
        <item x="2353"/>
        <item x="2236"/>
        <item x="808"/>
        <item x="1096"/>
        <item x="871"/>
        <item x="612"/>
        <item x="1276"/>
        <item x="657"/>
        <item x="1810"/>
        <item x="2396"/>
        <item x="1289"/>
        <item x="101"/>
        <item x="1230"/>
        <item x="551"/>
        <item x="2674"/>
        <item x="1844"/>
        <item x="251"/>
        <item x="1333"/>
        <item x="823"/>
        <item x="694"/>
        <item x="873"/>
        <item x="2350"/>
        <item x="2695"/>
        <item x="373"/>
        <item x="451"/>
        <item x="2470"/>
        <item x="2"/>
        <item x="1580"/>
        <item x="2119"/>
        <item x="1023"/>
        <item x="697"/>
        <item x="1496"/>
        <item x="2142"/>
        <item x="1824"/>
        <item x="764"/>
        <item x="1058"/>
        <item x="1570"/>
        <item x="862"/>
        <item x="1967"/>
        <item x="901"/>
        <item x="191"/>
        <item x="2264"/>
        <item x="2308"/>
        <item x="67"/>
        <item x="540"/>
        <item x="463"/>
        <item x="950"/>
        <item x="1341"/>
        <item x="31"/>
        <item x="2524"/>
        <item x="1527"/>
        <item x="1108"/>
        <item x="348"/>
        <item x="1910"/>
        <item x="1443"/>
        <item x="976"/>
        <item x="1598"/>
        <item x="2490"/>
        <item x="531"/>
        <item x="1699"/>
        <item x="1430"/>
        <item x="1259"/>
        <item x="2356"/>
        <item x="2152"/>
        <item x="2861"/>
        <item x="991"/>
        <item x="1513"/>
        <item x="1890"/>
        <item x="1112"/>
        <item x="271"/>
        <item x="2899"/>
        <item x="1358"/>
        <item x="12"/>
        <item x="2128"/>
        <item x="2389"/>
        <item x="452"/>
        <item x="110"/>
        <item x="424"/>
        <item x="886"/>
        <item x="1298"/>
        <item x="1051"/>
        <item x="1853"/>
        <item x="2920"/>
        <item x="360"/>
        <item x="231"/>
        <item x="2573"/>
        <item x="306"/>
        <item x="1690"/>
        <item x="2023"/>
        <item x="770"/>
        <item x="1718"/>
        <item x="2813"/>
        <item x="2001"/>
        <item x="2257"/>
        <item x="2660"/>
        <item x="1769"/>
        <item x="2905"/>
        <item x="2873"/>
        <item x="2749"/>
        <item x="2178"/>
        <item x="2321"/>
        <item x="1488"/>
        <item x="2425"/>
        <item x="2116"/>
        <item x="750"/>
        <item x="234"/>
        <item x="1693"/>
        <item x="1550"/>
        <item x="698"/>
        <item x="409"/>
        <item x="2224"/>
        <item x="2019"/>
        <item x="1937"/>
        <item x="1478"/>
        <item x="2024"/>
        <item x="635"/>
        <item x="526"/>
        <item x="647"/>
        <item x="2475"/>
        <item x="2480"/>
        <item x="1063"/>
        <item x="935"/>
        <item x="2702"/>
        <item x="2204"/>
        <item x="1566"/>
        <item x="1536"/>
        <item x="2913"/>
        <item x="57"/>
        <item x="610"/>
        <item x="982"/>
        <item x="407"/>
        <item x="1740"/>
        <item x="331"/>
        <item x="1410"/>
        <item x="2372"/>
        <item x="1735"/>
        <item x="17"/>
        <item x="1161"/>
        <item x="253"/>
        <item x="619"/>
        <item x="2541"/>
        <item x="2427"/>
        <item x="1197"/>
        <item x="2371"/>
        <item x="577"/>
        <item x="2611"/>
        <item x="2824"/>
        <item x="1052"/>
        <item x="574"/>
        <item x="1248"/>
        <item x="1104"/>
        <item x="447"/>
        <item x="2711"/>
        <item x="690"/>
        <item x="739"/>
        <item x="2546"/>
        <item x="1952"/>
        <item x="1823"/>
        <item x="1477"/>
        <item x="2636"/>
        <item x="227"/>
        <item x="1086"/>
        <item x="614"/>
        <item x="1057"/>
        <item x="2115"/>
        <item x="256"/>
        <item x="342"/>
        <item x="359"/>
        <item x="2003"/>
        <item x="617"/>
        <item x="1914"/>
        <item x="1146"/>
        <item x="2597"/>
        <item x="2620"/>
        <item x="2259"/>
        <item x="2323"/>
        <item x="1925"/>
        <item x="814"/>
        <item x="1847"/>
        <item x="573"/>
        <item x="689"/>
        <item x="1858"/>
        <item x="2656"/>
        <item x="1682"/>
        <item x="502"/>
        <item x="537"/>
        <item x="2783"/>
        <item x="2500"/>
        <item x="1035"/>
        <item x="235"/>
        <item x="641"/>
        <item x="2688"/>
        <item x="32"/>
        <item x="2746"/>
        <item x="1906"/>
        <item x="2884"/>
        <item x="1607"/>
        <item x="1787"/>
        <item x="520"/>
        <item x="2773"/>
        <item x="1558"/>
        <item x="206"/>
        <item x="1619"/>
        <item x="1603"/>
        <item x="1257"/>
        <item x="2431"/>
        <item x="94"/>
        <item x="2296"/>
        <item x="2555"/>
        <item x="2025"/>
        <item x="523"/>
        <item x="2098"/>
        <item x="2020"/>
        <item x="790"/>
        <item x="2092"/>
        <item x="1634"/>
        <item x="263"/>
        <item x="1290"/>
        <item x="1265"/>
        <item x="323"/>
        <item x="931"/>
        <item x="1821"/>
        <item x="396"/>
        <item x="2290"/>
        <item x="659"/>
        <item x="2690"/>
        <item x="1475"/>
        <item x="1394"/>
        <item x="1790"/>
        <item x="261"/>
        <item x="630"/>
        <item x="1654"/>
        <item x="2850"/>
        <item x="940"/>
        <item x="853"/>
        <item x="259"/>
        <item x="2576"/>
        <item x="2488"/>
        <item x="1881"/>
        <item x="946"/>
        <item x="1872"/>
        <item x="1806"/>
        <item x="1484"/>
        <item x="953"/>
        <item x="2923"/>
        <item x="485"/>
        <item x="1954"/>
        <item x="1491"/>
        <item x="48"/>
        <item x="1602"/>
        <item x="1124"/>
        <item x="1157"/>
        <item x="494"/>
        <item x="766"/>
        <item x="932"/>
        <item x="1465"/>
        <item x="2535"/>
        <item x="47"/>
        <item x="194"/>
        <item x="668"/>
        <item x="1144"/>
        <item x="564"/>
        <item x="800"/>
        <item x="664"/>
        <item x="1461"/>
        <item x="2210"/>
        <item x="275"/>
        <item x="1099"/>
        <item x="34"/>
        <item x="2055"/>
        <item x="1837"/>
        <item x="1487"/>
        <item x="1482"/>
        <item x="2099"/>
        <item x="1709"/>
        <item x="1905"/>
        <item x="2507"/>
        <item x="134"/>
        <item x="2677"/>
        <item x="1662"/>
        <item x="1726"/>
        <item x="1520"/>
        <item x="543"/>
        <item x="286"/>
        <item x="962"/>
        <item x="51"/>
        <item x="2647"/>
        <item x="1456"/>
        <item x="1088"/>
        <item x="943"/>
        <item x="2675"/>
        <item x="2721"/>
        <item x="586"/>
        <item x="2376"/>
        <item x="1221"/>
        <item x="821"/>
        <item x="621"/>
        <item x="471"/>
        <item x="1043"/>
        <item x="1133"/>
        <item x="2544"/>
        <item x="1605"/>
        <item x="1782"/>
        <item x="2482"/>
        <item x="2661"/>
        <item x="2663"/>
        <item x="2821"/>
        <item x="1254"/>
        <item x="1261"/>
        <item x="1704"/>
        <item x="1869"/>
        <item x="2606"/>
        <item x="2006"/>
        <item x="1621"/>
        <item x="1968"/>
        <item x="2366"/>
        <item x="2131"/>
        <item x="512"/>
        <item x="532"/>
        <item x="2111"/>
        <item x="2174"/>
        <item x="528"/>
        <item x="1629"/>
        <item x="1893"/>
        <item x="1379"/>
        <item x="2442"/>
        <item x="1047"/>
        <item x="3"/>
        <item x="2316"/>
        <item x="2239"/>
        <item x="1457"/>
        <item x="1275"/>
        <item x="1436"/>
        <item x="2424"/>
        <item x="1300"/>
        <item x="477"/>
        <item x="1184"/>
        <item x="1918"/>
        <item x="1507"/>
        <item x="2260"/>
        <item x="995"/>
        <item x="2278"/>
        <item x="1728"/>
        <item x="1299"/>
        <item x="2757"/>
        <item x="479"/>
        <item x="1306"/>
        <item x="353"/>
        <item x="1078"/>
        <item x="2581"/>
        <item x="183"/>
        <item x="744"/>
        <item x="780"/>
        <item x="349"/>
        <item x="1875"/>
        <item x="187"/>
        <item x="1797"/>
        <item x="1162"/>
        <item x="2228"/>
        <item x="1694"/>
        <item x="273"/>
        <item x="1409"/>
        <item x="127"/>
        <item x="2466"/>
        <item x="801"/>
        <item x="858"/>
        <item x="2489"/>
        <item x="223"/>
        <item x="1794"/>
        <item x="1649"/>
        <item x="255"/>
        <item x="2664"/>
        <item x="1170"/>
        <item x="276"/>
        <item x="795"/>
        <item x="272"/>
        <item x="2846"/>
        <item x="1770"/>
        <item x="132"/>
        <item x="237"/>
        <item x="1364"/>
        <item x="889"/>
        <item x="2682"/>
        <item x="2849"/>
        <item x="1737"/>
        <item x="404"/>
        <item x="525"/>
        <item x="1036"/>
        <item x="2054"/>
        <item x="2145"/>
        <item x="2494"/>
        <item x="1545"/>
        <item x="699"/>
        <item x="33"/>
        <item x="1534"/>
        <item x="2527"/>
        <item x="1987"/>
        <item x="868"/>
        <item x="384"/>
        <item x="817"/>
        <item x="2613"/>
        <item x="1583"/>
        <item x="137"/>
        <item x="1313"/>
        <item x="1392"/>
        <item x="2770"/>
        <item x="1182"/>
        <item x="546"/>
        <item x="1395"/>
        <item x="846"/>
        <item x="2722"/>
        <item x="374"/>
        <item x="2639"/>
        <item x="778"/>
        <item x="2177"/>
        <item x="1176"/>
        <item x="677"/>
        <item x="1027"/>
        <item x="2640"/>
        <item x="2443"/>
        <item x="1926"/>
        <item t="default"/>
      </items>
    </pivotField>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pivotField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v="5"/>
    </i>
    <i>
      <x v="2"/>
    </i>
    <i>
      <x v="4"/>
    </i>
    <i>
      <x v="3"/>
    </i>
    <i>
      <x/>
    </i>
    <i>
      <x v="6"/>
    </i>
    <i>
      <x v="1"/>
    </i>
    <i t="grand">
      <x/>
    </i>
  </rowItems>
  <colItems count="1">
    <i/>
  </colItems>
  <dataFields count="1">
    <dataField name="Count of Patient_ID" fld="0" subtotal="count" baseField="12"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5FB50E-A39F-437C-963D-80D8D30176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D9" firstHeaderRow="1" firstDataRow="1" firstDataCol="1"/>
  <pivotFields count="15">
    <pivotField dataField="1" showAll="0"/>
    <pivotField showAll="0"/>
    <pivotField axis="axisRow" showAll="0" sortType="a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showAll="0"/>
    <pivotField showAll="0">
      <items count="8">
        <item x="5"/>
        <item x="1"/>
        <item x="6"/>
        <item x="4"/>
        <item x="3"/>
        <item x="2"/>
        <item x="0"/>
        <item t="default"/>
      </items>
    </pivotField>
    <pivotField showAll="0"/>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pivotField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5"/>
    </i>
    <i>
      <x v="3"/>
    </i>
    <i>
      <x v="4"/>
    </i>
    <i>
      <x v="1"/>
    </i>
    <i>
      <x v="2"/>
    </i>
    <i t="grand">
      <x/>
    </i>
  </rowItems>
  <colItems count="1">
    <i/>
  </colItems>
  <dataFields count="1">
    <dataField name="Count of Patient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E7D53C-531D-44CA-8860-BEB30162D02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0:E34" firstHeaderRow="1" firstDataRow="1" firstDataCol="1"/>
  <pivotFields count="15">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8">
        <item x="0"/>
        <item x="1"/>
        <item x="2"/>
        <item x="3"/>
        <item x="4"/>
        <item x="5"/>
        <item x="6"/>
        <item t="default"/>
      </items>
    </pivotField>
    <pivotField showAll="0">
      <items count="3">
        <item x="1"/>
        <item x="0"/>
        <item t="default"/>
      </items>
    </pivotField>
    <pivotField showAll="0">
      <items count="8">
        <item x="5"/>
        <item x="1"/>
        <item x="6"/>
        <item x="4"/>
        <item x="3"/>
        <item x="2"/>
        <item x="0"/>
        <item t="default"/>
      </items>
    </pivotField>
    <pivotField showAll="0">
      <items count="2931">
        <item x="1083"/>
        <item x="152"/>
        <item x="28"/>
        <item x="1002"/>
        <item x="2652"/>
        <item x="939"/>
        <item x="2286"/>
        <item x="442"/>
        <item x="339"/>
        <item x="713"/>
        <item x="292"/>
        <item x="368"/>
        <item x="387"/>
        <item x="1442"/>
        <item x="2836"/>
        <item x="136"/>
        <item x="676"/>
        <item x="2407"/>
        <item x="453"/>
        <item x="1978"/>
        <item x="822"/>
        <item x="1031"/>
        <item x="2179"/>
        <item x="633"/>
        <item x="2486"/>
        <item x="892"/>
        <item x="511"/>
        <item x="1561"/>
        <item x="2818"/>
        <item x="2782"/>
        <item x="367"/>
        <item x="322"/>
        <item x="305"/>
        <item x="209"/>
        <item x="398"/>
        <item x="1187"/>
        <item x="2021"/>
        <item x="2755"/>
        <item x="1982"/>
        <item x="2766"/>
        <item x="2370"/>
        <item x="1758"/>
        <item x="1581"/>
        <item x="727"/>
        <item x="549"/>
        <item x="158"/>
        <item x="1062"/>
        <item x="1471"/>
        <item x="1270"/>
        <item x="2841"/>
        <item x="1717"/>
        <item x="2667"/>
        <item x="2657"/>
        <item x="1125"/>
        <item x="2159"/>
        <item x="968"/>
        <item x="2810"/>
        <item x="2737"/>
        <item x="2549"/>
        <item x="2404"/>
        <item x="1130"/>
        <item x="333"/>
        <item x="1626"/>
        <item x="927"/>
        <item x="947"/>
        <item x="1486"/>
        <item x="2918"/>
        <item x="855"/>
        <item x="857"/>
        <item x="1514"/>
        <item x="1778"/>
        <item x="2868"/>
        <item x="199"/>
        <item x="351"/>
        <item x="2002"/>
        <item x="488"/>
        <item x="1624"/>
        <item x="328"/>
        <item x="1343"/>
        <item x="515"/>
        <item x="2072"/>
        <item x="1250"/>
        <item x="1928"/>
        <item x="890"/>
        <item x="2834"/>
        <item x="622"/>
        <item x="2381"/>
        <item x="2492"/>
        <item x="845"/>
        <item x="2645"/>
        <item x="2734"/>
        <item x="2545"/>
        <item x="2074"/>
        <item x="347"/>
        <item x="2200"/>
        <item x="2355"/>
        <item x="377"/>
        <item x="2078"/>
        <item x="1188"/>
        <item x="1809"/>
        <item x="2418"/>
        <item x="1370"/>
        <item x="38"/>
        <item x="2780"/>
        <item x="1980"/>
        <item x="2534"/>
        <item x="1180"/>
        <item x="1286"/>
        <item x="2313"/>
        <item x="1786"/>
        <item x="1623"/>
        <item x="2797"/>
        <item x="2268"/>
        <item x="922"/>
        <item x="270"/>
        <item x="952"/>
        <item x="1115"/>
        <item x="30"/>
        <item x="177"/>
        <item x="2599"/>
        <item x="829"/>
        <item x="848"/>
        <item x="2173"/>
        <item x="2584"/>
        <item x="2185"/>
        <item x="1775"/>
        <item x="1648"/>
        <item x="2305"/>
        <item x="2271"/>
        <item x="88"/>
        <item x="205"/>
        <item x="755"/>
        <item x="184"/>
        <item x="475"/>
        <item x="2126"/>
        <item x="1590"/>
        <item x="2030"/>
        <item x="2151"/>
        <item x="1375"/>
        <item x="246"/>
        <item x="1223"/>
        <item x="753"/>
        <item x="2247"/>
        <item x="898"/>
        <item x="1916"/>
        <item x="2117"/>
        <item x="1168"/>
        <item x="1081"/>
        <item x="1411"/>
        <item x="1574"/>
        <item x="1109"/>
        <item x="2251"/>
        <item x="148"/>
        <item x="340"/>
        <item x="2641"/>
        <item x="226"/>
        <item x="129"/>
        <item x="157"/>
        <item x="1137"/>
        <item x="558"/>
        <item x="2768"/>
        <item x="831"/>
        <item x="1738"/>
        <item x="61"/>
        <item x="1957"/>
        <item x="1511"/>
        <item x="108"/>
        <item x="2009"/>
        <item x="274"/>
        <item x="164"/>
        <item x="295"/>
        <item x="1798"/>
        <item x="1887"/>
        <item x="930"/>
        <item x="1439"/>
        <item x="2191"/>
        <item x="1479"/>
        <item x="1175"/>
        <item x="1551"/>
        <item x="2921"/>
        <item x="1877"/>
        <item x="41"/>
        <item x="1032"/>
        <item x="400"/>
        <item x="2461"/>
        <item x="2621"/>
        <item x="2369"/>
        <item x="1368"/>
        <item x="2340"/>
        <item x="1432"/>
        <item x="2409"/>
        <item x="2548"/>
        <item x="784"/>
        <item x="1236"/>
        <item x="151"/>
        <item x="1562"/>
        <item x="544"/>
        <item x="738"/>
        <item x="489"/>
        <item x="1816"/>
        <item x="2223"/>
        <item x="2582"/>
        <item x="2378"/>
        <item x="870"/>
        <item x="2881"/>
        <item x="2197"/>
        <item x="998"/>
        <item x="578"/>
        <item x="1885"/>
        <item x="189"/>
        <item x="1719"/>
        <item x="2012"/>
        <item x="2014"/>
        <item x="155"/>
        <item x="1793"/>
        <item x="356"/>
        <item x="2604"/>
        <item x="1510"/>
        <item x="1084"/>
        <item x="1344"/>
        <item x="1575"/>
        <item x="145"/>
        <item x="2848"/>
        <item x="2387"/>
        <item x="1599"/>
        <item x="1203"/>
        <item x="1505"/>
        <item x="1016"/>
        <item x="2886"/>
        <item x="2820"/>
        <item x="1360"/>
        <item x="2220"/>
        <item x="1321"/>
        <item x="297"/>
        <item x="85"/>
        <item x="354"/>
        <item x="2390"/>
        <item x="1304"/>
        <item x="320"/>
        <item x="311"/>
        <item x="2045"/>
        <item x="2158"/>
        <item x="1151"/>
        <item x="1441"/>
        <item x="2005"/>
        <item x="2432"/>
        <item x="1559"/>
        <item x="500"/>
        <item x="884"/>
        <item x="2347"/>
        <item x="843"/>
        <item x="2410"/>
        <item x="458"/>
        <item x="1014"/>
        <item x="2328"/>
        <item x="2077"/>
        <item x="1194"/>
        <item x="186"/>
        <item x="1174"/>
        <item x="2008"/>
        <item x="2603"/>
        <item x="716"/>
        <item x="1711"/>
        <item x="603"/>
        <item x="1352"/>
        <item x="1267"/>
        <item x="656"/>
        <item x="1776"/>
        <item x="2666"/>
        <item x="2348"/>
        <item x="1754"/>
        <item x="1765"/>
        <item x="1427"/>
        <item x="667"/>
        <item x="636"/>
        <item x="1447"/>
        <item x="663"/>
        <item x="2441"/>
        <item x="2445"/>
        <item x="966"/>
        <item x="1331"/>
        <item x="1632"/>
        <item x="2284"/>
        <item x="2454"/>
        <item x="1142"/>
        <item x="810"/>
        <item x="1"/>
        <item x="637"/>
        <item x="2484"/>
        <item x="1734"/>
        <item x="1335"/>
        <item x="878"/>
        <item x="602"/>
        <item x="2700"/>
        <item x="1450"/>
        <item x="2497"/>
        <item x="1316"/>
        <item x="899"/>
        <item x="1305"/>
        <item x="609"/>
        <item x="2170"/>
        <item x="2583"/>
        <item x="1509"/>
        <item x="1073"/>
        <item x="1444"/>
        <item x="595"/>
        <item x="1525"/>
        <item x="1533"/>
        <item x="559"/>
        <item x="849"/>
        <item x="654"/>
        <item x="395"/>
        <item x="2716"/>
        <item x="792"/>
        <item x="1440"/>
        <item x="1106"/>
        <item x="2226"/>
        <item x="776"/>
        <item x="1373"/>
        <item x="2209"/>
        <item x="2349"/>
        <item x="2026"/>
        <item x="2022"/>
        <item x="638"/>
        <item x="535"/>
        <item x="240"/>
        <item x="2162"/>
        <item x="2274"/>
        <item x="115"/>
        <item x="167"/>
        <item x="2059"/>
        <item x="414"/>
        <item x="503"/>
        <item x="2590"/>
        <item x="2869"/>
        <item x="2827"/>
        <item x="2571"/>
        <item x="1225"/>
        <item x="2908"/>
        <item x="2217"/>
        <item x="1215"/>
        <item x="2018"/>
        <item x="1038"/>
        <item x="767"/>
        <item x="201"/>
        <item x="877"/>
        <item x="2144"/>
        <item x="1802"/>
        <item x="284"/>
        <item x="1948"/>
        <item x="642"/>
        <item x="758"/>
        <item x="1600"/>
        <item x="859"/>
        <item x="1628"/>
        <item x="232"/>
        <item x="2689"/>
        <item x="2779"/>
        <item x="785"/>
        <item x="1490"/>
        <item x="2807"/>
        <item x="449"/>
        <item x="1739"/>
        <item x="2856"/>
        <item x="2798"/>
        <item x="1332"/>
        <item x="2669"/>
        <item x="1950"/>
        <item x="876"/>
        <item x="2294"/>
        <item x="2799"/>
        <item x="1503"/>
        <item x="1268"/>
        <item x="198"/>
        <item x="1548"/>
        <item x="2449"/>
        <item x="580"/>
        <item x="2203"/>
        <item x="309"/>
        <item x="880"/>
        <item x="118"/>
        <item x="2900"/>
        <item x="2793"/>
        <item x="329"/>
        <item x="2122"/>
        <item x="839"/>
        <item x="1836"/>
        <item x="721"/>
        <item x="2384"/>
        <item x="1876"/>
        <item x="1219"/>
        <item x="2586"/>
        <item x="761"/>
        <item x="1752"/>
        <item x="330"/>
        <item x="435"/>
        <item x="318"/>
        <item x="1417"/>
        <item x="2589"/>
        <item x="787"/>
        <item x="552"/>
        <item x="481"/>
        <item x="1953"/>
        <item x="49"/>
        <item x="2476"/>
        <item x="1974"/>
        <item x="715"/>
        <item x="921"/>
        <item x="1515"/>
        <item x="1861"/>
        <item x="1272"/>
        <item x="934"/>
        <item x="1587"/>
        <item x="2148"/>
        <item x="2506"/>
        <item x="2364"/>
        <item x="2250"/>
        <item x="2843"/>
        <item x="1218"/>
        <item x="2428"/>
        <item x="125"/>
        <item x="2377"/>
        <item x="1543"/>
        <item x="1606"/>
        <item x="2764"/>
        <item x="2844"/>
        <item x="2632"/>
        <item x="1713"/>
        <item x="2715"/>
        <item x="336"/>
        <item x="2851"/>
        <item x="317"/>
        <item x="938"/>
        <item x="1204"/>
        <item x="2015"/>
        <item x="1938"/>
        <item x="1005"/>
        <item x="2188"/>
        <item x="513"/>
        <item x="534"/>
        <item x="1669"/>
        <item x="1426"/>
        <item x="1179"/>
        <item x="2380"/>
        <item x="389"/>
        <item x="1827"/>
        <item x="120"/>
        <item x="2600"/>
        <item x="1685"/>
        <item x="2289"/>
        <item x="1156"/>
        <item x="1934"/>
        <item x="154"/>
        <item x="2070"/>
        <item x="1118"/>
        <item x="1986"/>
        <item x="2531"/>
        <item x="1119"/>
        <item x="2853"/>
        <item x="1994"/>
        <item x="2499"/>
        <item x="629"/>
        <item x="2891"/>
        <item x="1402"/>
        <item x="36"/>
        <item x="419"/>
        <item x="1243"/>
        <item x="2753"/>
        <item x="1781"/>
        <item x="2832"/>
        <item x="869"/>
        <item x="2354"/>
        <item x="824"/>
        <item x="648"/>
        <item x="130"/>
        <item x="1007"/>
        <item x="955"/>
        <item x="2184"/>
        <item x="454"/>
        <item x="2149"/>
        <item x="160"/>
        <item x="74"/>
        <item x="912"/>
        <item x="2031"/>
        <item x="2124"/>
        <item x="69"/>
        <item x="1228"/>
        <item x="2333"/>
        <item x="168"/>
        <item x="2917"/>
        <item x="1854"/>
        <item x="1730"/>
        <item x="2662"/>
        <item x="2653"/>
        <item x="2169"/>
        <item x="1578"/>
        <item x="42"/>
        <item x="2502"/>
        <item x="834"/>
        <item x="2880"/>
        <item x="1297"/>
        <item x="370"/>
        <item x="2282"/>
        <item x="1365"/>
        <item x="2572"/>
        <item x="2291"/>
        <item x="2073"/>
        <item x="2701"/>
        <item x="772"/>
        <item x="1616"/>
        <item x="6"/>
        <item x="1202"/>
        <item x="1310"/>
        <item x="1001"/>
        <item x="803"/>
        <item x="1990"/>
        <item x="2262"/>
        <item x="2297"/>
        <item x="1688"/>
        <item x="2699"/>
        <item x="1865"/>
        <item x="1611"/>
        <item x="2202"/>
        <item x="2437"/>
        <item x="734"/>
        <item x="1495"/>
        <item x="791"/>
        <item x="1128"/>
        <item x="545"/>
        <item x="2136"/>
        <item x="2189"/>
        <item x="2043"/>
        <item x="1235"/>
        <item x="1025"/>
        <item x="541"/>
        <item x="933"/>
        <item x="945"/>
        <item x="1961"/>
        <item x="1090"/>
        <item x="243"/>
        <item x="437"/>
        <item x="2205"/>
        <item x="2161"/>
        <item x="2088"/>
        <item x="2487"/>
        <item x="1757"/>
        <item x="2133"/>
        <item x="1538"/>
        <item x="2182"/>
        <item x="1729"/>
        <item x="1764"/>
        <item x="555"/>
        <item x="71"/>
        <item x="242"/>
        <item x="468"/>
        <item x="415"/>
        <item x="1050"/>
        <item x="631"/>
        <item x="2103"/>
        <item x="907"/>
        <item x="711"/>
        <item x="1595"/>
        <item x="2680"/>
        <item x="2781"/>
        <item x="2717"/>
        <item x="658"/>
        <item x="2430"/>
        <item x="527"/>
        <item x="1983"/>
        <item x="2337"/>
        <item x="2712"/>
        <item x="1285"/>
        <item x="2805"/>
        <item x="1919"/>
        <item x="751"/>
        <item x="2373"/>
        <item x="2686"/>
        <item x="1692"/>
        <item x="1398"/>
        <item x="589"/>
        <item x="2195"/>
        <item x="681"/>
        <item x="369"/>
        <item x="13"/>
        <item x="2041"/>
        <item x="1811"/>
        <item x="281"/>
        <item x="2190"/>
        <item x="466"/>
        <item x="918"/>
        <item x="1359"/>
        <item x="455"/>
        <item x="378"/>
        <item x="2789"/>
        <item x="2411"/>
        <item x="1173"/>
        <item x="214"/>
        <item x="440"/>
        <item x="989"/>
        <item x="58"/>
        <item x="18"/>
        <item x="2901"/>
        <item x="1435"/>
        <item x="432"/>
        <item x="628"/>
        <item x="2927"/>
        <item x="1462"/>
        <item x="2564"/>
        <item x="1153"/>
        <item x="1609"/>
        <item x="2630"/>
        <item x="2458"/>
        <item x="1828"/>
        <item x="325"/>
        <item x="1565"/>
        <item x="745"/>
        <item x="2710"/>
        <item x="2068"/>
        <item x="2243"/>
        <item x="1564"/>
        <item x="1100"/>
        <item x="836"/>
        <item x="1210"/>
        <item x="1136"/>
        <item x="1805"/>
        <item x="473"/>
        <item x="674"/>
        <item x="2338"/>
        <item x="2672"/>
        <item x="971"/>
        <item x="1092"/>
        <item x="2279"/>
        <item x="2341"/>
        <item x="65"/>
        <item x="254"/>
        <item x="365"/>
        <item x="1324"/>
        <item x="482"/>
        <item x="2536"/>
        <item x="1287"/>
        <item x="173"/>
        <item x="293"/>
        <item x="2032"/>
        <item x="1801"/>
        <item x="2069"/>
        <item x="2193"/>
        <item x="2391"/>
        <item x="1650"/>
        <item x="1242"/>
        <item x="2520"/>
        <item x="1209"/>
        <item x="789"/>
        <item x="1448"/>
        <item x="1246"/>
        <item x="2785"/>
        <item x="394"/>
        <item x="427"/>
        <item x="1211"/>
        <item x="2887"/>
        <item x="1923"/>
        <item x="1091"/>
        <item x="2398"/>
        <item x="2325"/>
        <item x="2515"/>
        <item x="762"/>
        <item x="529"/>
        <item x="2028"/>
        <item x="25"/>
        <item x="2465"/>
        <item x="1618"/>
        <item x="572"/>
        <item x="613"/>
        <item x="1481"/>
        <item x="2426"/>
        <item x="2575"/>
        <item x="416"/>
        <item x="1041"/>
        <item x="1883"/>
        <item x="723"/>
        <item x="448"/>
        <item x="994"/>
        <item x="909"/>
        <item x="1896"/>
        <item x="2130"/>
        <item x="2071"/>
        <item x="1251"/>
        <item x="1483"/>
        <item x="319"/>
        <item x="1518"/>
        <item x="2164"/>
        <item x="1825"/>
        <item x="1399"/>
        <item x="15"/>
        <item x="114"/>
        <item x="2245"/>
        <item x="80"/>
        <item x="2479"/>
        <item x="1547"/>
        <item x="2808"/>
        <item x="2266"/>
        <item x="1059"/>
        <item x="2802"/>
        <item x="623"/>
        <item x="919"/>
        <item x="2383"/>
        <item x="1601"/>
        <item x="2141"/>
        <item x="2318"/>
        <item x="1418"/>
        <item x="1422"/>
        <item x="985"/>
        <item x="865"/>
        <item x="1859"/>
        <item x="2234"/>
        <item x="1911"/>
        <item x="2110"/>
        <item x="2693"/>
        <item x="649"/>
        <item x="1376"/>
        <item x="483"/>
        <item x="2650"/>
        <item x="611"/>
        <item x="2421"/>
        <item x="2882"/>
        <item x="1206"/>
        <item x="1065"/>
        <item x="163"/>
        <item x="2121"/>
        <item x="2800"/>
        <item x="2723"/>
        <item x="2877"/>
        <item x="986"/>
        <item x="316"/>
        <item x="691"/>
        <item x="169"/>
        <item x="2731"/>
        <item x="2051"/>
        <item x="1817"/>
        <item x="2538"/>
        <item x="2801"/>
        <item x="594"/>
        <item x="1610"/>
        <item x="788"/>
        <item x="825"/>
        <item x="816"/>
        <item x="1766"/>
        <item x="1933"/>
        <item x="1252"/>
        <item x="896"/>
        <item x="2763"/>
        <item x="620"/>
        <item x="590"/>
        <item x="2806"/>
        <item x="52"/>
        <item x="861"/>
        <item x="2551"/>
        <item x="2516"/>
        <item x="371"/>
        <item x="202"/>
        <item x="2643"/>
        <item x="381"/>
        <item x="571"/>
        <item x="2685"/>
        <item x="2878"/>
        <item x="1553"/>
        <item x="1245"/>
        <item x="1706"/>
        <item x="102"/>
        <item x="837"/>
        <item x="2365"/>
        <item x="731"/>
        <item x="1526"/>
        <item x="2248"/>
        <item x="914"/>
        <item x="344"/>
        <item x="1141"/>
        <item x="1653"/>
        <item x="1329"/>
        <item x="1613"/>
        <item x="1768"/>
        <item x="978"/>
        <item x="600"/>
        <item x="1670"/>
        <item x="2447"/>
        <item x="224"/>
        <item x="363"/>
        <item x="95"/>
        <item x="2273"/>
        <item x="673"/>
        <item x="1695"/>
        <item x="606"/>
        <item x="710"/>
        <item x="1326"/>
        <item x="63"/>
        <item x="1449"/>
        <item x="686"/>
        <item x="828"/>
        <item x="514"/>
        <item x="2267"/>
        <item x="1132"/>
        <item x="2588"/>
        <item x="2537"/>
        <item x="872"/>
        <item x="1955"/>
        <item x="480"/>
        <item x="1382"/>
        <item x="2510"/>
        <item x="954"/>
        <item x="2053"/>
        <item x="893"/>
        <item x="2547"/>
        <item x="539"/>
        <item x="2491"/>
        <item x="2035"/>
        <item x="2362"/>
        <item x="2140"/>
        <item x="172"/>
        <item x="1652"/>
        <item x="1959"/>
        <item x="153"/>
        <item x="1107"/>
        <item x="2896"/>
        <item x="904"/>
        <item x="1121"/>
        <item x="2829"/>
        <item x="1701"/>
        <item x="2697"/>
        <item x="2876"/>
        <item x="1822"/>
        <item x="79"/>
        <item x="1342"/>
        <item x="2561"/>
        <item x="2096"/>
        <item x="2444"/>
        <item x="1517"/>
        <item x="2792"/>
        <item x="796"/>
        <item x="988"/>
        <item x="1523"/>
        <item x="2819"/>
        <item x="1549"/>
        <item x="2255"/>
        <item x="2050"/>
        <item x="2814"/>
        <item x="798"/>
        <item x="2845"/>
        <item x="1929"/>
        <item x="346"/>
        <item x="1231"/>
        <item x="1253"/>
        <item x="2114"/>
        <item x="640"/>
        <item x="701"/>
        <item x="1105"/>
        <item x="1944"/>
        <item x="2086"/>
        <item x="238"/>
        <item x="1044"/>
        <item x="2865"/>
        <item x="315"/>
        <item x="1233"/>
        <item x="1744"/>
        <item x="569"/>
        <item x="1213"/>
        <item x="1069"/>
        <item x="992"/>
        <item x="314"/>
        <item x="1040"/>
        <item x="2726"/>
        <item x="1733"/>
        <item x="587"/>
        <item x="779"/>
        <item x="906"/>
        <item x="176"/>
        <item x="2864"/>
        <item x="91"/>
        <item x="1707"/>
        <item x="1350"/>
        <item x="1116"/>
        <item x="1807"/>
        <item x="179"/>
        <item x="1085"/>
        <item x="1833"/>
        <item x="1348"/>
        <item x="1748"/>
        <item x="1591"/>
        <item x="533"/>
        <item x="2543"/>
        <item x="1056"/>
        <item x="712"/>
        <item x="304"/>
        <item x="1655"/>
        <item x="2058"/>
        <item x="2512"/>
        <item x="260"/>
        <item x="392"/>
        <item x="1864"/>
        <item x="1284"/>
        <item x="257"/>
        <item x="2240"/>
        <item x="2397"/>
        <item x="925"/>
        <item x="1445"/>
        <item x="708"/>
        <item x="1856"/>
        <item x="350"/>
        <item x="1647"/>
        <item x="2214"/>
        <item x="1567"/>
        <item x="2610"/>
        <item x="1942"/>
        <item x="2728"/>
        <item x="2336"/>
        <item x="2097"/>
        <item x="2235"/>
        <item x="2601"/>
        <item x="1924"/>
        <item x="2803"/>
        <item x="644"/>
        <item x="1584"/>
        <item x="2730"/>
        <item x="811"/>
        <item x="2160"/>
        <item x="1945"/>
        <item x="1169"/>
        <item x="1227"/>
        <item x="1400"/>
        <item x="1867"/>
        <item x="2368"/>
        <item x="294"/>
        <item x="2750"/>
        <item x="1279"/>
        <item x="1384"/>
        <item x="1072"/>
        <item x="1871"/>
        <item x="2433"/>
        <item x="1723"/>
        <item x="2436"/>
        <item x="2393"/>
        <item x="352"/>
        <item x="165"/>
        <item x="119"/>
        <item x="993"/>
        <item x="2249"/>
        <item x="2739"/>
        <item x="1722"/>
        <item x="450"/>
        <item x="1742"/>
        <item x="2552"/>
        <item x="885"/>
        <item x="1237"/>
        <item x="1732"/>
        <item x="1293"/>
        <item x="990"/>
        <item x="867"/>
        <item x="1150"/>
        <item x="959"/>
        <item x="2010"/>
        <item x="2729"/>
        <item x="1996"/>
        <item x="2888"/>
        <item x="2528"/>
        <item x="175"/>
        <item x="277"/>
        <item x="2089"/>
        <item x="1160"/>
        <item x="1920"/>
        <item x="717"/>
        <item x="2676"/>
        <item x="2147"/>
        <item x="1668"/>
        <item x="1239"/>
        <item x="958"/>
        <item x="2375"/>
        <item x="882"/>
        <item x="1068"/>
        <item x="1971"/>
        <item x="1522"/>
        <item x="109"/>
        <item x="2253"/>
        <item x="1046"/>
        <item x="1975"/>
        <item x="505"/>
        <item x="1080"/>
        <item x="1512"/>
        <item x="1834"/>
        <item x="1405"/>
        <item x="326"/>
        <item x="949"/>
        <item x="2406"/>
        <item x="1163"/>
        <item x="923"/>
        <item x="2910"/>
        <item x="299"/>
        <item x="1415"/>
        <item x="929"/>
        <item x="2254"/>
        <item x="1878"/>
        <item x="2434"/>
        <item x="2265"/>
        <item x="2439"/>
        <item x="324"/>
        <item x="428"/>
        <item x="961"/>
        <item x="467"/>
        <item x="967"/>
        <item x="2386"/>
        <item x="2897"/>
        <item x="1205"/>
        <item x="722"/>
        <item x="2379"/>
        <item x="2518"/>
        <item x="2831"/>
        <item x="850"/>
        <item x="2342"/>
        <item x="1186"/>
        <item x="399"/>
        <item x="2703"/>
        <item x="1796"/>
        <item x="2367"/>
        <item x="498"/>
        <item x="279"/>
        <item x="159"/>
        <item x="1947"/>
        <item x="692"/>
        <item x="1870"/>
        <item x="972"/>
        <item x="1608"/>
        <item x="2007"/>
        <item x="1328"/>
        <item x="443"/>
        <item x="1159"/>
        <item x="1177"/>
        <item x="1425"/>
        <item x="1201"/>
        <item x="2469"/>
        <item x="1362"/>
        <item x="1004"/>
        <item x="2867"/>
        <item x="1686"/>
        <item x="2854"/>
        <item x="1571"/>
        <item x="1880"/>
        <item x="2460"/>
        <item x="2533"/>
        <item x="364"/>
        <item x="121"/>
        <item x="1784"/>
        <item x="1434"/>
        <item x="924"/>
        <item x="219"/>
        <item x="2374"/>
        <item x="2724"/>
        <item x="1446"/>
        <item x="1779"/>
        <item x="1217"/>
        <item x="596"/>
        <item x="1568"/>
        <item x="1917"/>
        <item x="1453"/>
        <item x="2315"/>
        <item x="2233"/>
        <item x="626"/>
        <item x="832"/>
        <item x="665"/>
        <item x="618"/>
        <item x="1855"/>
        <item x="653"/>
        <item x="775"/>
        <item x="507"/>
        <item x="2742"/>
        <item x="1915"/>
        <item x="1008"/>
        <item x="2635"/>
        <item x="2455"/>
        <item x="2744"/>
        <item x="2532"/>
        <item x="2044"/>
        <item x="70"/>
        <item x="2577"/>
        <item x="82"/>
        <item x="2637"/>
        <item x="1111"/>
        <item x="2082"/>
        <item x="1269"/>
        <item x="1122"/>
        <item x="2477"/>
        <item x="704"/>
        <item x="1193"/>
        <item x="747"/>
        <item x="632"/>
        <item x="1516"/>
        <item x="1070"/>
        <item x="1294"/>
        <item x="905"/>
        <item x="2440"/>
        <item x="212"/>
        <item x="1171"/>
        <item x="910"/>
        <item x="2748"/>
        <item x="1423"/>
        <item x="2743"/>
        <item x="1586"/>
        <item x="1424"/>
        <item x="2261"/>
        <item x="1840"/>
        <item x="557"/>
        <item x="1055"/>
        <item x="2230"/>
        <item x="19"/>
        <item x="1167"/>
        <item x="1627"/>
        <item x="1992"/>
        <item x="964"/>
        <item x="1421"/>
        <item x="1054"/>
        <item x="2842"/>
        <item x="917"/>
        <item x="827"/>
        <item x="2787"/>
        <item x="1378"/>
        <item x="161"/>
        <item x="695"/>
        <item x="568"/>
        <item x="2107"/>
        <item x="2335"/>
        <item x="830"/>
        <item x="1463"/>
        <item x="11"/>
        <item x="2762"/>
        <item x="190"/>
        <item x="1895"/>
        <item x="1198"/>
        <item x="1238"/>
        <item x="2826"/>
        <item x="2446"/>
        <item x="2911"/>
        <item x="1969"/>
        <item x="457"/>
        <item x="765"/>
        <item x="497"/>
        <item x="2772"/>
        <item x="2332"/>
        <item x="575"/>
        <item x="92"/>
        <item x="2745"/>
        <item x="1374"/>
        <item x="123"/>
        <item x="777"/>
        <item x="1697"/>
        <item x="1459"/>
        <item x="445"/>
        <item x="2150"/>
        <item x="313"/>
        <item x="2101"/>
        <item x="852"/>
        <item x="1451"/>
        <item x="2903"/>
        <item x="1094"/>
        <item x="2747"/>
        <item x="516"/>
        <item x="1736"/>
        <item x="2692"/>
        <item x="725"/>
        <item x="782"/>
        <item x="1414"/>
        <item x="652"/>
        <item x="2514"/>
        <item x="519"/>
        <item x="567"/>
        <item x="2300"/>
        <item x="688"/>
        <item x="1026"/>
        <item x="883"/>
        <item x="2709"/>
        <item x="200"/>
        <item x="1745"/>
        <item x="2229"/>
        <item x="1582"/>
        <item x="2244"/>
        <item x="1751"/>
        <item x="380"/>
        <item x="1071"/>
        <item x="556"/>
        <item x="236"/>
        <item x="1064"/>
        <item x="1666"/>
        <item x="2137"/>
        <item x="1556"/>
        <item x="117"/>
        <item x="2720"/>
        <item x="1135"/>
        <item x="2394"/>
        <item x="598"/>
        <item x="1687"/>
        <item x="1665"/>
        <item x="2104"/>
        <item x="1724"/>
        <item x="496"/>
        <item x="2093"/>
        <item x="1904"/>
        <item x="2277"/>
        <item x="258"/>
        <item x="854"/>
        <item x="840"/>
        <item x="2791"/>
        <item x="376"/>
        <item x="1474"/>
        <item x="2270"/>
        <item x="1577"/>
        <item x="248"/>
        <item x="2420"/>
        <item x="1480"/>
        <item x="308"/>
        <item x="1677"/>
        <item x="446"/>
        <item x="2402"/>
        <item x="1433"/>
        <item x="2196"/>
        <item x="763"/>
        <item x="1114"/>
        <item x="62"/>
        <item x="1894"/>
        <item x="1387"/>
        <item x="2419"/>
        <item x="1377"/>
        <item x="1615"/>
        <item x="1356"/>
        <item x="987"/>
        <item x="288"/>
        <item x="2596"/>
        <item x="420"/>
        <item x="1389"/>
        <item x="1636"/>
        <item x="2925"/>
        <item x="54"/>
        <item x="2435"/>
        <item x="250"/>
        <item x="1351"/>
        <item x="1560"/>
        <item x="222"/>
        <item x="597"/>
        <item x="2324"/>
        <item x="2655"/>
        <item x="2329"/>
        <item x="1101"/>
        <item x="2280"/>
        <item x="944"/>
        <item x="2875"/>
        <item x="39"/>
        <item x="1899"/>
        <item x="2740"/>
        <item x="247"/>
        <item x="1347"/>
        <item x="421"/>
        <item x="741"/>
        <item x="1145"/>
        <item x="1367"/>
        <item x="703"/>
        <item x="2735"/>
        <item x="230"/>
        <item x="1428"/>
        <item x="1638"/>
        <item x="1995"/>
        <item x="1406"/>
        <item x="562"/>
        <item x="2902"/>
        <item x="2646"/>
        <item x="2671"/>
        <item x="1472"/>
        <item x="1262"/>
        <item x="2360"/>
        <item x="2493"/>
        <item x="1785"/>
        <item x="1985"/>
        <item x="2171"/>
        <item x="2608"/>
        <item x="2100"/>
        <item x="45"/>
        <item x="1476"/>
        <item x="81"/>
        <item x="2451"/>
        <item x="1661"/>
        <item x="193"/>
        <item x="300"/>
        <item x="2415"/>
        <item x="1076"/>
        <item x="2146"/>
        <item x="607"/>
        <item x="696"/>
        <item x="1593"/>
        <item x="2468"/>
        <item x="171"/>
        <item x="1680"/>
        <item x="2459"/>
        <item x="881"/>
        <item x="2928"/>
        <item x="1283"/>
        <item x="103"/>
        <item x="1492"/>
        <item x="2626"/>
        <item x="285"/>
        <item x="1771"/>
        <item x="1117"/>
        <item x="1838"/>
        <item x="1256"/>
        <item x="2649"/>
        <item x="1296"/>
        <item x="2079"/>
        <item x="21"/>
        <item x="268"/>
        <item x="1401"/>
        <item x="1292"/>
        <item x="1716"/>
        <item x="518"/>
        <item x="2870"/>
        <item x="1244"/>
        <item x="1391"/>
        <item x="431"/>
        <item x="941"/>
        <item x="1941"/>
        <item x="133"/>
        <item x="1264"/>
        <item x="1388"/>
        <item x="385"/>
        <item x="1573"/>
        <item x="1542"/>
        <item x="1196"/>
        <item x="140"/>
        <item x="774"/>
        <item x="1873"/>
        <item x="146"/>
        <item x="2889"/>
        <item x="874"/>
        <item x="2727"/>
        <item x="650"/>
        <item x="1355"/>
        <item x="737"/>
        <item x="588"/>
        <item x="2033"/>
        <item x="1017"/>
        <item x="2135"/>
        <item x="2065"/>
        <item x="1907"/>
        <item x="1935"/>
        <item x="2638"/>
        <item x="2562"/>
        <item x="142"/>
        <item x="426"/>
        <item x="980"/>
        <item x="244"/>
        <item x="1882"/>
        <item x="521"/>
        <item x="1620"/>
        <item x="2698"/>
        <item x="2212"/>
        <item x="296"/>
        <item x="1258"/>
        <item x="2790"/>
        <item x="2915"/>
        <item x="100"/>
        <item x="2893"/>
        <item x="671"/>
        <item x="1800"/>
        <item x="1841"/>
        <item x="1506"/>
        <item x="2326"/>
        <item x="806"/>
        <item x="860"/>
        <item x="1721"/>
        <item x="211"/>
        <item x="282"/>
        <item x="1077"/>
        <item x="2464"/>
        <item x="2563"/>
        <item x="50"/>
        <item x="143"/>
        <item x="1529"/>
        <item x="2526"/>
        <item x="2134"/>
        <item x="1317"/>
        <item x="264"/>
        <item x="239"/>
        <item x="1312"/>
        <item x="616"/>
        <item x="1508"/>
        <item x="1596"/>
        <item x="2595"/>
        <item x="2062"/>
        <item x="76"/>
        <item x="1972"/>
        <item x="207"/>
        <item x="2339"/>
        <item x="783"/>
        <item x="1644"/>
        <item x="1419"/>
        <item x="683"/>
        <item x="1939"/>
        <item x="2580"/>
        <item x="2358"/>
        <item x="35"/>
        <item x="1991"/>
        <item x="2225"/>
        <item x="283"/>
        <item x="2361"/>
        <item x="1999"/>
        <item x="1074"/>
        <item x="1413"/>
        <item x="805"/>
        <item x="1783"/>
        <item x="2057"/>
        <item x="2450"/>
        <item x="1501"/>
        <item x="506"/>
        <item x="1095"/>
        <item x="2811"/>
        <item x="2287"/>
        <item x="2816"/>
        <item x="2628"/>
        <item x="26"/>
        <item x="1089"/>
        <item x="757"/>
        <item x="1789"/>
        <item x="1970"/>
        <item x="1097"/>
        <item x="1143"/>
        <item x="583"/>
        <item x="2839"/>
        <item x="460"/>
        <item x="888"/>
        <item x="2822"/>
        <item x="2529"/>
        <item x="1731"/>
        <item x="149"/>
        <item x="1973"/>
        <item x="1020"/>
        <item x="362"/>
        <item x="973"/>
        <item x="2256"/>
        <item x="2219"/>
        <item x="2168"/>
        <item x="2890"/>
        <item x="517"/>
        <item x="2211"/>
        <item x="2165"/>
        <item x="166"/>
        <item x="1576"/>
        <item x="2283"/>
        <item x="1278"/>
        <item x="147"/>
        <item x="2467"/>
        <item x="1988"/>
        <item x="1956"/>
        <item x="2540"/>
        <item x="2860"/>
        <item x="2241"/>
        <item x="799"/>
        <item x="265"/>
        <item x="2759"/>
        <item x="413"/>
        <item x="2269"/>
        <item x="719"/>
        <item x="2414"/>
        <item x="40"/>
        <item x="1103"/>
        <item x="1667"/>
        <item x="1260"/>
        <item x="1185"/>
        <item x="2478"/>
        <item x="754"/>
        <item x="2113"/>
        <item x="2513"/>
        <item x="2616"/>
        <item x="1630"/>
        <item x="1795"/>
        <item x="2619"/>
        <item x="916"/>
        <item x="417"/>
        <item x="661"/>
        <item x="735"/>
        <item x="1535"/>
        <item x="957"/>
        <item x="2495"/>
        <item x="948"/>
        <item x="174"/>
        <item x="2725"/>
        <item x="1622"/>
        <item x="983"/>
        <item x="585"/>
        <item x="2496"/>
        <item x="1366"/>
        <item x="2895"/>
        <item x="728"/>
        <item x="2037"/>
        <item x="307"/>
        <item x="1845"/>
        <item x="430"/>
        <item x="1438"/>
        <item x="2554"/>
        <item x="2416"/>
        <item x="2123"/>
        <item x="2118"/>
        <item x="2408"/>
        <item x="1165"/>
        <item x="1127"/>
        <item x="2011"/>
        <item x="1226"/>
        <item x="487"/>
        <item x="1977"/>
        <item x="1140"/>
        <item x="1814"/>
        <item x="1345"/>
        <item x="1663"/>
        <item x="1727"/>
        <item x="1657"/>
        <item x="1191"/>
        <item x="2413"/>
        <item x="1749"/>
        <item x="1826"/>
        <item x="601"/>
        <item x="2063"/>
        <item x="204"/>
        <item x="818"/>
        <item x="1093"/>
        <item x="1936"/>
        <item x="2894"/>
        <item x="2155"/>
        <item x="144"/>
        <item x="2306"/>
        <item x="2926"/>
        <item x="23"/>
        <item x="582"/>
        <item x="1308"/>
        <item x="996"/>
        <item x="1703"/>
        <item x="1288"/>
        <item x="2186"/>
        <item x="2898"/>
        <item x="1019"/>
        <item x="220"/>
        <item x="104"/>
        <item x="1229"/>
        <item x="2048"/>
        <item x="2207"/>
        <item x="1640"/>
        <item x="2574"/>
        <item x="2231"/>
        <item x="1951"/>
        <item x="2557"/>
        <item x="216"/>
        <item x="493"/>
        <item x="1079"/>
        <item x="2314"/>
        <item x="141"/>
        <item x="584"/>
        <item x="1273"/>
        <item x="1940"/>
        <item x="1049"/>
        <item x="1322"/>
        <item x="1774"/>
        <item x="1363"/>
        <item x="2553"/>
        <item x="1530"/>
        <item x="1922"/>
        <item x="2769"/>
        <item x="2579"/>
        <item x="2109"/>
        <item x="2624"/>
        <item x="1641"/>
        <item x="2852"/>
        <item x="1301"/>
        <item x="2924"/>
        <item x="43"/>
        <item x="759"/>
        <item x="842"/>
        <item x="2830"/>
        <item x="605"/>
        <item x="894"/>
        <item x="2858"/>
        <item x="970"/>
        <item x="2658"/>
        <item x="2351"/>
        <item x="705"/>
        <item x="624"/>
        <item x="2183"/>
        <item x="337"/>
        <item x="510"/>
        <item x="1862"/>
        <item x="1455"/>
        <item x="2345"/>
        <item x="495"/>
        <item x="2678"/>
        <item x="2403"/>
        <item x="1460"/>
        <item x="1158"/>
        <item x="915"/>
        <item x="1791"/>
        <item x="89"/>
        <item x="2081"/>
        <item x="2448"/>
        <item x="1946"/>
        <item x="2694"/>
        <item x="402"/>
        <item x="490"/>
        <item x="2809"/>
        <item x="1397"/>
        <item x="2215"/>
        <item x="366"/>
        <item x="75"/>
        <item x="937"/>
        <item x="2216"/>
        <item x="1494"/>
        <item x="1997"/>
        <item x="1761"/>
        <item x="122"/>
        <item x="1323"/>
        <item x="14"/>
        <item x="2578"/>
        <item x="241"/>
        <item x="1039"/>
        <item x="797"/>
        <item x="863"/>
        <item x="536"/>
        <item x="334"/>
        <item x="2823"/>
        <item x="1762"/>
        <item x="2463"/>
        <item x="2474"/>
        <item x="2199"/>
        <item x="465"/>
        <item x="1557"/>
        <item x="2157"/>
        <item x="1746"/>
        <item x="2872"/>
        <item x="579"/>
        <item x="499"/>
        <item x="1126"/>
        <item x="1232"/>
        <item x="1320"/>
        <item x="280"/>
        <item x="1102"/>
        <item x="1544"/>
        <item x="2788"/>
        <item x="4"/>
        <item x="1898"/>
        <item x="2258"/>
        <item x="1563"/>
        <item x="2679"/>
        <item x="1082"/>
        <item x="1220"/>
        <item x="645"/>
        <item x="1403"/>
        <item x="2112"/>
        <item x="372"/>
        <item x="1340"/>
        <item x="188"/>
        <item x="1464"/>
        <item x="2293"/>
        <item x="2281"/>
        <item x="1280"/>
        <item x="1134"/>
        <item x="1984"/>
        <item x="10"/>
        <item x="2525"/>
        <item x="2615"/>
        <item x="2863"/>
        <item x="730"/>
        <item x="185"/>
        <item x="423"/>
        <item x="1361"/>
        <item x="2627"/>
        <item x="2060"/>
        <item x="781"/>
        <item x="902"/>
        <item x="1676"/>
        <item x="2388"/>
        <item x="335"/>
        <item x="116"/>
        <item x="756"/>
        <item x="2227"/>
        <item x="1303"/>
        <item x="1656"/>
        <item x="625"/>
        <item x="22"/>
        <item x="773"/>
        <item x="355"/>
        <item x="2654"/>
        <item x="2238"/>
        <item x="956"/>
        <item x="1646"/>
        <item x="662"/>
        <item x="2056"/>
        <item x="1850"/>
        <item x="2681"/>
        <item x="1311"/>
        <item x="1949"/>
        <item x="2570"/>
        <item x="2718"/>
        <item x="1164"/>
        <item x="615"/>
        <item x="1927"/>
        <item x="1965"/>
        <item x="86"/>
        <item x="2668"/>
        <item x="1958"/>
        <item x="655"/>
        <item x="1884"/>
        <item x="2714"/>
        <item x="302"/>
        <item x="2084"/>
        <item x="478"/>
        <item x="1149"/>
        <item x="2320"/>
        <item x="327"/>
        <item x="2307"/>
        <item x="591"/>
        <item x="1307"/>
        <item x="1868"/>
        <item x="105"/>
        <item x="1087"/>
        <item x="2914"/>
        <item x="1979"/>
        <item x="2794"/>
        <item x="565"/>
        <item x="1633"/>
        <item x="2758"/>
        <item x="434"/>
        <item x="124"/>
        <item x="1892"/>
        <item x="1539"/>
        <item x="1006"/>
        <item x="345"/>
        <item x="2883"/>
        <item x="1552"/>
        <item x="660"/>
        <item x="2153"/>
        <item x="2167"/>
        <item x="1780"/>
        <item x="1489"/>
        <item x="469"/>
        <item x="1383"/>
        <item x="1048"/>
        <item x="1454"/>
        <item x="1493"/>
        <item x="1330"/>
        <item x="2786"/>
        <item x="504"/>
        <item x="553"/>
        <item x="749"/>
        <item x="1172"/>
        <item x="2206"/>
        <item x="1034"/>
        <item x="1993"/>
        <item x="844"/>
        <item x="2417"/>
        <item x="1013"/>
        <item x="1155"/>
        <item x="1147"/>
        <item x="1291"/>
        <item x="2385"/>
        <item x="740"/>
        <item x="112"/>
        <item x="1897"/>
        <item x="2568"/>
        <item x="0"/>
        <item x="303"/>
        <item x="826"/>
        <item x="2550"/>
        <item x="1431"/>
        <item x="1192"/>
        <item x="2501"/>
        <item x="1199"/>
        <item x="2400"/>
        <item x="1614"/>
        <item x="1178"/>
        <item x="1813"/>
        <item x="1466"/>
        <item x="2904"/>
        <item x="1212"/>
        <item x="1066"/>
        <item x="2343"/>
        <item x="60"/>
        <item x="1208"/>
        <item x="2614"/>
        <item x="2288"/>
        <item x="1012"/>
        <item x="1777"/>
        <item x="1337"/>
        <item x="634"/>
        <item x="2517"/>
        <item x="2825"/>
        <item x="1325"/>
        <item x="2775"/>
        <item x="1555"/>
        <item x="2208"/>
        <item x="2064"/>
        <item x="2605"/>
        <item x="1314"/>
        <item x="2029"/>
        <item x="486"/>
        <item x="93"/>
        <item x="1222"/>
        <item x="444"/>
        <item x="2312"/>
        <item x="936"/>
        <item x="1521"/>
        <item x="1843"/>
        <item x="2871"/>
        <item x="1888"/>
        <item x="2909"/>
        <item x="2558"/>
        <item x="669"/>
        <item x="2874"/>
        <item x="769"/>
        <item x="1497"/>
        <item x="2218"/>
        <item x="726"/>
        <item x="2585"/>
        <item x="1639"/>
        <item x="383"/>
        <item x="78"/>
        <item x="492"/>
        <item x="2617"/>
        <item x="1820"/>
        <item x="162"/>
        <item x="1931"/>
        <item x="1467"/>
        <item x="1597"/>
        <item x="1353"/>
        <item x="1989"/>
        <item x="197"/>
        <item x="1964"/>
        <item x="2027"/>
        <item x="1247"/>
        <item x="433"/>
        <item x="2765"/>
        <item x="1000"/>
        <item x="1214"/>
        <item x="1763"/>
        <item x="1612"/>
        <item x="576"/>
        <item x="1671"/>
        <item x="215"/>
        <item x="2392"/>
        <item x="1249"/>
        <item x="208"/>
        <item x="1902"/>
        <item x="999"/>
        <item x="2847"/>
        <item x="2840"/>
        <item x="2040"/>
        <item x="2154"/>
        <item x="2163"/>
        <item x="1750"/>
        <item x="107"/>
        <item x="1429"/>
        <item x="37"/>
        <item x="1659"/>
        <item x="1021"/>
        <item x="2598"/>
        <item x="379"/>
        <item x="1832"/>
        <item x="1372"/>
        <item x="1932"/>
        <item x="2706"/>
        <item x="2804"/>
        <item x="2592"/>
        <item x="1842"/>
        <item x="412"/>
        <item x="249"/>
        <item x="2556"/>
        <item x="670"/>
        <item x="2166"/>
        <item x="977"/>
        <item x="1029"/>
        <item x="1675"/>
        <item x="2194"/>
        <item x="2298"/>
        <item x="1554"/>
        <item x="2634"/>
        <item x="301"/>
        <item x="1531"/>
        <item x="1741"/>
        <item x="2322"/>
        <item x="550"/>
        <item x="2132"/>
        <item x="833"/>
        <item x="1224"/>
        <item x="2456"/>
        <item x="229"/>
        <item x="1207"/>
        <item x="1829"/>
        <item x="1710"/>
        <item x="1240"/>
        <item x="561"/>
        <item x="1773"/>
        <item x="456"/>
        <item x="1594"/>
        <item x="1030"/>
        <item x="267"/>
        <item x="2623"/>
        <item x="401"/>
        <item x="599"/>
        <item x="111"/>
        <item x="1866"/>
        <item x="1416"/>
        <item x="2504"/>
        <item x="2352"/>
        <item x="2252"/>
        <item x="566"/>
        <item x="2344"/>
        <item x="1705"/>
        <item x="1913"/>
        <item x="1846"/>
        <item x="1874"/>
        <item x="2651"/>
        <item x="2481"/>
        <item x="2503"/>
        <item x="2422"/>
        <item x="403"/>
        <item x="2399"/>
        <item x="2039"/>
        <item x="2509"/>
        <item x="969"/>
        <item x="1908"/>
        <item x="1683"/>
        <item x="1963"/>
        <item x="1241"/>
        <item x="1912"/>
        <item x="252"/>
        <item x="1799"/>
        <item x="1546"/>
        <item x="97"/>
        <item x="1504"/>
        <item x="1010"/>
        <item x="1113"/>
        <item x="530"/>
        <item x="1271"/>
        <item x="920"/>
        <item x="1033"/>
        <item x="357"/>
        <item x="2046"/>
        <item x="911"/>
        <item x="2175"/>
        <item x="864"/>
        <item x="1470"/>
        <item x="2090"/>
        <item x="1909"/>
        <item x="2707"/>
        <item x="1617"/>
        <item x="570"/>
        <item x="84"/>
        <item x="639"/>
        <item x="928"/>
        <item x="1998"/>
        <item x="2222"/>
        <item x="2075"/>
        <item x="406"/>
        <item x="1380"/>
        <item x="942"/>
        <item x="1263"/>
        <item x="813"/>
        <item x="397"/>
        <item x="2187"/>
        <item x="287"/>
        <item x="687"/>
        <item x="2767"/>
        <item x="2633"/>
        <item x="2498"/>
        <item x="951"/>
        <item x="1420"/>
        <item x="1672"/>
        <item x="429"/>
        <item x="269"/>
        <item x="2275"/>
        <item x="1725"/>
        <item x="1760"/>
        <item x="1803"/>
        <item x="2405"/>
        <item x="64"/>
        <item x="106"/>
        <item x="2741"/>
        <item x="1976"/>
        <item x="150"/>
        <item x="139"/>
        <item x="1181"/>
        <item x="196"/>
        <item x="563"/>
        <item x="9"/>
        <item x="1408"/>
        <item x="856"/>
        <item x="2299"/>
        <item x="1645"/>
        <item x="56"/>
        <item x="1860"/>
        <item x="1524"/>
        <item x="542"/>
        <item x="1282"/>
        <item x="926"/>
        <item x="2817"/>
        <item x="46"/>
        <item x="1569"/>
        <item x="538"/>
        <item x="53"/>
        <item x="99"/>
        <item x="16"/>
        <item x="2907"/>
        <item x="1674"/>
        <item x="2094"/>
        <item x="2751"/>
        <item x="1067"/>
        <item x="2192"/>
        <item x="2828"/>
        <item x="1295"/>
        <item x="1189"/>
        <item x="963"/>
        <item x="1960"/>
        <item x="733"/>
        <item x="44"/>
        <item x="2612"/>
        <item x="2670"/>
        <item x="2016"/>
        <item x="841"/>
        <item x="2453"/>
        <item x="1900"/>
        <item x="1848"/>
        <item x="90"/>
        <item x="2237"/>
        <item x="2539"/>
        <item x="2083"/>
        <item x="975"/>
        <item x="2906"/>
        <item x="1818"/>
        <item x="2559"/>
        <item x="2327"/>
        <item x="1651"/>
        <item x="524"/>
        <item x="1098"/>
        <item x="2795"/>
        <item x="900"/>
        <item x="1437"/>
        <item x="461"/>
        <item x="27"/>
        <item x="192"/>
        <item x="2857"/>
        <item x="2704"/>
        <item x="672"/>
        <item x="1042"/>
        <item x="1712"/>
        <item x="1183"/>
        <item x="804"/>
        <item x="1009"/>
        <item x="2095"/>
        <item x="1319"/>
        <item x="2246"/>
        <item x="390"/>
        <item x="135"/>
        <item x="608"/>
        <item x="2815"/>
        <item x="2066"/>
        <item x="554"/>
        <item x="2523"/>
        <item x="2138"/>
        <item x="2052"/>
        <item x="1190"/>
        <item x="1889"/>
        <item x="2129"/>
        <item x="113"/>
        <item x="960"/>
        <item x="178"/>
        <item x="718"/>
        <item x="2919"/>
        <item x="290"/>
        <item x="2835"/>
        <item x="1458"/>
        <item x="180"/>
        <item x="1274"/>
        <item x="2566"/>
        <item x="2778"/>
        <item x="981"/>
        <item x="997"/>
        <item x="2452"/>
        <item x="2929"/>
        <item x="838"/>
        <item x="1123"/>
        <item x="1715"/>
        <item x="1658"/>
        <item x="2127"/>
        <item x="1857"/>
        <item x="2719"/>
        <item x="2508"/>
        <item x="439"/>
        <item x="2505"/>
        <item x="1819"/>
        <item x="484"/>
        <item x="438"/>
        <item x="131"/>
        <item x="1921"/>
        <item x="1702"/>
        <item x="1266"/>
        <item x="1759"/>
        <item x="1028"/>
        <item x="1469"/>
        <item x="1756"/>
        <item x="195"/>
        <item x="2519"/>
        <item x="2346"/>
        <item x="984"/>
        <item x="1022"/>
        <item x="24"/>
        <item x="678"/>
        <item x="278"/>
        <item x="1689"/>
        <item x="182"/>
        <item x="1830"/>
        <item x="128"/>
        <item x="1349"/>
        <item x="2311"/>
        <item x="646"/>
        <item x="1468"/>
        <item x="742"/>
        <item x="289"/>
        <item x="2302"/>
        <item x="903"/>
        <item x="2756"/>
        <item x="2885"/>
        <item x="98"/>
        <item x="835"/>
        <item x="1681"/>
        <item x="266"/>
        <item x="170"/>
        <item x="68"/>
        <item x="1315"/>
        <item x="706"/>
        <item x="2292"/>
        <item x="752"/>
        <item x="2331"/>
        <item x="1631"/>
        <item x="2602"/>
        <item x="700"/>
        <item x="2156"/>
        <item x="1815"/>
        <item x="1015"/>
        <item x="1891"/>
        <item x="2263"/>
        <item x="1498"/>
        <item x="2067"/>
        <item x="138"/>
        <item x="1698"/>
        <item x="2879"/>
        <item x="291"/>
        <item x="298"/>
        <item x="1579"/>
        <item x="2457"/>
        <item x="2301"/>
        <item x="1346"/>
        <item x="809"/>
        <item x="2105"/>
        <item x="1327"/>
        <item x="425"/>
        <item x="522"/>
        <item x="1519"/>
        <item x="1863"/>
        <item x="2017"/>
        <item x="1851"/>
        <item x="1255"/>
        <item x="2363"/>
        <item x="581"/>
        <item x="1792"/>
        <item x="1390"/>
        <item x="2738"/>
        <item x="2038"/>
        <item x="2013"/>
        <item x="2511"/>
        <item x="361"/>
        <item x="1011"/>
        <item x="2221"/>
        <item x="2272"/>
        <item x="386"/>
        <item x="1720"/>
        <item x="794"/>
        <item x="2837"/>
        <item x="1152"/>
        <item x="321"/>
        <item x="1708"/>
        <item x="729"/>
        <item x="66"/>
        <item x="1700"/>
        <item x="685"/>
        <item x="59"/>
        <item x="707"/>
        <item x="2629"/>
        <item x="2317"/>
        <item x="2303"/>
        <item x="358"/>
        <item x="8"/>
        <item x="2648"/>
        <item x="2705"/>
        <item x="1120"/>
        <item x="233"/>
        <item x="1131"/>
        <item x="1195"/>
        <item x="693"/>
        <item x="1499"/>
        <item x="2569"/>
        <item x="2285"/>
        <item x="2309"/>
        <item x="393"/>
        <item x="1404"/>
        <item x="1592"/>
        <item x="2108"/>
        <item x="2049"/>
        <item x="2181"/>
        <item x="2708"/>
        <item x="405"/>
        <item x="1753"/>
        <item x="1642"/>
        <item x="2176"/>
        <item x="1852"/>
        <item x="2036"/>
        <item x="1302"/>
        <item x="2382"/>
        <item x="2061"/>
        <item x="1354"/>
        <item x="2201"/>
        <item x="508"/>
        <item x="2087"/>
        <item x="2665"/>
        <item x="411"/>
        <item x="666"/>
        <item x="1886"/>
        <item x="1714"/>
        <item x="2334"/>
        <item x="1003"/>
        <item x="77"/>
        <item x="866"/>
        <item x="2462"/>
        <item x="436"/>
        <item x="1129"/>
        <item x="714"/>
        <item x="2357"/>
        <item x="1200"/>
        <item x="1981"/>
        <item x="2673"/>
        <item x="1540"/>
        <item x="1962"/>
        <item x="1502"/>
        <item x="1139"/>
        <item x="501"/>
        <item x="1660"/>
        <item x="1589"/>
        <item x="974"/>
        <item x="2085"/>
        <item x="875"/>
        <item x="887"/>
        <item x="1903"/>
        <item x="2560"/>
        <item x="1604"/>
        <item x="2143"/>
        <item x="73"/>
        <item x="1839"/>
        <item x="332"/>
        <item x="2047"/>
        <item x="87"/>
        <item x="891"/>
        <item x="228"/>
        <item x="1385"/>
        <item x="1371"/>
        <item x="897"/>
        <item x="812"/>
        <item x="2423"/>
        <item x="851"/>
        <item x="736"/>
        <item x="1637"/>
        <item x="341"/>
        <item x="375"/>
        <item x="748"/>
        <item x="1849"/>
        <item x="2091"/>
        <item x="2359"/>
        <item x="820"/>
        <item x="768"/>
        <item x="470"/>
        <item x="2776"/>
        <item x="807"/>
        <item x="675"/>
        <item x="2631"/>
        <item x="2912"/>
        <item x="29"/>
        <item x="682"/>
        <item x="802"/>
        <item x="7"/>
        <item x="1572"/>
        <item x="2761"/>
        <item x="2004"/>
        <item x="1588"/>
        <item x="1696"/>
        <item x="2862"/>
        <item x="2916"/>
        <item x="2796"/>
        <item x="1684"/>
        <item x="965"/>
        <item x="382"/>
        <item x="2587"/>
        <item x="2483"/>
        <item x="2522"/>
        <item x="709"/>
        <item x="2683"/>
        <item x="2622"/>
        <item x="474"/>
        <item x="391"/>
        <item x="2687"/>
        <item x="181"/>
        <item x="2319"/>
        <item x="1357"/>
        <item x="262"/>
        <item x="908"/>
        <item x="1664"/>
        <item x="1691"/>
        <item x="476"/>
        <item x="547"/>
        <item x="2330"/>
        <item x="1339"/>
        <item x="2591"/>
        <item x="1234"/>
        <item x="310"/>
        <item x="217"/>
        <item x="2866"/>
        <item x="1673"/>
        <item x="2618"/>
        <item x="680"/>
        <item x="2812"/>
        <item x="1037"/>
        <item x="913"/>
        <item x="593"/>
        <item x="1154"/>
        <item x="2732"/>
        <item x="1166"/>
        <item x="1537"/>
        <item x="819"/>
        <item x="2472"/>
        <item x="2777"/>
        <item x="2733"/>
        <item x="2859"/>
        <item x="1966"/>
        <item x="1338"/>
        <item x="604"/>
        <item x="1138"/>
        <item x="2521"/>
        <item x="2833"/>
        <item x="879"/>
        <item x="786"/>
        <item x="2644"/>
        <item x="847"/>
        <item x="2594"/>
        <item x="1053"/>
        <item x="1541"/>
        <item x="1318"/>
        <item x="5"/>
        <item x="979"/>
        <item x="1585"/>
        <item x="2034"/>
        <item x="1678"/>
        <item x="1643"/>
        <item x="2180"/>
        <item x="1060"/>
        <item x="1336"/>
        <item x="1334"/>
        <item x="2438"/>
        <item x="338"/>
        <item x="2076"/>
        <item x="1396"/>
        <item x="388"/>
        <item x="408"/>
        <item x="2198"/>
        <item x="2774"/>
        <item x="1755"/>
        <item x="1804"/>
        <item x="459"/>
        <item x="1743"/>
        <item x="1679"/>
        <item x="462"/>
        <item x="1473"/>
        <item x="509"/>
        <item x="1930"/>
        <item x="2295"/>
        <item x="83"/>
        <item x="1216"/>
        <item x="2684"/>
        <item x="2736"/>
        <item x="746"/>
        <item x="203"/>
        <item x="2120"/>
        <item x="2139"/>
        <item x="2485"/>
        <item x="2102"/>
        <item x="1281"/>
        <item x="2838"/>
        <item x="96"/>
        <item x="1075"/>
        <item x="245"/>
        <item x="1485"/>
        <item x="2754"/>
        <item x="1110"/>
        <item x="210"/>
        <item x="491"/>
        <item x="441"/>
        <item x="1788"/>
        <item x="627"/>
        <item x="2567"/>
        <item x="720"/>
        <item x="343"/>
        <item x="55"/>
        <item x="410"/>
        <item x="1148"/>
        <item x="464"/>
        <item x="732"/>
        <item x="1625"/>
        <item x="2473"/>
        <item x="126"/>
        <item x="2784"/>
        <item x="2713"/>
        <item x="472"/>
        <item x="2642"/>
        <item x="1407"/>
        <item x="684"/>
        <item x="1532"/>
        <item x="1901"/>
        <item x="1412"/>
        <item x="2922"/>
        <item x="2310"/>
        <item x="2892"/>
        <item x="156"/>
        <item x="2771"/>
        <item x="2304"/>
        <item x="2530"/>
        <item x="1943"/>
        <item x="2242"/>
        <item x="643"/>
        <item x="1393"/>
        <item x="225"/>
        <item x="2395"/>
        <item x="2172"/>
        <item x="2542"/>
        <item x="1812"/>
        <item x="1061"/>
        <item x="2607"/>
        <item x="221"/>
        <item x="1747"/>
        <item x="2401"/>
        <item x="1767"/>
        <item x="1018"/>
        <item x="1386"/>
        <item x="1369"/>
        <item x="1381"/>
        <item x="743"/>
        <item x="2412"/>
        <item x="2593"/>
        <item x="592"/>
        <item x="1879"/>
        <item x="895"/>
        <item x="2760"/>
        <item x="1635"/>
        <item x="1277"/>
        <item x="2752"/>
        <item x="2042"/>
        <item x="1831"/>
        <item x="1024"/>
        <item x="1772"/>
        <item x="2000"/>
        <item x="2125"/>
        <item x="724"/>
        <item x="312"/>
        <item x="2232"/>
        <item x="2691"/>
        <item x="815"/>
        <item x="213"/>
        <item x="2625"/>
        <item x="218"/>
        <item x="2106"/>
        <item x="1808"/>
        <item x="422"/>
        <item x="760"/>
        <item x="2471"/>
        <item x="771"/>
        <item x="2659"/>
        <item x="679"/>
        <item x="1528"/>
        <item x="1452"/>
        <item x="2080"/>
        <item x="72"/>
        <item x="2565"/>
        <item x="651"/>
        <item x="793"/>
        <item x="20"/>
        <item x="1500"/>
        <item x="1835"/>
        <item x="2855"/>
        <item x="2213"/>
        <item x="702"/>
        <item x="2276"/>
        <item x="1309"/>
        <item x="2696"/>
        <item x="2609"/>
        <item x="418"/>
        <item x="2429"/>
        <item x="548"/>
        <item x="1045"/>
        <item x="560"/>
        <item x="2353"/>
        <item x="2236"/>
        <item x="808"/>
        <item x="1096"/>
        <item x="871"/>
        <item x="612"/>
        <item x="1276"/>
        <item x="657"/>
        <item x="1810"/>
        <item x="2396"/>
        <item x="1289"/>
        <item x="101"/>
        <item x="1230"/>
        <item x="551"/>
        <item x="2674"/>
        <item x="1844"/>
        <item x="251"/>
        <item x="1333"/>
        <item x="823"/>
        <item x="694"/>
        <item x="873"/>
        <item x="2350"/>
        <item x="2695"/>
        <item x="373"/>
        <item x="451"/>
        <item x="2470"/>
        <item x="2"/>
        <item x="1580"/>
        <item x="2119"/>
        <item x="1023"/>
        <item x="697"/>
        <item x="1496"/>
        <item x="2142"/>
        <item x="1824"/>
        <item x="764"/>
        <item x="1058"/>
        <item x="1570"/>
        <item x="862"/>
        <item x="1967"/>
        <item x="901"/>
        <item x="191"/>
        <item x="2264"/>
        <item x="2308"/>
        <item x="67"/>
        <item x="540"/>
        <item x="463"/>
        <item x="950"/>
        <item x="1341"/>
        <item x="31"/>
        <item x="2524"/>
        <item x="1527"/>
        <item x="1108"/>
        <item x="348"/>
        <item x="1910"/>
        <item x="1443"/>
        <item x="976"/>
        <item x="1598"/>
        <item x="2490"/>
        <item x="531"/>
        <item x="1699"/>
        <item x="1430"/>
        <item x="1259"/>
        <item x="2356"/>
        <item x="2152"/>
        <item x="2861"/>
        <item x="991"/>
        <item x="1513"/>
        <item x="1890"/>
        <item x="1112"/>
        <item x="271"/>
        <item x="2899"/>
        <item x="1358"/>
        <item x="12"/>
        <item x="2128"/>
        <item x="2389"/>
        <item x="452"/>
        <item x="110"/>
        <item x="424"/>
        <item x="886"/>
        <item x="1298"/>
        <item x="1051"/>
        <item x="1853"/>
        <item x="2920"/>
        <item x="360"/>
        <item x="231"/>
        <item x="2573"/>
        <item x="306"/>
        <item x="1690"/>
        <item x="2023"/>
        <item x="770"/>
        <item x="1718"/>
        <item x="2813"/>
        <item x="2001"/>
        <item x="2257"/>
        <item x="2660"/>
        <item x="1769"/>
        <item x="2905"/>
        <item x="2873"/>
        <item x="2749"/>
        <item x="2178"/>
        <item x="2321"/>
        <item x="1488"/>
        <item x="2425"/>
        <item x="2116"/>
        <item x="750"/>
        <item x="234"/>
        <item x="1693"/>
        <item x="1550"/>
        <item x="698"/>
        <item x="409"/>
        <item x="2224"/>
        <item x="2019"/>
        <item x="1937"/>
        <item x="1478"/>
        <item x="2024"/>
        <item x="635"/>
        <item x="526"/>
        <item x="647"/>
        <item x="2475"/>
        <item x="2480"/>
        <item x="1063"/>
        <item x="935"/>
        <item x="2702"/>
        <item x="2204"/>
        <item x="1566"/>
        <item x="1536"/>
        <item x="2913"/>
        <item x="57"/>
        <item x="610"/>
        <item x="982"/>
        <item x="407"/>
        <item x="1740"/>
        <item x="331"/>
        <item x="1410"/>
        <item x="2372"/>
        <item x="1735"/>
        <item x="17"/>
        <item x="1161"/>
        <item x="253"/>
        <item x="619"/>
        <item x="2541"/>
        <item x="2427"/>
        <item x="1197"/>
        <item x="2371"/>
        <item x="577"/>
        <item x="2611"/>
        <item x="2824"/>
        <item x="1052"/>
        <item x="574"/>
        <item x="1248"/>
        <item x="1104"/>
        <item x="447"/>
        <item x="2711"/>
        <item x="690"/>
        <item x="739"/>
        <item x="2546"/>
        <item x="1952"/>
        <item x="1823"/>
        <item x="1477"/>
        <item x="2636"/>
        <item x="227"/>
        <item x="1086"/>
        <item x="614"/>
        <item x="1057"/>
        <item x="2115"/>
        <item x="256"/>
        <item x="342"/>
        <item x="359"/>
        <item x="2003"/>
        <item x="617"/>
        <item x="1914"/>
        <item x="1146"/>
        <item x="2597"/>
        <item x="2620"/>
        <item x="2259"/>
        <item x="2323"/>
        <item x="1925"/>
        <item x="814"/>
        <item x="1847"/>
        <item x="573"/>
        <item x="689"/>
        <item x="1858"/>
        <item x="2656"/>
        <item x="1682"/>
        <item x="502"/>
        <item x="537"/>
        <item x="2783"/>
        <item x="2500"/>
        <item x="1035"/>
        <item x="235"/>
        <item x="641"/>
        <item x="2688"/>
        <item x="32"/>
        <item x="2746"/>
        <item x="1906"/>
        <item x="2884"/>
        <item x="1607"/>
        <item x="1787"/>
        <item x="520"/>
        <item x="2773"/>
        <item x="1558"/>
        <item x="206"/>
        <item x="1619"/>
        <item x="1603"/>
        <item x="1257"/>
        <item x="2431"/>
        <item x="94"/>
        <item x="2296"/>
        <item x="2555"/>
        <item x="2025"/>
        <item x="523"/>
        <item x="2098"/>
        <item x="2020"/>
        <item x="790"/>
        <item x="2092"/>
        <item x="1634"/>
        <item x="263"/>
        <item x="1290"/>
        <item x="1265"/>
        <item x="323"/>
        <item x="931"/>
        <item x="1821"/>
        <item x="396"/>
        <item x="2290"/>
        <item x="659"/>
        <item x="2690"/>
        <item x="1475"/>
        <item x="1394"/>
        <item x="1790"/>
        <item x="261"/>
        <item x="630"/>
        <item x="1654"/>
        <item x="2850"/>
        <item x="940"/>
        <item x="853"/>
        <item x="259"/>
        <item x="2576"/>
        <item x="2488"/>
        <item x="1881"/>
        <item x="946"/>
        <item x="1872"/>
        <item x="1806"/>
        <item x="1484"/>
        <item x="953"/>
        <item x="2923"/>
        <item x="485"/>
        <item x="1954"/>
        <item x="1491"/>
        <item x="48"/>
        <item x="1602"/>
        <item x="1124"/>
        <item x="1157"/>
        <item x="494"/>
        <item x="766"/>
        <item x="932"/>
        <item x="1465"/>
        <item x="2535"/>
        <item x="47"/>
        <item x="194"/>
        <item x="668"/>
        <item x="1144"/>
        <item x="564"/>
        <item x="800"/>
        <item x="664"/>
        <item x="1461"/>
        <item x="2210"/>
        <item x="275"/>
        <item x="1099"/>
        <item x="34"/>
        <item x="2055"/>
        <item x="1837"/>
        <item x="1487"/>
        <item x="1482"/>
        <item x="2099"/>
        <item x="1709"/>
        <item x="1905"/>
        <item x="2507"/>
        <item x="134"/>
        <item x="2677"/>
        <item x="1662"/>
        <item x="1726"/>
        <item x="1520"/>
        <item x="543"/>
        <item x="286"/>
        <item x="962"/>
        <item x="51"/>
        <item x="2647"/>
        <item x="1456"/>
        <item x="1088"/>
        <item x="943"/>
        <item x="2675"/>
        <item x="2721"/>
        <item x="586"/>
        <item x="2376"/>
        <item x="1221"/>
        <item x="821"/>
        <item x="621"/>
        <item x="471"/>
        <item x="1043"/>
        <item x="1133"/>
        <item x="2544"/>
        <item x="1605"/>
        <item x="1782"/>
        <item x="2482"/>
        <item x="2661"/>
        <item x="2663"/>
        <item x="2821"/>
        <item x="1254"/>
        <item x="1261"/>
        <item x="1704"/>
        <item x="1869"/>
        <item x="2606"/>
        <item x="2006"/>
        <item x="1621"/>
        <item x="1968"/>
        <item x="2366"/>
        <item x="2131"/>
        <item x="512"/>
        <item x="532"/>
        <item x="2111"/>
        <item x="2174"/>
        <item x="528"/>
        <item x="1629"/>
        <item x="1893"/>
        <item x="1379"/>
        <item x="2442"/>
        <item x="1047"/>
        <item x="3"/>
        <item x="2316"/>
        <item x="2239"/>
        <item x="1457"/>
        <item x="1275"/>
        <item x="1436"/>
        <item x="2424"/>
        <item x="1300"/>
        <item x="477"/>
        <item x="1184"/>
        <item x="1918"/>
        <item x="1507"/>
        <item x="2260"/>
        <item x="995"/>
        <item x="2278"/>
        <item x="1728"/>
        <item x="1299"/>
        <item x="2757"/>
        <item x="479"/>
        <item x="1306"/>
        <item x="353"/>
        <item x="1078"/>
        <item x="2581"/>
        <item x="183"/>
        <item x="744"/>
        <item x="780"/>
        <item x="349"/>
        <item x="1875"/>
        <item x="187"/>
        <item x="1797"/>
        <item x="1162"/>
        <item x="2228"/>
        <item x="1694"/>
        <item x="273"/>
        <item x="1409"/>
        <item x="127"/>
        <item x="2466"/>
        <item x="801"/>
        <item x="858"/>
        <item x="2489"/>
        <item x="223"/>
        <item x="1794"/>
        <item x="1649"/>
        <item x="255"/>
        <item x="2664"/>
        <item x="1170"/>
        <item x="276"/>
        <item x="795"/>
        <item x="272"/>
        <item x="2846"/>
        <item x="1770"/>
        <item x="132"/>
        <item x="237"/>
        <item x="1364"/>
        <item x="889"/>
        <item x="2682"/>
        <item x="2849"/>
        <item x="1737"/>
        <item x="404"/>
        <item x="525"/>
        <item x="1036"/>
        <item x="2054"/>
        <item x="2145"/>
        <item x="2494"/>
        <item x="1545"/>
        <item x="699"/>
        <item x="33"/>
        <item x="1534"/>
        <item x="2527"/>
        <item x="1987"/>
        <item x="868"/>
        <item x="384"/>
        <item x="817"/>
        <item x="2613"/>
        <item x="1583"/>
        <item x="137"/>
        <item x="1313"/>
        <item x="1392"/>
        <item x="2770"/>
        <item x="1182"/>
        <item x="546"/>
        <item x="1395"/>
        <item x="846"/>
        <item x="2722"/>
        <item x="374"/>
        <item x="2639"/>
        <item x="778"/>
        <item x="2177"/>
        <item x="1176"/>
        <item x="677"/>
        <item x="1027"/>
        <item x="2640"/>
        <item x="2443"/>
        <item x="1926"/>
        <item t="default"/>
      </items>
    </pivotField>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pivotField showAll="0"/>
    <pivotField axis="axisRow" showAll="0">
      <items count="4">
        <item x="1"/>
        <item x="0"/>
        <item x="2"/>
        <item t="default"/>
      </items>
    </pivotField>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Count of Patient_ID" fld="0" subtotal="count" baseField="11"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55BAD4-D7D9-4C99-A80D-C9333B8A36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3:E22" firstHeaderRow="1" firstDataRow="1" firstDataCol="1"/>
  <pivotFields count="15">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8">
        <item x="0"/>
        <item x="1"/>
        <item x="2"/>
        <item x="3"/>
        <item x="4"/>
        <item x="5"/>
        <item x="6"/>
        <item t="default"/>
      </items>
    </pivotField>
    <pivotField showAll="0">
      <items count="3">
        <item x="1"/>
        <item x="0"/>
        <item t="default"/>
      </items>
    </pivotField>
    <pivotField showAll="0">
      <items count="8">
        <item x="5"/>
        <item x="1"/>
        <item x="6"/>
        <item x="4"/>
        <item x="3"/>
        <item x="2"/>
        <item x="0"/>
        <item t="default"/>
      </items>
    </pivotField>
    <pivotField showAll="0">
      <items count="2931">
        <item x="1083"/>
        <item x="152"/>
        <item x="28"/>
        <item x="1002"/>
        <item x="2652"/>
        <item x="939"/>
        <item x="2286"/>
        <item x="442"/>
        <item x="339"/>
        <item x="713"/>
        <item x="292"/>
        <item x="368"/>
        <item x="387"/>
        <item x="1442"/>
        <item x="2836"/>
        <item x="136"/>
        <item x="676"/>
        <item x="2407"/>
        <item x="453"/>
        <item x="1978"/>
        <item x="822"/>
        <item x="1031"/>
        <item x="2179"/>
        <item x="633"/>
        <item x="2486"/>
        <item x="892"/>
        <item x="511"/>
        <item x="1561"/>
        <item x="2818"/>
        <item x="2782"/>
        <item x="367"/>
        <item x="322"/>
        <item x="305"/>
        <item x="209"/>
        <item x="398"/>
        <item x="1187"/>
        <item x="2021"/>
        <item x="2755"/>
        <item x="1982"/>
        <item x="2766"/>
        <item x="2370"/>
        <item x="1758"/>
        <item x="1581"/>
        <item x="727"/>
        <item x="549"/>
        <item x="158"/>
        <item x="1062"/>
        <item x="1471"/>
        <item x="1270"/>
        <item x="2841"/>
        <item x="1717"/>
        <item x="2667"/>
        <item x="2657"/>
        <item x="1125"/>
        <item x="2159"/>
        <item x="968"/>
        <item x="2810"/>
        <item x="2737"/>
        <item x="2549"/>
        <item x="2404"/>
        <item x="1130"/>
        <item x="333"/>
        <item x="1626"/>
        <item x="927"/>
        <item x="947"/>
        <item x="1486"/>
        <item x="2918"/>
        <item x="855"/>
        <item x="857"/>
        <item x="1514"/>
        <item x="1778"/>
        <item x="2868"/>
        <item x="199"/>
        <item x="351"/>
        <item x="2002"/>
        <item x="488"/>
        <item x="1624"/>
        <item x="328"/>
        <item x="1343"/>
        <item x="515"/>
        <item x="2072"/>
        <item x="1250"/>
        <item x="1928"/>
        <item x="890"/>
        <item x="2834"/>
        <item x="622"/>
        <item x="2381"/>
        <item x="2492"/>
        <item x="845"/>
        <item x="2645"/>
        <item x="2734"/>
        <item x="2545"/>
        <item x="2074"/>
        <item x="347"/>
        <item x="2200"/>
        <item x="2355"/>
        <item x="377"/>
        <item x="2078"/>
        <item x="1188"/>
        <item x="1809"/>
        <item x="2418"/>
        <item x="1370"/>
        <item x="38"/>
        <item x="2780"/>
        <item x="1980"/>
        <item x="2534"/>
        <item x="1180"/>
        <item x="1286"/>
        <item x="2313"/>
        <item x="1786"/>
        <item x="1623"/>
        <item x="2797"/>
        <item x="2268"/>
        <item x="922"/>
        <item x="270"/>
        <item x="952"/>
        <item x="1115"/>
        <item x="30"/>
        <item x="177"/>
        <item x="2599"/>
        <item x="829"/>
        <item x="848"/>
        <item x="2173"/>
        <item x="2584"/>
        <item x="2185"/>
        <item x="1775"/>
        <item x="1648"/>
        <item x="2305"/>
        <item x="2271"/>
        <item x="88"/>
        <item x="205"/>
        <item x="755"/>
        <item x="184"/>
        <item x="475"/>
        <item x="2126"/>
        <item x="1590"/>
        <item x="2030"/>
        <item x="2151"/>
        <item x="1375"/>
        <item x="246"/>
        <item x="1223"/>
        <item x="753"/>
        <item x="2247"/>
        <item x="898"/>
        <item x="1916"/>
        <item x="2117"/>
        <item x="1168"/>
        <item x="1081"/>
        <item x="1411"/>
        <item x="1574"/>
        <item x="1109"/>
        <item x="2251"/>
        <item x="148"/>
        <item x="340"/>
        <item x="2641"/>
        <item x="226"/>
        <item x="129"/>
        <item x="157"/>
        <item x="1137"/>
        <item x="558"/>
        <item x="2768"/>
        <item x="831"/>
        <item x="1738"/>
        <item x="61"/>
        <item x="1957"/>
        <item x="1511"/>
        <item x="108"/>
        <item x="2009"/>
        <item x="274"/>
        <item x="164"/>
        <item x="295"/>
        <item x="1798"/>
        <item x="1887"/>
        <item x="930"/>
        <item x="1439"/>
        <item x="2191"/>
        <item x="1479"/>
        <item x="1175"/>
        <item x="1551"/>
        <item x="2921"/>
        <item x="1877"/>
        <item x="41"/>
        <item x="1032"/>
        <item x="400"/>
        <item x="2461"/>
        <item x="2621"/>
        <item x="2369"/>
        <item x="1368"/>
        <item x="2340"/>
        <item x="1432"/>
        <item x="2409"/>
        <item x="2548"/>
        <item x="784"/>
        <item x="1236"/>
        <item x="151"/>
        <item x="1562"/>
        <item x="544"/>
        <item x="738"/>
        <item x="489"/>
        <item x="1816"/>
        <item x="2223"/>
        <item x="2582"/>
        <item x="2378"/>
        <item x="870"/>
        <item x="2881"/>
        <item x="2197"/>
        <item x="998"/>
        <item x="578"/>
        <item x="1885"/>
        <item x="189"/>
        <item x="1719"/>
        <item x="2012"/>
        <item x="2014"/>
        <item x="155"/>
        <item x="1793"/>
        <item x="356"/>
        <item x="2604"/>
        <item x="1510"/>
        <item x="1084"/>
        <item x="1344"/>
        <item x="1575"/>
        <item x="145"/>
        <item x="2848"/>
        <item x="2387"/>
        <item x="1599"/>
        <item x="1203"/>
        <item x="1505"/>
        <item x="1016"/>
        <item x="2886"/>
        <item x="2820"/>
        <item x="1360"/>
        <item x="2220"/>
        <item x="1321"/>
        <item x="297"/>
        <item x="85"/>
        <item x="354"/>
        <item x="2390"/>
        <item x="1304"/>
        <item x="320"/>
        <item x="311"/>
        <item x="2045"/>
        <item x="2158"/>
        <item x="1151"/>
        <item x="1441"/>
        <item x="2005"/>
        <item x="2432"/>
        <item x="1559"/>
        <item x="500"/>
        <item x="884"/>
        <item x="2347"/>
        <item x="843"/>
        <item x="2410"/>
        <item x="458"/>
        <item x="1014"/>
        <item x="2328"/>
        <item x="2077"/>
        <item x="1194"/>
        <item x="186"/>
        <item x="1174"/>
        <item x="2008"/>
        <item x="2603"/>
        <item x="716"/>
        <item x="1711"/>
        <item x="603"/>
        <item x="1352"/>
        <item x="1267"/>
        <item x="656"/>
        <item x="1776"/>
        <item x="2666"/>
        <item x="2348"/>
        <item x="1754"/>
        <item x="1765"/>
        <item x="1427"/>
        <item x="667"/>
        <item x="636"/>
        <item x="1447"/>
        <item x="663"/>
        <item x="2441"/>
        <item x="2445"/>
        <item x="966"/>
        <item x="1331"/>
        <item x="1632"/>
        <item x="2284"/>
        <item x="2454"/>
        <item x="1142"/>
        <item x="810"/>
        <item x="1"/>
        <item x="637"/>
        <item x="2484"/>
        <item x="1734"/>
        <item x="1335"/>
        <item x="878"/>
        <item x="602"/>
        <item x="2700"/>
        <item x="1450"/>
        <item x="2497"/>
        <item x="1316"/>
        <item x="899"/>
        <item x="1305"/>
        <item x="609"/>
        <item x="2170"/>
        <item x="2583"/>
        <item x="1509"/>
        <item x="1073"/>
        <item x="1444"/>
        <item x="595"/>
        <item x="1525"/>
        <item x="1533"/>
        <item x="559"/>
        <item x="849"/>
        <item x="654"/>
        <item x="395"/>
        <item x="2716"/>
        <item x="792"/>
        <item x="1440"/>
        <item x="1106"/>
        <item x="2226"/>
        <item x="776"/>
        <item x="1373"/>
        <item x="2209"/>
        <item x="2349"/>
        <item x="2026"/>
        <item x="2022"/>
        <item x="638"/>
        <item x="535"/>
        <item x="240"/>
        <item x="2162"/>
        <item x="2274"/>
        <item x="115"/>
        <item x="167"/>
        <item x="2059"/>
        <item x="414"/>
        <item x="503"/>
        <item x="2590"/>
        <item x="2869"/>
        <item x="2827"/>
        <item x="2571"/>
        <item x="1225"/>
        <item x="2908"/>
        <item x="2217"/>
        <item x="1215"/>
        <item x="2018"/>
        <item x="1038"/>
        <item x="767"/>
        <item x="201"/>
        <item x="877"/>
        <item x="2144"/>
        <item x="1802"/>
        <item x="284"/>
        <item x="1948"/>
        <item x="642"/>
        <item x="758"/>
        <item x="1600"/>
        <item x="859"/>
        <item x="1628"/>
        <item x="232"/>
        <item x="2689"/>
        <item x="2779"/>
        <item x="785"/>
        <item x="1490"/>
        <item x="2807"/>
        <item x="449"/>
        <item x="1739"/>
        <item x="2856"/>
        <item x="2798"/>
        <item x="1332"/>
        <item x="2669"/>
        <item x="1950"/>
        <item x="876"/>
        <item x="2294"/>
        <item x="2799"/>
        <item x="1503"/>
        <item x="1268"/>
        <item x="198"/>
        <item x="1548"/>
        <item x="2449"/>
        <item x="580"/>
        <item x="2203"/>
        <item x="309"/>
        <item x="880"/>
        <item x="118"/>
        <item x="2900"/>
        <item x="2793"/>
        <item x="329"/>
        <item x="2122"/>
        <item x="839"/>
        <item x="1836"/>
        <item x="721"/>
        <item x="2384"/>
        <item x="1876"/>
        <item x="1219"/>
        <item x="2586"/>
        <item x="761"/>
        <item x="1752"/>
        <item x="330"/>
        <item x="435"/>
        <item x="318"/>
        <item x="1417"/>
        <item x="2589"/>
        <item x="787"/>
        <item x="552"/>
        <item x="481"/>
        <item x="1953"/>
        <item x="49"/>
        <item x="2476"/>
        <item x="1974"/>
        <item x="715"/>
        <item x="921"/>
        <item x="1515"/>
        <item x="1861"/>
        <item x="1272"/>
        <item x="934"/>
        <item x="1587"/>
        <item x="2148"/>
        <item x="2506"/>
        <item x="2364"/>
        <item x="2250"/>
        <item x="2843"/>
        <item x="1218"/>
        <item x="2428"/>
        <item x="125"/>
        <item x="2377"/>
        <item x="1543"/>
        <item x="1606"/>
        <item x="2764"/>
        <item x="2844"/>
        <item x="2632"/>
        <item x="1713"/>
        <item x="2715"/>
        <item x="336"/>
        <item x="2851"/>
        <item x="317"/>
        <item x="938"/>
        <item x="1204"/>
        <item x="2015"/>
        <item x="1938"/>
        <item x="1005"/>
        <item x="2188"/>
        <item x="513"/>
        <item x="534"/>
        <item x="1669"/>
        <item x="1426"/>
        <item x="1179"/>
        <item x="2380"/>
        <item x="389"/>
        <item x="1827"/>
        <item x="120"/>
        <item x="2600"/>
        <item x="1685"/>
        <item x="2289"/>
        <item x="1156"/>
        <item x="1934"/>
        <item x="154"/>
        <item x="2070"/>
        <item x="1118"/>
        <item x="1986"/>
        <item x="2531"/>
        <item x="1119"/>
        <item x="2853"/>
        <item x="1994"/>
        <item x="2499"/>
        <item x="629"/>
        <item x="2891"/>
        <item x="1402"/>
        <item x="36"/>
        <item x="419"/>
        <item x="1243"/>
        <item x="2753"/>
        <item x="1781"/>
        <item x="2832"/>
        <item x="869"/>
        <item x="2354"/>
        <item x="824"/>
        <item x="648"/>
        <item x="130"/>
        <item x="1007"/>
        <item x="955"/>
        <item x="2184"/>
        <item x="454"/>
        <item x="2149"/>
        <item x="160"/>
        <item x="74"/>
        <item x="912"/>
        <item x="2031"/>
        <item x="2124"/>
        <item x="69"/>
        <item x="1228"/>
        <item x="2333"/>
        <item x="168"/>
        <item x="2917"/>
        <item x="1854"/>
        <item x="1730"/>
        <item x="2662"/>
        <item x="2653"/>
        <item x="2169"/>
        <item x="1578"/>
        <item x="42"/>
        <item x="2502"/>
        <item x="834"/>
        <item x="2880"/>
        <item x="1297"/>
        <item x="370"/>
        <item x="2282"/>
        <item x="1365"/>
        <item x="2572"/>
        <item x="2291"/>
        <item x="2073"/>
        <item x="2701"/>
        <item x="772"/>
        <item x="1616"/>
        <item x="6"/>
        <item x="1202"/>
        <item x="1310"/>
        <item x="1001"/>
        <item x="803"/>
        <item x="1990"/>
        <item x="2262"/>
        <item x="2297"/>
        <item x="1688"/>
        <item x="2699"/>
        <item x="1865"/>
        <item x="1611"/>
        <item x="2202"/>
        <item x="2437"/>
        <item x="734"/>
        <item x="1495"/>
        <item x="791"/>
        <item x="1128"/>
        <item x="545"/>
        <item x="2136"/>
        <item x="2189"/>
        <item x="2043"/>
        <item x="1235"/>
        <item x="1025"/>
        <item x="541"/>
        <item x="933"/>
        <item x="945"/>
        <item x="1961"/>
        <item x="1090"/>
        <item x="243"/>
        <item x="437"/>
        <item x="2205"/>
        <item x="2161"/>
        <item x="2088"/>
        <item x="2487"/>
        <item x="1757"/>
        <item x="2133"/>
        <item x="1538"/>
        <item x="2182"/>
        <item x="1729"/>
        <item x="1764"/>
        <item x="555"/>
        <item x="71"/>
        <item x="242"/>
        <item x="468"/>
        <item x="415"/>
        <item x="1050"/>
        <item x="631"/>
        <item x="2103"/>
        <item x="907"/>
        <item x="711"/>
        <item x="1595"/>
        <item x="2680"/>
        <item x="2781"/>
        <item x="2717"/>
        <item x="658"/>
        <item x="2430"/>
        <item x="527"/>
        <item x="1983"/>
        <item x="2337"/>
        <item x="2712"/>
        <item x="1285"/>
        <item x="2805"/>
        <item x="1919"/>
        <item x="751"/>
        <item x="2373"/>
        <item x="2686"/>
        <item x="1692"/>
        <item x="1398"/>
        <item x="589"/>
        <item x="2195"/>
        <item x="681"/>
        <item x="369"/>
        <item x="13"/>
        <item x="2041"/>
        <item x="1811"/>
        <item x="281"/>
        <item x="2190"/>
        <item x="466"/>
        <item x="918"/>
        <item x="1359"/>
        <item x="455"/>
        <item x="378"/>
        <item x="2789"/>
        <item x="2411"/>
        <item x="1173"/>
        <item x="214"/>
        <item x="440"/>
        <item x="989"/>
        <item x="58"/>
        <item x="18"/>
        <item x="2901"/>
        <item x="1435"/>
        <item x="432"/>
        <item x="628"/>
        <item x="2927"/>
        <item x="1462"/>
        <item x="2564"/>
        <item x="1153"/>
        <item x="1609"/>
        <item x="2630"/>
        <item x="2458"/>
        <item x="1828"/>
        <item x="325"/>
        <item x="1565"/>
        <item x="745"/>
        <item x="2710"/>
        <item x="2068"/>
        <item x="2243"/>
        <item x="1564"/>
        <item x="1100"/>
        <item x="836"/>
        <item x="1210"/>
        <item x="1136"/>
        <item x="1805"/>
        <item x="473"/>
        <item x="674"/>
        <item x="2338"/>
        <item x="2672"/>
        <item x="971"/>
        <item x="1092"/>
        <item x="2279"/>
        <item x="2341"/>
        <item x="65"/>
        <item x="254"/>
        <item x="365"/>
        <item x="1324"/>
        <item x="482"/>
        <item x="2536"/>
        <item x="1287"/>
        <item x="173"/>
        <item x="293"/>
        <item x="2032"/>
        <item x="1801"/>
        <item x="2069"/>
        <item x="2193"/>
        <item x="2391"/>
        <item x="1650"/>
        <item x="1242"/>
        <item x="2520"/>
        <item x="1209"/>
        <item x="789"/>
        <item x="1448"/>
        <item x="1246"/>
        <item x="2785"/>
        <item x="394"/>
        <item x="427"/>
        <item x="1211"/>
        <item x="2887"/>
        <item x="1923"/>
        <item x="1091"/>
        <item x="2398"/>
        <item x="2325"/>
        <item x="2515"/>
        <item x="762"/>
        <item x="529"/>
        <item x="2028"/>
        <item x="25"/>
        <item x="2465"/>
        <item x="1618"/>
        <item x="572"/>
        <item x="613"/>
        <item x="1481"/>
        <item x="2426"/>
        <item x="2575"/>
        <item x="416"/>
        <item x="1041"/>
        <item x="1883"/>
        <item x="723"/>
        <item x="448"/>
        <item x="994"/>
        <item x="909"/>
        <item x="1896"/>
        <item x="2130"/>
        <item x="2071"/>
        <item x="1251"/>
        <item x="1483"/>
        <item x="319"/>
        <item x="1518"/>
        <item x="2164"/>
        <item x="1825"/>
        <item x="1399"/>
        <item x="15"/>
        <item x="114"/>
        <item x="2245"/>
        <item x="80"/>
        <item x="2479"/>
        <item x="1547"/>
        <item x="2808"/>
        <item x="2266"/>
        <item x="1059"/>
        <item x="2802"/>
        <item x="623"/>
        <item x="919"/>
        <item x="2383"/>
        <item x="1601"/>
        <item x="2141"/>
        <item x="2318"/>
        <item x="1418"/>
        <item x="1422"/>
        <item x="985"/>
        <item x="865"/>
        <item x="1859"/>
        <item x="2234"/>
        <item x="1911"/>
        <item x="2110"/>
        <item x="2693"/>
        <item x="649"/>
        <item x="1376"/>
        <item x="483"/>
        <item x="2650"/>
        <item x="611"/>
        <item x="2421"/>
        <item x="2882"/>
        <item x="1206"/>
        <item x="1065"/>
        <item x="163"/>
        <item x="2121"/>
        <item x="2800"/>
        <item x="2723"/>
        <item x="2877"/>
        <item x="986"/>
        <item x="316"/>
        <item x="691"/>
        <item x="169"/>
        <item x="2731"/>
        <item x="2051"/>
        <item x="1817"/>
        <item x="2538"/>
        <item x="2801"/>
        <item x="594"/>
        <item x="1610"/>
        <item x="788"/>
        <item x="825"/>
        <item x="816"/>
        <item x="1766"/>
        <item x="1933"/>
        <item x="1252"/>
        <item x="896"/>
        <item x="2763"/>
        <item x="620"/>
        <item x="590"/>
        <item x="2806"/>
        <item x="52"/>
        <item x="861"/>
        <item x="2551"/>
        <item x="2516"/>
        <item x="371"/>
        <item x="202"/>
        <item x="2643"/>
        <item x="381"/>
        <item x="571"/>
        <item x="2685"/>
        <item x="2878"/>
        <item x="1553"/>
        <item x="1245"/>
        <item x="1706"/>
        <item x="102"/>
        <item x="837"/>
        <item x="2365"/>
        <item x="731"/>
        <item x="1526"/>
        <item x="2248"/>
        <item x="914"/>
        <item x="344"/>
        <item x="1141"/>
        <item x="1653"/>
        <item x="1329"/>
        <item x="1613"/>
        <item x="1768"/>
        <item x="978"/>
        <item x="600"/>
        <item x="1670"/>
        <item x="2447"/>
        <item x="224"/>
        <item x="363"/>
        <item x="95"/>
        <item x="2273"/>
        <item x="673"/>
        <item x="1695"/>
        <item x="606"/>
        <item x="710"/>
        <item x="1326"/>
        <item x="63"/>
        <item x="1449"/>
        <item x="686"/>
        <item x="828"/>
        <item x="514"/>
        <item x="2267"/>
        <item x="1132"/>
        <item x="2588"/>
        <item x="2537"/>
        <item x="872"/>
        <item x="1955"/>
        <item x="480"/>
        <item x="1382"/>
        <item x="2510"/>
        <item x="954"/>
        <item x="2053"/>
        <item x="893"/>
        <item x="2547"/>
        <item x="539"/>
        <item x="2491"/>
        <item x="2035"/>
        <item x="2362"/>
        <item x="2140"/>
        <item x="172"/>
        <item x="1652"/>
        <item x="1959"/>
        <item x="153"/>
        <item x="1107"/>
        <item x="2896"/>
        <item x="904"/>
        <item x="1121"/>
        <item x="2829"/>
        <item x="1701"/>
        <item x="2697"/>
        <item x="2876"/>
        <item x="1822"/>
        <item x="79"/>
        <item x="1342"/>
        <item x="2561"/>
        <item x="2096"/>
        <item x="2444"/>
        <item x="1517"/>
        <item x="2792"/>
        <item x="796"/>
        <item x="988"/>
        <item x="1523"/>
        <item x="2819"/>
        <item x="1549"/>
        <item x="2255"/>
        <item x="2050"/>
        <item x="2814"/>
        <item x="798"/>
        <item x="2845"/>
        <item x="1929"/>
        <item x="346"/>
        <item x="1231"/>
        <item x="1253"/>
        <item x="2114"/>
        <item x="640"/>
        <item x="701"/>
        <item x="1105"/>
        <item x="1944"/>
        <item x="2086"/>
        <item x="238"/>
        <item x="1044"/>
        <item x="2865"/>
        <item x="315"/>
        <item x="1233"/>
        <item x="1744"/>
        <item x="569"/>
        <item x="1213"/>
        <item x="1069"/>
        <item x="992"/>
        <item x="314"/>
        <item x="1040"/>
        <item x="2726"/>
        <item x="1733"/>
        <item x="587"/>
        <item x="779"/>
        <item x="906"/>
        <item x="176"/>
        <item x="2864"/>
        <item x="91"/>
        <item x="1707"/>
        <item x="1350"/>
        <item x="1116"/>
        <item x="1807"/>
        <item x="179"/>
        <item x="1085"/>
        <item x="1833"/>
        <item x="1348"/>
        <item x="1748"/>
        <item x="1591"/>
        <item x="533"/>
        <item x="2543"/>
        <item x="1056"/>
        <item x="712"/>
        <item x="304"/>
        <item x="1655"/>
        <item x="2058"/>
        <item x="2512"/>
        <item x="260"/>
        <item x="392"/>
        <item x="1864"/>
        <item x="1284"/>
        <item x="257"/>
        <item x="2240"/>
        <item x="2397"/>
        <item x="925"/>
        <item x="1445"/>
        <item x="708"/>
        <item x="1856"/>
        <item x="350"/>
        <item x="1647"/>
        <item x="2214"/>
        <item x="1567"/>
        <item x="2610"/>
        <item x="1942"/>
        <item x="2728"/>
        <item x="2336"/>
        <item x="2097"/>
        <item x="2235"/>
        <item x="2601"/>
        <item x="1924"/>
        <item x="2803"/>
        <item x="644"/>
        <item x="1584"/>
        <item x="2730"/>
        <item x="811"/>
        <item x="2160"/>
        <item x="1945"/>
        <item x="1169"/>
        <item x="1227"/>
        <item x="1400"/>
        <item x="1867"/>
        <item x="2368"/>
        <item x="294"/>
        <item x="2750"/>
        <item x="1279"/>
        <item x="1384"/>
        <item x="1072"/>
        <item x="1871"/>
        <item x="2433"/>
        <item x="1723"/>
        <item x="2436"/>
        <item x="2393"/>
        <item x="352"/>
        <item x="165"/>
        <item x="119"/>
        <item x="993"/>
        <item x="2249"/>
        <item x="2739"/>
        <item x="1722"/>
        <item x="450"/>
        <item x="1742"/>
        <item x="2552"/>
        <item x="885"/>
        <item x="1237"/>
        <item x="1732"/>
        <item x="1293"/>
        <item x="990"/>
        <item x="867"/>
        <item x="1150"/>
        <item x="959"/>
        <item x="2010"/>
        <item x="2729"/>
        <item x="1996"/>
        <item x="2888"/>
        <item x="2528"/>
        <item x="175"/>
        <item x="277"/>
        <item x="2089"/>
        <item x="1160"/>
        <item x="1920"/>
        <item x="717"/>
        <item x="2676"/>
        <item x="2147"/>
        <item x="1668"/>
        <item x="1239"/>
        <item x="958"/>
        <item x="2375"/>
        <item x="882"/>
        <item x="1068"/>
        <item x="1971"/>
        <item x="1522"/>
        <item x="109"/>
        <item x="2253"/>
        <item x="1046"/>
        <item x="1975"/>
        <item x="505"/>
        <item x="1080"/>
        <item x="1512"/>
        <item x="1834"/>
        <item x="1405"/>
        <item x="326"/>
        <item x="949"/>
        <item x="2406"/>
        <item x="1163"/>
        <item x="923"/>
        <item x="2910"/>
        <item x="299"/>
        <item x="1415"/>
        <item x="929"/>
        <item x="2254"/>
        <item x="1878"/>
        <item x="2434"/>
        <item x="2265"/>
        <item x="2439"/>
        <item x="324"/>
        <item x="428"/>
        <item x="961"/>
        <item x="467"/>
        <item x="967"/>
        <item x="2386"/>
        <item x="2897"/>
        <item x="1205"/>
        <item x="722"/>
        <item x="2379"/>
        <item x="2518"/>
        <item x="2831"/>
        <item x="850"/>
        <item x="2342"/>
        <item x="1186"/>
        <item x="399"/>
        <item x="2703"/>
        <item x="1796"/>
        <item x="2367"/>
        <item x="498"/>
        <item x="279"/>
        <item x="159"/>
        <item x="1947"/>
        <item x="692"/>
        <item x="1870"/>
        <item x="972"/>
        <item x="1608"/>
        <item x="2007"/>
        <item x="1328"/>
        <item x="443"/>
        <item x="1159"/>
        <item x="1177"/>
        <item x="1425"/>
        <item x="1201"/>
        <item x="2469"/>
        <item x="1362"/>
        <item x="1004"/>
        <item x="2867"/>
        <item x="1686"/>
        <item x="2854"/>
        <item x="1571"/>
        <item x="1880"/>
        <item x="2460"/>
        <item x="2533"/>
        <item x="364"/>
        <item x="121"/>
        <item x="1784"/>
        <item x="1434"/>
        <item x="924"/>
        <item x="219"/>
        <item x="2374"/>
        <item x="2724"/>
        <item x="1446"/>
        <item x="1779"/>
        <item x="1217"/>
        <item x="596"/>
        <item x="1568"/>
        <item x="1917"/>
        <item x="1453"/>
        <item x="2315"/>
        <item x="2233"/>
        <item x="626"/>
        <item x="832"/>
        <item x="665"/>
        <item x="618"/>
        <item x="1855"/>
        <item x="653"/>
        <item x="775"/>
        <item x="507"/>
        <item x="2742"/>
        <item x="1915"/>
        <item x="1008"/>
        <item x="2635"/>
        <item x="2455"/>
        <item x="2744"/>
        <item x="2532"/>
        <item x="2044"/>
        <item x="70"/>
        <item x="2577"/>
        <item x="82"/>
        <item x="2637"/>
        <item x="1111"/>
        <item x="2082"/>
        <item x="1269"/>
        <item x="1122"/>
        <item x="2477"/>
        <item x="704"/>
        <item x="1193"/>
        <item x="747"/>
        <item x="632"/>
        <item x="1516"/>
        <item x="1070"/>
        <item x="1294"/>
        <item x="905"/>
        <item x="2440"/>
        <item x="212"/>
        <item x="1171"/>
        <item x="910"/>
        <item x="2748"/>
        <item x="1423"/>
        <item x="2743"/>
        <item x="1586"/>
        <item x="1424"/>
        <item x="2261"/>
        <item x="1840"/>
        <item x="557"/>
        <item x="1055"/>
        <item x="2230"/>
        <item x="19"/>
        <item x="1167"/>
        <item x="1627"/>
        <item x="1992"/>
        <item x="964"/>
        <item x="1421"/>
        <item x="1054"/>
        <item x="2842"/>
        <item x="917"/>
        <item x="827"/>
        <item x="2787"/>
        <item x="1378"/>
        <item x="161"/>
        <item x="695"/>
        <item x="568"/>
        <item x="2107"/>
        <item x="2335"/>
        <item x="830"/>
        <item x="1463"/>
        <item x="11"/>
        <item x="2762"/>
        <item x="190"/>
        <item x="1895"/>
        <item x="1198"/>
        <item x="1238"/>
        <item x="2826"/>
        <item x="2446"/>
        <item x="2911"/>
        <item x="1969"/>
        <item x="457"/>
        <item x="765"/>
        <item x="497"/>
        <item x="2772"/>
        <item x="2332"/>
        <item x="575"/>
        <item x="92"/>
        <item x="2745"/>
        <item x="1374"/>
        <item x="123"/>
        <item x="777"/>
        <item x="1697"/>
        <item x="1459"/>
        <item x="445"/>
        <item x="2150"/>
        <item x="313"/>
        <item x="2101"/>
        <item x="852"/>
        <item x="1451"/>
        <item x="2903"/>
        <item x="1094"/>
        <item x="2747"/>
        <item x="516"/>
        <item x="1736"/>
        <item x="2692"/>
        <item x="725"/>
        <item x="782"/>
        <item x="1414"/>
        <item x="652"/>
        <item x="2514"/>
        <item x="519"/>
        <item x="567"/>
        <item x="2300"/>
        <item x="688"/>
        <item x="1026"/>
        <item x="883"/>
        <item x="2709"/>
        <item x="200"/>
        <item x="1745"/>
        <item x="2229"/>
        <item x="1582"/>
        <item x="2244"/>
        <item x="1751"/>
        <item x="380"/>
        <item x="1071"/>
        <item x="556"/>
        <item x="236"/>
        <item x="1064"/>
        <item x="1666"/>
        <item x="2137"/>
        <item x="1556"/>
        <item x="117"/>
        <item x="2720"/>
        <item x="1135"/>
        <item x="2394"/>
        <item x="598"/>
        <item x="1687"/>
        <item x="1665"/>
        <item x="2104"/>
        <item x="1724"/>
        <item x="496"/>
        <item x="2093"/>
        <item x="1904"/>
        <item x="2277"/>
        <item x="258"/>
        <item x="854"/>
        <item x="840"/>
        <item x="2791"/>
        <item x="376"/>
        <item x="1474"/>
        <item x="2270"/>
        <item x="1577"/>
        <item x="248"/>
        <item x="2420"/>
        <item x="1480"/>
        <item x="308"/>
        <item x="1677"/>
        <item x="446"/>
        <item x="2402"/>
        <item x="1433"/>
        <item x="2196"/>
        <item x="763"/>
        <item x="1114"/>
        <item x="62"/>
        <item x="1894"/>
        <item x="1387"/>
        <item x="2419"/>
        <item x="1377"/>
        <item x="1615"/>
        <item x="1356"/>
        <item x="987"/>
        <item x="288"/>
        <item x="2596"/>
        <item x="420"/>
        <item x="1389"/>
        <item x="1636"/>
        <item x="2925"/>
        <item x="54"/>
        <item x="2435"/>
        <item x="250"/>
        <item x="1351"/>
        <item x="1560"/>
        <item x="222"/>
        <item x="597"/>
        <item x="2324"/>
        <item x="2655"/>
        <item x="2329"/>
        <item x="1101"/>
        <item x="2280"/>
        <item x="944"/>
        <item x="2875"/>
        <item x="39"/>
        <item x="1899"/>
        <item x="2740"/>
        <item x="247"/>
        <item x="1347"/>
        <item x="421"/>
        <item x="741"/>
        <item x="1145"/>
        <item x="1367"/>
        <item x="703"/>
        <item x="2735"/>
        <item x="230"/>
        <item x="1428"/>
        <item x="1638"/>
        <item x="1995"/>
        <item x="1406"/>
        <item x="562"/>
        <item x="2902"/>
        <item x="2646"/>
        <item x="2671"/>
        <item x="1472"/>
        <item x="1262"/>
        <item x="2360"/>
        <item x="2493"/>
        <item x="1785"/>
        <item x="1985"/>
        <item x="2171"/>
        <item x="2608"/>
        <item x="2100"/>
        <item x="45"/>
        <item x="1476"/>
        <item x="81"/>
        <item x="2451"/>
        <item x="1661"/>
        <item x="193"/>
        <item x="300"/>
        <item x="2415"/>
        <item x="1076"/>
        <item x="2146"/>
        <item x="607"/>
        <item x="696"/>
        <item x="1593"/>
        <item x="2468"/>
        <item x="171"/>
        <item x="1680"/>
        <item x="2459"/>
        <item x="881"/>
        <item x="2928"/>
        <item x="1283"/>
        <item x="103"/>
        <item x="1492"/>
        <item x="2626"/>
        <item x="285"/>
        <item x="1771"/>
        <item x="1117"/>
        <item x="1838"/>
        <item x="1256"/>
        <item x="2649"/>
        <item x="1296"/>
        <item x="2079"/>
        <item x="21"/>
        <item x="268"/>
        <item x="1401"/>
        <item x="1292"/>
        <item x="1716"/>
        <item x="518"/>
        <item x="2870"/>
        <item x="1244"/>
        <item x="1391"/>
        <item x="431"/>
        <item x="941"/>
        <item x="1941"/>
        <item x="133"/>
        <item x="1264"/>
        <item x="1388"/>
        <item x="385"/>
        <item x="1573"/>
        <item x="1542"/>
        <item x="1196"/>
        <item x="140"/>
        <item x="774"/>
        <item x="1873"/>
        <item x="146"/>
        <item x="2889"/>
        <item x="874"/>
        <item x="2727"/>
        <item x="650"/>
        <item x="1355"/>
        <item x="737"/>
        <item x="588"/>
        <item x="2033"/>
        <item x="1017"/>
        <item x="2135"/>
        <item x="2065"/>
        <item x="1907"/>
        <item x="1935"/>
        <item x="2638"/>
        <item x="2562"/>
        <item x="142"/>
        <item x="426"/>
        <item x="980"/>
        <item x="244"/>
        <item x="1882"/>
        <item x="521"/>
        <item x="1620"/>
        <item x="2698"/>
        <item x="2212"/>
        <item x="296"/>
        <item x="1258"/>
        <item x="2790"/>
        <item x="2915"/>
        <item x="100"/>
        <item x="2893"/>
        <item x="671"/>
        <item x="1800"/>
        <item x="1841"/>
        <item x="1506"/>
        <item x="2326"/>
        <item x="806"/>
        <item x="860"/>
        <item x="1721"/>
        <item x="211"/>
        <item x="282"/>
        <item x="1077"/>
        <item x="2464"/>
        <item x="2563"/>
        <item x="50"/>
        <item x="143"/>
        <item x="1529"/>
        <item x="2526"/>
        <item x="2134"/>
        <item x="1317"/>
        <item x="264"/>
        <item x="239"/>
        <item x="1312"/>
        <item x="616"/>
        <item x="1508"/>
        <item x="1596"/>
        <item x="2595"/>
        <item x="2062"/>
        <item x="76"/>
        <item x="1972"/>
        <item x="207"/>
        <item x="2339"/>
        <item x="783"/>
        <item x="1644"/>
        <item x="1419"/>
        <item x="683"/>
        <item x="1939"/>
        <item x="2580"/>
        <item x="2358"/>
        <item x="35"/>
        <item x="1991"/>
        <item x="2225"/>
        <item x="283"/>
        <item x="2361"/>
        <item x="1999"/>
        <item x="1074"/>
        <item x="1413"/>
        <item x="805"/>
        <item x="1783"/>
        <item x="2057"/>
        <item x="2450"/>
        <item x="1501"/>
        <item x="506"/>
        <item x="1095"/>
        <item x="2811"/>
        <item x="2287"/>
        <item x="2816"/>
        <item x="2628"/>
        <item x="26"/>
        <item x="1089"/>
        <item x="757"/>
        <item x="1789"/>
        <item x="1970"/>
        <item x="1097"/>
        <item x="1143"/>
        <item x="583"/>
        <item x="2839"/>
        <item x="460"/>
        <item x="888"/>
        <item x="2822"/>
        <item x="2529"/>
        <item x="1731"/>
        <item x="149"/>
        <item x="1973"/>
        <item x="1020"/>
        <item x="362"/>
        <item x="973"/>
        <item x="2256"/>
        <item x="2219"/>
        <item x="2168"/>
        <item x="2890"/>
        <item x="517"/>
        <item x="2211"/>
        <item x="2165"/>
        <item x="166"/>
        <item x="1576"/>
        <item x="2283"/>
        <item x="1278"/>
        <item x="147"/>
        <item x="2467"/>
        <item x="1988"/>
        <item x="1956"/>
        <item x="2540"/>
        <item x="2860"/>
        <item x="2241"/>
        <item x="799"/>
        <item x="265"/>
        <item x="2759"/>
        <item x="413"/>
        <item x="2269"/>
        <item x="719"/>
        <item x="2414"/>
        <item x="40"/>
        <item x="1103"/>
        <item x="1667"/>
        <item x="1260"/>
        <item x="1185"/>
        <item x="2478"/>
        <item x="754"/>
        <item x="2113"/>
        <item x="2513"/>
        <item x="2616"/>
        <item x="1630"/>
        <item x="1795"/>
        <item x="2619"/>
        <item x="916"/>
        <item x="417"/>
        <item x="661"/>
        <item x="735"/>
        <item x="1535"/>
        <item x="957"/>
        <item x="2495"/>
        <item x="948"/>
        <item x="174"/>
        <item x="2725"/>
        <item x="1622"/>
        <item x="983"/>
        <item x="585"/>
        <item x="2496"/>
        <item x="1366"/>
        <item x="2895"/>
        <item x="728"/>
        <item x="2037"/>
        <item x="307"/>
        <item x="1845"/>
        <item x="430"/>
        <item x="1438"/>
        <item x="2554"/>
        <item x="2416"/>
        <item x="2123"/>
        <item x="2118"/>
        <item x="2408"/>
        <item x="1165"/>
        <item x="1127"/>
        <item x="2011"/>
        <item x="1226"/>
        <item x="487"/>
        <item x="1977"/>
        <item x="1140"/>
        <item x="1814"/>
        <item x="1345"/>
        <item x="1663"/>
        <item x="1727"/>
        <item x="1657"/>
        <item x="1191"/>
        <item x="2413"/>
        <item x="1749"/>
        <item x="1826"/>
        <item x="601"/>
        <item x="2063"/>
        <item x="204"/>
        <item x="818"/>
        <item x="1093"/>
        <item x="1936"/>
        <item x="2894"/>
        <item x="2155"/>
        <item x="144"/>
        <item x="2306"/>
        <item x="2926"/>
        <item x="23"/>
        <item x="582"/>
        <item x="1308"/>
        <item x="996"/>
        <item x="1703"/>
        <item x="1288"/>
        <item x="2186"/>
        <item x="2898"/>
        <item x="1019"/>
        <item x="220"/>
        <item x="104"/>
        <item x="1229"/>
        <item x="2048"/>
        <item x="2207"/>
        <item x="1640"/>
        <item x="2574"/>
        <item x="2231"/>
        <item x="1951"/>
        <item x="2557"/>
        <item x="216"/>
        <item x="493"/>
        <item x="1079"/>
        <item x="2314"/>
        <item x="141"/>
        <item x="584"/>
        <item x="1273"/>
        <item x="1940"/>
        <item x="1049"/>
        <item x="1322"/>
        <item x="1774"/>
        <item x="1363"/>
        <item x="2553"/>
        <item x="1530"/>
        <item x="1922"/>
        <item x="2769"/>
        <item x="2579"/>
        <item x="2109"/>
        <item x="2624"/>
        <item x="1641"/>
        <item x="2852"/>
        <item x="1301"/>
        <item x="2924"/>
        <item x="43"/>
        <item x="759"/>
        <item x="842"/>
        <item x="2830"/>
        <item x="605"/>
        <item x="894"/>
        <item x="2858"/>
        <item x="970"/>
        <item x="2658"/>
        <item x="2351"/>
        <item x="705"/>
        <item x="624"/>
        <item x="2183"/>
        <item x="337"/>
        <item x="510"/>
        <item x="1862"/>
        <item x="1455"/>
        <item x="2345"/>
        <item x="495"/>
        <item x="2678"/>
        <item x="2403"/>
        <item x="1460"/>
        <item x="1158"/>
        <item x="915"/>
        <item x="1791"/>
        <item x="89"/>
        <item x="2081"/>
        <item x="2448"/>
        <item x="1946"/>
        <item x="2694"/>
        <item x="402"/>
        <item x="490"/>
        <item x="2809"/>
        <item x="1397"/>
        <item x="2215"/>
        <item x="366"/>
        <item x="75"/>
        <item x="937"/>
        <item x="2216"/>
        <item x="1494"/>
        <item x="1997"/>
        <item x="1761"/>
        <item x="122"/>
        <item x="1323"/>
        <item x="14"/>
        <item x="2578"/>
        <item x="241"/>
        <item x="1039"/>
        <item x="797"/>
        <item x="863"/>
        <item x="536"/>
        <item x="334"/>
        <item x="2823"/>
        <item x="1762"/>
        <item x="2463"/>
        <item x="2474"/>
        <item x="2199"/>
        <item x="465"/>
        <item x="1557"/>
        <item x="2157"/>
        <item x="1746"/>
        <item x="2872"/>
        <item x="579"/>
        <item x="499"/>
        <item x="1126"/>
        <item x="1232"/>
        <item x="1320"/>
        <item x="280"/>
        <item x="1102"/>
        <item x="1544"/>
        <item x="2788"/>
        <item x="4"/>
        <item x="1898"/>
        <item x="2258"/>
        <item x="1563"/>
        <item x="2679"/>
        <item x="1082"/>
        <item x="1220"/>
        <item x="645"/>
        <item x="1403"/>
        <item x="2112"/>
        <item x="372"/>
        <item x="1340"/>
        <item x="188"/>
        <item x="1464"/>
        <item x="2293"/>
        <item x="2281"/>
        <item x="1280"/>
        <item x="1134"/>
        <item x="1984"/>
        <item x="10"/>
        <item x="2525"/>
        <item x="2615"/>
        <item x="2863"/>
        <item x="730"/>
        <item x="185"/>
        <item x="423"/>
        <item x="1361"/>
        <item x="2627"/>
        <item x="2060"/>
        <item x="781"/>
        <item x="902"/>
        <item x="1676"/>
        <item x="2388"/>
        <item x="335"/>
        <item x="116"/>
        <item x="756"/>
        <item x="2227"/>
        <item x="1303"/>
        <item x="1656"/>
        <item x="625"/>
        <item x="22"/>
        <item x="773"/>
        <item x="355"/>
        <item x="2654"/>
        <item x="2238"/>
        <item x="956"/>
        <item x="1646"/>
        <item x="662"/>
        <item x="2056"/>
        <item x="1850"/>
        <item x="2681"/>
        <item x="1311"/>
        <item x="1949"/>
        <item x="2570"/>
        <item x="2718"/>
        <item x="1164"/>
        <item x="615"/>
        <item x="1927"/>
        <item x="1965"/>
        <item x="86"/>
        <item x="2668"/>
        <item x="1958"/>
        <item x="655"/>
        <item x="1884"/>
        <item x="2714"/>
        <item x="302"/>
        <item x="2084"/>
        <item x="478"/>
        <item x="1149"/>
        <item x="2320"/>
        <item x="327"/>
        <item x="2307"/>
        <item x="591"/>
        <item x="1307"/>
        <item x="1868"/>
        <item x="105"/>
        <item x="1087"/>
        <item x="2914"/>
        <item x="1979"/>
        <item x="2794"/>
        <item x="565"/>
        <item x="1633"/>
        <item x="2758"/>
        <item x="434"/>
        <item x="124"/>
        <item x="1892"/>
        <item x="1539"/>
        <item x="1006"/>
        <item x="345"/>
        <item x="2883"/>
        <item x="1552"/>
        <item x="660"/>
        <item x="2153"/>
        <item x="2167"/>
        <item x="1780"/>
        <item x="1489"/>
        <item x="469"/>
        <item x="1383"/>
        <item x="1048"/>
        <item x="1454"/>
        <item x="1493"/>
        <item x="1330"/>
        <item x="2786"/>
        <item x="504"/>
        <item x="553"/>
        <item x="749"/>
        <item x="1172"/>
        <item x="2206"/>
        <item x="1034"/>
        <item x="1993"/>
        <item x="844"/>
        <item x="2417"/>
        <item x="1013"/>
        <item x="1155"/>
        <item x="1147"/>
        <item x="1291"/>
        <item x="2385"/>
        <item x="740"/>
        <item x="112"/>
        <item x="1897"/>
        <item x="2568"/>
        <item x="0"/>
        <item x="303"/>
        <item x="826"/>
        <item x="2550"/>
        <item x="1431"/>
        <item x="1192"/>
        <item x="2501"/>
        <item x="1199"/>
        <item x="2400"/>
        <item x="1614"/>
        <item x="1178"/>
        <item x="1813"/>
        <item x="1466"/>
        <item x="2904"/>
        <item x="1212"/>
        <item x="1066"/>
        <item x="2343"/>
        <item x="60"/>
        <item x="1208"/>
        <item x="2614"/>
        <item x="2288"/>
        <item x="1012"/>
        <item x="1777"/>
        <item x="1337"/>
        <item x="634"/>
        <item x="2517"/>
        <item x="2825"/>
        <item x="1325"/>
        <item x="2775"/>
        <item x="1555"/>
        <item x="2208"/>
        <item x="2064"/>
        <item x="2605"/>
        <item x="1314"/>
        <item x="2029"/>
        <item x="486"/>
        <item x="93"/>
        <item x="1222"/>
        <item x="444"/>
        <item x="2312"/>
        <item x="936"/>
        <item x="1521"/>
        <item x="1843"/>
        <item x="2871"/>
        <item x="1888"/>
        <item x="2909"/>
        <item x="2558"/>
        <item x="669"/>
        <item x="2874"/>
        <item x="769"/>
        <item x="1497"/>
        <item x="2218"/>
        <item x="726"/>
        <item x="2585"/>
        <item x="1639"/>
        <item x="383"/>
        <item x="78"/>
        <item x="492"/>
        <item x="2617"/>
        <item x="1820"/>
        <item x="162"/>
        <item x="1931"/>
        <item x="1467"/>
        <item x="1597"/>
        <item x="1353"/>
        <item x="1989"/>
        <item x="197"/>
        <item x="1964"/>
        <item x="2027"/>
        <item x="1247"/>
        <item x="433"/>
        <item x="2765"/>
        <item x="1000"/>
        <item x="1214"/>
        <item x="1763"/>
        <item x="1612"/>
        <item x="576"/>
        <item x="1671"/>
        <item x="215"/>
        <item x="2392"/>
        <item x="1249"/>
        <item x="208"/>
        <item x="1902"/>
        <item x="999"/>
        <item x="2847"/>
        <item x="2840"/>
        <item x="2040"/>
        <item x="2154"/>
        <item x="2163"/>
        <item x="1750"/>
        <item x="107"/>
        <item x="1429"/>
        <item x="37"/>
        <item x="1659"/>
        <item x="1021"/>
        <item x="2598"/>
        <item x="379"/>
        <item x="1832"/>
        <item x="1372"/>
        <item x="1932"/>
        <item x="2706"/>
        <item x="2804"/>
        <item x="2592"/>
        <item x="1842"/>
        <item x="412"/>
        <item x="249"/>
        <item x="2556"/>
        <item x="670"/>
        <item x="2166"/>
        <item x="977"/>
        <item x="1029"/>
        <item x="1675"/>
        <item x="2194"/>
        <item x="2298"/>
        <item x="1554"/>
        <item x="2634"/>
        <item x="301"/>
        <item x="1531"/>
        <item x="1741"/>
        <item x="2322"/>
        <item x="550"/>
        <item x="2132"/>
        <item x="833"/>
        <item x="1224"/>
        <item x="2456"/>
        <item x="229"/>
        <item x="1207"/>
        <item x="1829"/>
        <item x="1710"/>
        <item x="1240"/>
        <item x="561"/>
        <item x="1773"/>
        <item x="456"/>
        <item x="1594"/>
        <item x="1030"/>
        <item x="267"/>
        <item x="2623"/>
        <item x="401"/>
        <item x="599"/>
        <item x="111"/>
        <item x="1866"/>
        <item x="1416"/>
        <item x="2504"/>
        <item x="2352"/>
        <item x="2252"/>
        <item x="566"/>
        <item x="2344"/>
        <item x="1705"/>
        <item x="1913"/>
        <item x="1846"/>
        <item x="1874"/>
        <item x="2651"/>
        <item x="2481"/>
        <item x="2503"/>
        <item x="2422"/>
        <item x="403"/>
        <item x="2399"/>
        <item x="2039"/>
        <item x="2509"/>
        <item x="969"/>
        <item x="1908"/>
        <item x="1683"/>
        <item x="1963"/>
        <item x="1241"/>
        <item x="1912"/>
        <item x="252"/>
        <item x="1799"/>
        <item x="1546"/>
        <item x="97"/>
        <item x="1504"/>
        <item x="1010"/>
        <item x="1113"/>
        <item x="530"/>
        <item x="1271"/>
        <item x="920"/>
        <item x="1033"/>
        <item x="357"/>
        <item x="2046"/>
        <item x="911"/>
        <item x="2175"/>
        <item x="864"/>
        <item x="1470"/>
        <item x="2090"/>
        <item x="1909"/>
        <item x="2707"/>
        <item x="1617"/>
        <item x="570"/>
        <item x="84"/>
        <item x="639"/>
        <item x="928"/>
        <item x="1998"/>
        <item x="2222"/>
        <item x="2075"/>
        <item x="406"/>
        <item x="1380"/>
        <item x="942"/>
        <item x="1263"/>
        <item x="813"/>
        <item x="397"/>
        <item x="2187"/>
        <item x="287"/>
        <item x="687"/>
        <item x="2767"/>
        <item x="2633"/>
        <item x="2498"/>
        <item x="951"/>
        <item x="1420"/>
        <item x="1672"/>
        <item x="429"/>
        <item x="269"/>
        <item x="2275"/>
        <item x="1725"/>
        <item x="1760"/>
        <item x="1803"/>
        <item x="2405"/>
        <item x="64"/>
        <item x="106"/>
        <item x="2741"/>
        <item x="1976"/>
        <item x="150"/>
        <item x="139"/>
        <item x="1181"/>
        <item x="196"/>
        <item x="563"/>
        <item x="9"/>
        <item x="1408"/>
        <item x="856"/>
        <item x="2299"/>
        <item x="1645"/>
        <item x="56"/>
        <item x="1860"/>
        <item x="1524"/>
        <item x="542"/>
        <item x="1282"/>
        <item x="926"/>
        <item x="2817"/>
        <item x="46"/>
        <item x="1569"/>
        <item x="538"/>
        <item x="53"/>
        <item x="99"/>
        <item x="16"/>
        <item x="2907"/>
        <item x="1674"/>
        <item x="2094"/>
        <item x="2751"/>
        <item x="1067"/>
        <item x="2192"/>
        <item x="2828"/>
        <item x="1295"/>
        <item x="1189"/>
        <item x="963"/>
        <item x="1960"/>
        <item x="733"/>
        <item x="44"/>
        <item x="2612"/>
        <item x="2670"/>
        <item x="2016"/>
        <item x="841"/>
        <item x="2453"/>
        <item x="1900"/>
        <item x="1848"/>
        <item x="90"/>
        <item x="2237"/>
        <item x="2539"/>
        <item x="2083"/>
        <item x="975"/>
        <item x="2906"/>
        <item x="1818"/>
        <item x="2559"/>
        <item x="2327"/>
        <item x="1651"/>
        <item x="524"/>
        <item x="1098"/>
        <item x="2795"/>
        <item x="900"/>
        <item x="1437"/>
        <item x="461"/>
        <item x="27"/>
        <item x="192"/>
        <item x="2857"/>
        <item x="2704"/>
        <item x="672"/>
        <item x="1042"/>
        <item x="1712"/>
        <item x="1183"/>
        <item x="804"/>
        <item x="1009"/>
        <item x="2095"/>
        <item x="1319"/>
        <item x="2246"/>
        <item x="390"/>
        <item x="135"/>
        <item x="608"/>
        <item x="2815"/>
        <item x="2066"/>
        <item x="554"/>
        <item x="2523"/>
        <item x="2138"/>
        <item x="2052"/>
        <item x="1190"/>
        <item x="1889"/>
        <item x="2129"/>
        <item x="113"/>
        <item x="960"/>
        <item x="178"/>
        <item x="718"/>
        <item x="2919"/>
        <item x="290"/>
        <item x="2835"/>
        <item x="1458"/>
        <item x="180"/>
        <item x="1274"/>
        <item x="2566"/>
        <item x="2778"/>
        <item x="981"/>
        <item x="997"/>
        <item x="2452"/>
        <item x="2929"/>
        <item x="838"/>
        <item x="1123"/>
        <item x="1715"/>
        <item x="1658"/>
        <item x="2127"/>
        <item x="1857"/>
        <item x="2719"/>
        <item x="2508"/>
        <item x="439"/>
        <item x="2505"/>
        <item x="1819"/>
        <item x="484"/>
        <item x="438"/>
        <item x="131"/>
        <item x="1921"/>
        <item x="1702"/>
        <item x="1266"/>
        <item x="1759"/>
        <item x="1028"/>
        <item x="1469"/>
        <item x="1756"/>
        <item x="195"/>
        <item x="2519"/>
        <item x="2346"/>
        <item x="984"/>
        <item x="1022"/>
        <item x="24"/>
        <item x="678"/>
        <item x="278"/>
        <item x="1689"/>
        <item x="182"/>
        <item x="1830"/>
        <item x="128"/>
        <item x="1349"/>
        <item x="2311"/>
        <item x="646"/>
        <item x="1468"/>
        <item x="742"/>
        <item x="289"/>
        <item x="2302"/>
        <item x="903"/>
        <item x="2756"/>
        <item x="2885"/>
        <item x="98"/>
        <item x="835"/>
        <item x="1681"/>
        <item x="266"/>
        <item x="170"/>
        <item x="68"/>
        <item x="1315"/>
        <item x="706"/>
        <item x="2292"/>
        <item x="752"/>
        <item x="2331"/>
        <item x="1631"/>
        <item x="2602"/>
        <item x="700"/>
        <item x="2156"/>
        <item x="1815"/>
        <item x="1015"/>
        <item x="1891"/>
        <item x="2263"/>
        <item x="1498"/>
        <item x="2067"/>
        <item x="138"/>
        <item x="1698"/>
        <item x="2879"/>
        <item x="291"/>
        <item x="298"/>
        <item x="1579"/>
        <item x="2457"/>
        <item x="2301"/>
        <item x="1346"/>
        <item x="809"/>
        <item x="2105"/>
        <item x="1327"/>
        <item x="425"/>
        <item x="522"/>
        <item x="1519"/>
        <item x="1863"/>
        <item x="2017"/>
        <item x="1851"/>
        <item x="1255"/>
        <item x="2363"/>
        <item x="581"/>
        <item x="1792"/>
        <item x="1390"/>
        <item x="2738"/>
        <item x="2038"/>
        <item x="2013"/>
        <item x="2511"/>
        <item x="361"/>
        <item x="1011"/>
        <item x="2221"/>
        <item x="2272"/>
        <item x="386"/>
        <item x="1720"/>
        <item x="794"/>
        <item x="2837"/>
        <item x="1152"/>
        <item x="321"/>
        <item x="1708"/>
        <item x="729"/>
        <item x="66"/>
        <item x="1700"/>
        <item x="685"/>
        <item x="59"/>
        <item x="707"/>
        <item x="2629"/>
        <item x="2317"/>
        <item x="2303"/>
        <item x="358"/>
        <item x="8"/>
        <item x="2648"/>
        <item x="2705"/>
        <item x="1120"/>
        <item x="233"/>
        <item x="1131"/>
        <item x="1195"/>
        <item x="693"/>
        <item x="1499"/>
        <item x="2569"/>
        <item x="2285"/>
        <item x="2309"/>
        <item x="393"/>
        <item x="1404"/>
        <item x="1592"/>
        <item x="2108"/>
        <item x="2049"/>
        <item x="2181"/>
        <item x="2708"/>
        <item x="405"/>
        <item x="1753"/>
        <item x="1642"/>
        <item x="2176"/>
        <item x="1852"/>
        <item x="2036"/>
        <item x="1302"/>
        <item x="2382"/>
        <item x="2061"/>
        <item x="1354"/>
        <item x="2201"/>
        <item x="508"/>
        <item x="2087"/>
        <item x="2665"/>
        <item x="411"/>
        <item x="666"/>
        <item x="1886"/>
        <item x="1714"/>
        <item x="2334"/>
        <item x="1003"/>
        <item x="77"/>
        <item x="866"/>
        <item x="2462"/>
        <item x="436"/>
        <item x="1129"/>
        <item x="714"/>
        <item x="2357"/>
        <item x="1200"/>
        <item x="1981"/>
        <item x="2673"/>
        <item x="1540"/>
        <item x="1962"/>
        <item x="1502"/>
        <item x="1139"/>
        <item x="501"/>
        <item x="1660"/>
        <item x="1589"/>
        <item x="974"/>
        <item x="2085"/>
        <item x="875"/>
        <item x="887"/>
        <item x="1903"/>
        <item x="2560"/>
        <item x="1604"/>
        <item x="2143"/>
        <item x="73"/>
        <item x="1839"/>
        <item x="332"/>
        <item x="2047"/>
        <item x="87"/>
        <item x="891"/>
        <item x="228"/>
        <item x="1385"/>
        <item x="1371"/>
        <item x="897"/>
        <item x="812"/>
        <item x="2423"/>
        <item x="851"/>
        <item x="736"/>
        <item x="1637"/>
        <item x="341"/>
        <item x="375"/>
        <item x="748"/>
        <item x="1849"/>
        <item x="2091"/>
        <item x="2359"/>
        <item x="820"/>
        <item x="768"/>
        <item x="470"/>
        <item x="2776"/>
        <item x="807"/>
        <item x="675"/>
        <item x="2631"/>
        <item x="2912"/>
        <item x="29"/>
        <item x="682"/>
        <item x="802"/>
        <item x="7"/>
        <item x="1572"/>
        <item x="2761"/>
        <item x="2004"/>
        <item x="1588"/>
        <item x="1696"/>
        <item x="2862"/>
        <item x="2916"/>
        <item x="2796"/>
        <item x="1684"/>
        <item x="965"/>
        <item x="382"/>
        <item x="2587"/>
        <item x="2483"/>
        <item x="2522"/>
        <item x="709"/>
        <item x="2683"/>
        <item x="2622"/>
        <item x="474"/>
        <item x="391"/>
        <item x="2687"/>
        <item x="181"/>
        <item x="2319"/>
        <item x="1357"/>
        <item x="262"/>
        <item x="908"/>
        <item x="1664"/>
        <item x="1691"/>
        <item x="476"/>
        <item x="547"/>
        <item x="2330"/>
        <item x="1339"/>
        <item x="2591"/>
        <item x="1234"/>
        <item x="310"/>
        <item x="217"/>
        <item x="2866"/>
        <item x="1673"/>
        <item x="2618"/>
        <item x="680"/>
        <item x="2812"/>
        <item x="1037"/>
        <item x="913"/>
        <item x="593"/>
        <item x="1154"/>
        <item x="2732"/>
        <item x="1166"/>
        <item x="1537"/>
        <item x="819"/>
        <item x="2472"/>
        <item x="2777"/>
        <item x="2733"/>
        <item x="2859"/>
        <item x="1966"/>
        <item x="1338"/>
        <item x="604"/>
        <item x="1138"/>
        <item x="2521"/>
        <item x="2833"/>
        <item x="879"/>
        <item x="786"/>
        <item x="2644"/>
        <item x="847"/>
        <item x="2594"/>
        <item x="1053"/>
        <item x="1541"/>
        <item x="1318"/>
        <item x="5"/>
        <item x="979"/>
        <item x="1585"/>
        <item x="2034"/>
        <item x="1678"/>
        <item x="1643"/>
        <item x="2180"/>
        <item x="1060"/>
        <item x="1336"/>
        <item x="1334"/>
        <item x="2438"/>
        <item x="338"/>
        <item x="2076"/>
        <item x="1396"/>
        <item x="388"/>
        <item x="408"/>
        <item x="2198"/>
        <item x="2774"/>
        <item x="1755"/>
        <item x="1804"/>
        <item x="459"/>
        <item x="1743"/>
        <item x="1679"/>
        <item x="462"/>
        <item x="1473"/>
        <item x="509"/>
        <item x="1930"/>
        <item x="2295"/>
        <item x="83"/>
        <item x="1216"/>
        <item x="2684"/>
        <item x="2736"/>
        <item x="746"/>
        <item x="203"/>
        <item x="2120"/>
        <item x="2139"/>
        <item x="2485"/>
        <item x="2102"/>
        <item x="1281"/>
        <item x="2838"/>
        <item x="96"/>
        <item x="1075"/>
        <item x="245"/>
        <item x="1485"/>
        <item x="2754"/>
        <item x="1110"/>
        <item x="210"/>
        <item x="491"/>
        <item x="441"/>
        <item x="1788"/>
        <item x="627"/>
        <item x="2567"/>
        <item x="720"/>
        <item x="343"/>
        <item x="55"/>
        <item x="410"/>
        <item x="1148"/>
        <item x="464"/>
        <item x="732"/>
        <item x="1625"/>
        <item x="2473"/>
        <item x="126"/>
        <item x="2784"/>
        <item x="2713"/>
        <item x="472"/>
        <item x="2642"/>
        <item x="1407"/>
        <item x="684"/>
        <item x="1532"/>
        <item x="1901"/>
        <item x="1412"/>
        <item x="2922"/>
        <item x="2310"/>
        <item x="2892"/>
        <item x="156"/>
        <item x="2771"/>
        <item x="2304"/>
        <item x="2530"/>
        <item x="1943"/>
        <item x="2242"/>
        <item x="643"/>
        <item x="1393"/>
        <item x="225"/>
        <item x="2395"/>
        <item x="2172"/>
        <item x="2542"/>
        <item x="1812"/>
        <item x="1061"/>
        <item x="2607"/>
        <item x="221"/>
        <item x="1747"/>
        <item x="2401"/>
        <item x="1767"/>
        <item x="1018"/>
        <item x="1386"/>
        <item x="1369"/>
        <item x="1381"/>
        <item x="743"/>
        <item x="2412"/>
        <item x="2593"/>
        <item x="592"/>
        <item x="1879"/>
        <item x="895"/>
        <item x="2760"/>
        <item x="1635"/>
        <item x="1277"/>
        <item x="2752"/>
        <item x="2042"/>
        <item x="1831"/>
        <item x="1024"/>
        <item x="1772"/>
        <item x="2000"/>
        <item x="2125"/>
        <item x="724"/>
        <item x="312"/>
        <item x="2232"/>
        <item x="2691"/>
        <item x="815"/>
        <item x="213"/>
        <item x="2625"/>
        <item x="218"/>
        <item x="2106"/>
        <item x="1808"/>
        <item x="422"/>
        <item x="760"/>
        <item x="2471"/>
        <item x="771"/>
        <item x="2659"/>
        <item x="679"/>
        <item x="1528"/>
        <item x="1452"/>
        <item x="2080"/>
        <item x="72"/>
        <item x="2565"/>
        <item x="651"/>
        <item x="793"/>
        <item x="20"/>
        <item x="1500"/>
        <item x="1835"/>
        <item x="2855"/>
        <item x="2213"/>
        <item x="702"/>
        <item x="2276"/>
        <item x="1309"/>
        <item x="2696"/>
        <item x="2609"/>
        <item x="418"/>
        <item x="2429"/>
        <item x="548"/>
        <item x="1045"/>
        <item x="560"/>
        <item x="2353"/>
        <item x="2236"/>
        <item x="808"/>
        <item x="1096"/>
        <item x="871"/>
        <item x="612"/>
        <item x="1276"/>
        <item x="657"/>
        <item x="1810"/>
        <item x="2396"/>
        <item x="1289"/>
        <item x="101"/>
        <item x="1230"/>
        <item x="551"/>
        <item x="2674"/>
        <item x="1844"/>
        <item x="251"/>
        <item x="1333"/>
        <item x="823"/>
        <item x="694"/>
        <item x="873"/>
        <item x="2350"/>
        <item x="2695"/>
        <item x="373"/>
        <item x="451"/>
        <item x="2470"/>
        <item x="2"/>
        <item x="1580"/>
        <item x="2119"/>
        <item x="1023"/>
        <item x="697"/>
        <item x="1496"/>
        <item x="2142"/>
        <item x="1824"/>
        <item x="764"/>
        <item x="1058"/>
        <item x="1570"/>
        <item x="862"/>
        <item x="1967"/>
        <item x="901"/>
        <item x="191"/>
        <item x="2264"/>
        <item x="2308"/>
        <item x="67"/>
        <item x="540"/>
        <item x="463"/>
        <item x="950"/>
        <item x="1341"/>
        <item x="31"/>
        <item x="2524"/>
        <item x="1527"/>
        <item x="1108"/>
        <item x="348"/>
        <item x="1910"/>
        <item x="1443"/>
        <item x="976"/>
        <item x="1598"/>
        <item x="2490"/>
        <item x="531"/>
        <item x="1699"/>
        <item x="1430"/>
        <item x="1259"/>
        <item x="2356"/>
        <item x="2152"/>
        <item x="2861"/>
        <item x="991"/>
        <item x="1513"/>
        <item x="1890"/>
        <item x="1112"/>
        <item x="271"/>
        <item x="2899"/>
        <item x="1358"/>
        <item x="12"/>
        <item x="2128"/>
        <item x="2389"/>
        <item x="452"/>
        <item x="110"/>
        <item x="424"/>
        <item x="886"/>
        <item x="1298"/>
        <item x="1051"/>
        <item x="1853"/>
        <item x="2920"/>
        <item x="360"/>
        <item x="231"/>
        <item x="2573"/>
        <item x="306"/>
        <item x="1690"/>
        <item x="2023"/>
        <item x="770"/>
        <item x="1718"/>
        <item x="2813"/>
        <item x="2001"/>
        <item x="2257"/>
        <item x="2660"/>
        <item x="1769"/>
        <item x="2905"/>
        <item x="2873"/>
        <item x="2749"/>
        <item x="2178"/>
        <item x="2321"/>
        <item x="1488"/>
        <item x="2425"/>
        <item x="2116"/>
        <item x="750"/>
        <item x="234"/>
        <item x="1693"/>
        <item x="1550"/>
        <item x="698"/>
        <item x="409"/>
        <item x="2224"/>
        <item x="2019"/>
        <item x="1937"/>
        <item x="1478"/>
        <item x="2024"/>
        <item x="635"/>
        <item x="526"/>
        <item x="647"/>
        <item x="2475"/>
        <item x="2480"/>
        <item x="1063"/>
        <item x="935"/>
        <item x="2702"/>
        <item x="2204"/>
        <item x="1566"/>
        <item x="1536"/>
        <item x="2913"/>
        <item x="57"/>
        <item x="610"/>
        <item x="982"/>
        <item x="407"/>
        <item x="1740"/>
        <item x="331"/>
        <item x="1410"/>
        <item x="2372"/>
        <item x="1735"/>
        <item x="17"/>
        <item x="1161"/>
        <item x="253"/>
        <item x="619"/>
        <item x="2541"/>
        <item x="2427"/>
        <item x="1197"/>
        <item x="2371"/>
        <item x="577"/>
        <item x="2611"/>
        <item x="2824"/>
        <item x="1052"/>
        <item x="574"/>
        <item x="1248"/>
        <item x="1104"/>
        <item x="447"/>
        <item x="2711"/>
        <item x="690"/>
        <item x="739"/>
        <item x="2546"/>
        <item x="1952"/>
        <item x="1823"/>
        <item x="1477"/>
        <item x="2636"/>
        <item x="227"/>
        <item x="1086"/>
        <item x="614"/>
        <item x="1057"/>
        <item x="2115"/>
        <item x="256"/>
        <item x="342"/>
        <item x="359"/>
        <item x="2003"/>
        <item x="617"/>
        <item x="1914"/>
        <item x="1146"/>
        <item x="2597"/>
        <item x="2620"/>
        <item x="2259"/>
        <item x="2323"/>
        <item x="1925"/>
        <item x="814"/>
        <item x="1847"/>
        <item x="573"/>
        <item x="689"/>
        <item x="1858"/>
        <item x="2656"/>
        <item x="1682"/>
        <item x="502"/>
        <item x="537"/>
        <item x="2783"/>
        <item x="2500"/>
        <item x="1035"/>
        <item x="235"/>
        <item x="641"/>
        <item x="2688"/>
        <item x="32"/>
        <item x="2746"/>
        <item x="1906"/>
        <item x="2884"/>
        <item x="1607"/>
        <item x="1787"/>
        <item x="520"/>
        <item x="2773"/>
        <item x="1558"/>
        <item x="206"/>
        <item x="1619"/>
        <item x="1603"/>
        <item x="1257"/>
        <item x="2431"/>
        <item x="94"/>
        <item x="2296"/>
        <item x="2555"/>
        <item x="2025"/>
        <item x="523"/>
        <item x="2098"/>
        <item x="2020"/>
        <item x="790"/>
        <item x="2092"/>
        <item x="1634"/>
        <item x="263"/>
        <item x="1290"/>
        <item x="1265"/>
        <item x="323"/>
        <item x="931"/>
        <item x="1821"/>
        <item x="396"/>
        <item x="2290"/>
        <item x="659"/>
        <item x="2690"/>
        <item x="1475"/>
        <item x="1394"/>
        <item x="1790"/>
        <item x="261"/>
        <item x="630"/>
        <item x="1654"/>
        <item x="2850"/>
        <item x="940"/>
        <item x="853"/>
        <item x="259"/>
        <item x="2576"/>
        <item x="2488"/>
        <item x="1881"/>
        <item x="946"/>
        <item x="1872"/>
        <item x="1806"/>
        <item x="1484"/>
        <item x="953"/>
        <item x="2923"/>
        <item x="485"/>
        <item x="1954"/>
        <item x="1491"/>
        <item x="48"/>
        <item x="1602"/>
        <item x="1124"/>
        <item x="1157"/>
        <item x="494"/>
        <item x="766"/>
        <item x="932"/>
        <item x="1465"/>
        <item x="2535"/>
        <item x="47"/>
        <item x="194"/>
        <item x="668"/>
        <item x="1144"/>
        <item x="564"/>
        <item x="800"/>
        <item x="664"/>
        <item x="1461"/>
        <item x="2210"/>
        <item x="275"/>
        <item x="1099"/>
        <item x="34"/>
        <item x="2055"/>
        <item x="1837"/>
        <item x="1487"/>
        <item x="1482"/>
        <item x="2099"/>
        <item x="1709"/>
        <item x="1905"/>
        <item x="2507"/>
        <item x="134"/>
        <item x="2677"/>
        <item x="1662"/>
        <item x="1726"/>
        <item x="1520"/>
        <item x="543"/>
        <item x="286"/>
        <item x="962"/>
        <item x="51"/>
        <item x="2647"/>
        <item x="1456"/>
        <item x="1088"/>
        <item x="943"/>
        <item x="2675"/>
        <item x="2721"/>
        <item x="586"/>
        <item x="2376"/>
        <item x="1221"/>
        <item x="821"/>
        <item x="621"/>
        <item x="471"/>
        <item x="1043"/>
        <item x="1133"/>
        <item x="2544"/>
        <item x="1605"/>
        <item x="1782"/>
        <item x="2482"/>
        <item x="2661"/>
        <item x="2663"/>
        <item x="2821"/>
        <item x="1254"/>
        <item x="1261"/>
        <item x="1704"/>
        <item x="1869"/>
        <item x="2606"/>
        <item x="2006"/>
        <item x="1621"/>
        <item x="1968"/>
        <item x="2366"/>
        <item x="2131"/>
        <item x="512"/>
        <item x="532"/>
        <item x="2111"/>
        <item x="2174"/>
        <item x="528"/>
        <item x="1629"/>
        <item x="1893"/>
        <item x="1379"/>
        <item x="2442"/>
        <item x="1047"/>
        <item x="3"/>
        <item x="2316"/>
        <item x="2239"/>
        <item x="1457"/>
        <item x="1275"/>
        <item x="1436"/>
        <item x="2424"/>
        <item x="1300"/>
        <item x="477"/>
        <item x="1184"/>
        <item x="1918"/>
        <item x="1507"/>
        <item x="2260"/>
        <item x="995"/>
        <item x="2278"/>
        <item x="1728"/>
        <item x="1299"/>
        <item x="2757"/>
        <item x="479"/>
        <item x="1306"/>
        <item x="353"/>
        <item x="1078"/>
        <item x="2581"/>
        <item x="183"/>
        <item x="744"/>
        <item x="780"/>
        <item x="349"/>
        <item x="1875"/>
        <item x="187"/>
        <item x="1797"/>
        <item x="1162"/>
        <item x="2228"/>
        <item x="1694"/>
        <item x="273"/>
        <item x="1409"/>
        <item x="127"/>
        <item x="2466"/>
        <item x="801"/>
        <item x="858"/>
        <item x="2489"/>
        <item x="223"/>
        <item x="1794"/>
        <item x="1649"/>
        <item x="255"/>
        <item x="2664"/>
        <item x="1170"/>
        <item x="276"/>
        <item x="795"/>
        <item x="272"/>
        <item x="2846"/>
        <item x="1770"/>
        <item x="132"/>
        <item x="237"/>
        <item x="1364"/>
        <item x="889"/>
        <item x="2682"/>
        <item x="2849"/>
        <item x="1737"/>
        <item x="404"/>
        <item x="525"/>
        <item x="1036"/>
        <item x="2054"/>
        <item x="2145"/>
        <item x="2494"/>
        <item x="1545"/>
        <item x="699"/>
        <item x="33"/>
        <item x="1534"/>
        <item x="2527"/>
        <item x="1987"/>
        <item x="868"/>
        <item x="384"/>
        <item x="817"/>
        <item x="2613"/>
        <item x="1583"/>
        <item x="137"/>
        <item x="1313"/>
        <item x="1392"/>
        <item x="2770"/>
        <item x="1182"/>
        <item x="546"/>
        <item x="1395"/>
        <item x="846"/>
        <item x="2722"/>
        <item x="374"/>
        <item x="2639"/>
        <item x="778"/>
        <item x="2177"/>
        <item x="1176"/>
        <item x="677"/>
        <item x="1027"/>
        <item x="2640"/>
        <item x="2443"/>
        <item x="1926"/>
        <item t="default"/>
      </items>
    </pivotField>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pivotField showAll="0"/>
    <pivotField showAll="0"/>
    <pivotField axis="axisRow" showAll="0" sortType="descending">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2"/>
  </rowFields>
  <rowItems count="9">
    <i>
      <x v="1"/>
    </i>
    <i>
      <x v="6"/>
    </i>
    <i>
      <x v="4"/>
    </i>
    <i>
      <x v="7"/>
    </i>
    <i>
      <x v="3"/>
    </i>
    <i>
      <x v="2"/>
    </i>
    <i>
      <x v="5"/>
    </i>
    <i>
      <x v="8"/>
    </i>
    <i t="grand">
      <x/>
    </i>
  </rowItems>
  <colItems count="1">
    <i/>
  </colItems>
  <dataFields count="1">
    <dataField name="Count of Patient_ID" fld="0" subtotal="count" baseField="12" baseItem="0"/>
  </dataField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C5276A-8C4A-4F46-90C7-A25701DE926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7:F28" firstHeaderRow="1" firstDataRow="1" firstDataCol="0"/>
  <pivotFields count="15">
    <pivotField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8">
        <item x="0"/>
        <item x="1"/>
        <item x="2"/>
        <item x="3"/>
        <item x="4"/>
        <item x="5"/>
        <item x="6"/>
        <item t="default"/>
      </items>
    </pivotField>
    <pivotField showAll="0">
      <items count="3">
        <item x="1"/>
        <item x="0"/>
        <item t="default"/>
      </items>
    </pivotField>
    <pivotField showAll="0">
      <items count="8">
        <item x="5"/>
        <item x="1"/>
        <item x="6"/>
        <item x="4"/>
        <item x="3"/>
        <item x="2"/>
        <item x="0"/>
        <item t="default"/>
      </items>
    </pivotField>
    <pivotField showAll="0">
      <items count="2931">
        <item x="1083"/>
        <item x="152"/>
        <item x="28"/>
        <item x="1002"/>
        <item x="2652"/>
        <item x="939"/>
        <item x="2286"/>
        <item x="442"/>
        <item x="339"/>
        <item x="713"/>
        <item x="292"/>
        <item x="368"/>
        <item x="387"/>
        <item x="1442"/>
        <item x="2836"/>
        <item x="136"/>
        <item x="676"/>
        <item x="2407"/>
        <item x="453"/>
        <item x="1978"/>
        <item x="822"/>
        <item x="1031"/>
        <item x="2179"/>
        <item x="633"/>
        <item x="2486"/>
        <item x="892"/>
        <item x="511"/>
        <item x="1561"/>
        <item x="2818"/>
        <item x="2782"/>
        <item x="367"/>
        <item x="322"/>
        <item x="305"/>
        <item x="209"/>
        <item x="398"/>
        <item x="1187"/>
        <item x="2021"/>
        <item x="2755"/>
        <item x="1982"/>
        <item x="2766"/>
        <item x="2370"/>
        <item x="1758"/>
        <item x="1581"/>
        <item x="727"/>
        <item x="549"/>
        <item x="158"/>
        <item x="1062"/>
        <item x="1471"/>
        <item x="1270"/>
        <item x="2841"/>
        <item x="1717"/>
        <item x="2667"/>
        <item x="2657"/>
        <item x="1125"/>
        <item x="2159"/>
        <item x="968"/>
        <item x="2810"/>
        <item x="2737"/>
        <item x="2549"/>
        <item x="2404"/>
        <item x="1130"/>
        <item x="333"/>
        <item x="1626"/>
        <item x="927"/>
        <item x="947"/>
        <item x="1486"/>
        <item x="2918"/>
        <item x="855"/>
        <item x="857"/>
        <item x="1514"/>
        <item x="1778"/>
        <item x="2868"/>
        <item x="199"/>
        <item x="351"/>
        <item x="2002"/>
        <item x="488"/>
        <item x="1624"/>
        <item x="328"/>
        <item x="1343"/>
        <item x="515"/>
        <item x="2072"/>
        <item x="1250"/>
        <item x="1928"/>
        <item x="890"/>
        <item x="2834"/>
        <item x="622"/>
        <item x="2381"/>
        <item x="2492"/>
        <item x="845"/>
        <item x="2645"/>
        <item x="2734"/>
        <item x="2545"/>
        <item x="2074"/>
        <item x="347"/>
        <item x="2200"/>
        <item x="2355"/>
        <item x="377"/>
        <item x="2078"/>
        <item x="1188"/>
        <item x="1809"/>
        <item x="2418"/>
        <item x="1370"/>
        <item x="38"/>
        <item x="2780"/>
        <item x="1980"/>
        <item x="2534"/>
        <item x="1180"/>
        <item x="1286"/>
        <item x="2313"/>
        <item x="1786"/>
        <item x="1623"/>
        <item x="2797"/>
        <item x="2268"/>
        <item x="922"/>
        <item x="270"/>
        <item x="952"/>
        <item x="1115"/>
        <item x="30"/>
        <item x="177"/>
        <item x="2599"/>
        <item x="829"/>
        <item x="848"/>
        <item x="2173"/>
        <item x="2584"/>
        <item x="2185"/>
        <item x="1775"/>
        <item x="1648"/>
        <item x="2305"/>
        <item x="2271"/>
        <item x="88"/>
        <item x="205"/>
        <item x="755"/>
        <item x="184"/>
        <item x="475"/>
        <item x="2126"/>
        <item x="1590"/>
        <item x="2030"/>
        <item x="2151"/>
        <item x="1375"/>
        <item x="246"/>
        <item x="1223"/>
        <item x="753"/>
        <item x="2247"/>
        <item x="898"/>
        <item x="1916"/>
        <item x="2117"/>
        <item x="1168"/>
        <item x="1081"/>
        <item x="1411"/>
        <item x="1574"/>
        <item x="1109"/>
        <item x="2251"/>
        <item x="148"/>
        <item x="340"/>
        <item x="2641"/>
        <item x="226"/>
        <item x="129"/>
        <item x="157"/>
        <item x="1137"/>
        <item x="558"/>
        <item x="2768"/>
        <item x="831"/>
        <item x="1738"/>
        <item x="61"/>
        <item x="1957"/>
        <item x="1511"/>
        <item x="108"/>
        <item x="2009"/>
        <item x="274"/>
        <item x="164"/>
        <item x="295"/>
        <item x="1798"/>
        <item x="1887"/>
        <item x="930"/>
        <item x="1439"/>
        <item x="2191"/>
        <item x="1479"/>
        <item x="1175"/>
        <item x="1551"/>
        <item x="2921"/>
        <item x="1877"/>
        <item x="41"/>
        <item x="1032"/>
        <item x="400"/>
        <item x="2461"/>
        <item x="2621"/>
        <item x="2369"/>
        <item x="1368"/>
        <item x="2340"/>
        <item x="1432"/>
        <item x="2409"/>
        <item x="2548"/>
        <item x="784"/>
        <item x="1236"/>
        <item x="151"/>
        <item x="1562"/>
        <item x="544"/>
        <item x="738"/>
        <item x="489"/>
        <item x="1816"/>
        <item x="2223"/>
        <item x="2582"/>
        <item x="2378"/>
        <item x="870"/>
        <item x="2881"/>
        <item x="2197"/>
        <item x="998"/>
        <item x="578"/>
        <item x="1885"/>
        <item x="189"/>
        <item x="1719"/>
        <item x="2012"/>
        <item x="2014"/>
        <item x="155"/>
        <item x="1793"/>
        <item x="356"/>
        <item x="2604"/>
        <item x="1510"/>
        <item x="1084"/>
        <item x="1344"/>
        <item x="1575"/>
        <item x="145"/>
        <item x="2848"/>
        <item x="2387"/>
        <item x="1599"/>
        <item x="1203"/>
        <item x="1505"/>
        <item x="1016"/>
        <item x="2886"/>
        <item x="2820"/>
        <item x="1360"/>
        <item x="2220"/>
        <item x="1321"/>
        <item x="297"/>
        <item x="85"/>
        <item x="354"/>
        <item x="2390"/>
        <item x="1304"/>
        <item x="320"/>
        <item x="311"/>
        <item x="2045"/>
        <item x="2158"/>
        <item x="1151"/>
        <item x="1441"/>
        <item x="2005"/>
        <item x="2432"/>
        <item x="1559"/>
        <item x="500"/>
        <item x="884"/>
        <item x="2347"/>
        <item x="843"/>
        <item x="2410"/>
        <item x="458"/>
        <item x="1014"/>
        <item x="2328"/>
        <item x="2077"/>
        <item x="1194"/>
        <item x="186"/>
        <item x="1174"/>
        <item x="2008"/>
        <item x="2603"/>
        <item x="716"/>
        <item x="1711"/>
        <item x="603"/>
        <item x="1352"/>
        <item x="1267"/>
        <item x="656"/>
        <item x="1776"/>
        <item x="2666"/>
        <item x="2348"/>
        <item x="1754"/>
        <item x="1765"/>
        <item x="1427"/>
        <item x="667"/>
        <item x="636"/>
        <item x="1447"/>
        <item x="663"/>
        <item x="2441"/>
        <item x="2445"/>
        <item x="966"/>
        <item x="1331"/>
        <item x="1632"/>
        <item x="2284"/>
        <item x="2454"/>
        <item x="1142"/>
        <item x="810"/>
        <item x="1"/>
        <item x="637"/>
        <item x="2484"/>
        <item x="1734"/>
        <item x="1335"/>
        <item x="878"/>
        <item x="602"/>
        <item x="2700"/>
        <item x="1450"/>
        <item x="2497"/>
        <item x="1316"/>
        <item x="899"/>
        <item x="1305"/>
        <item x="609"/>
        <item x="2170"/>
        <item x="2583"/>
        <item x="1509"/>
        <item x="1073"/>
        <item x="1444"/>
        <item x="595"/>
        <item x="1525"/>
        <item x="1533"/>
        <item x="559"/>
        <item x="849"/>
        <item x="654"/>
        <item x="395"/>
        <item x="2716"/>
        <item x="792"/>
        <item x="1440"/>
        <item x="1106"/>
        <item x="2226"/>
        <item x="776"/>
        <item x="1373"/>
        <item x="2209"/>
        <item x="2349"/>
        <item x="2026"/>
        <item x="2022"/>
        <item x="638"/>
        <item x="535"/>
        <item x="240"/>
        <item x="2162"/>
        <item x="2274"/>
        <item x="115"/>
        <item x="167"/>
        <item x="2059"/>
        <item x="414"/>
        <item x="503"/>
        <item x="2590"/>
        <item x="2869"/>
        <item x="2827"/>
        <item x="2571"/>
        <item x="1225"/>
        <item x="2908"/>
        <item x="2217"/>
        <item x="1215"/>
        <item x="2018"/>
        <item x="1038"/>
        <item x="767"/>
        <item x="201"/>
        <item x="877"/>
        <item x="2144"/>
        <item x="1802"/>
        <item x="284"/>
        <item x="1948"/>
        <item x="642"/>
        <item x="758"/>
        <item x="1600"/>
        <item x="859"/>
        <item x="1628"/>
        <item x="232"/>
        <item x="2689"/>
        <item x="2779"/>
        <item x="785"/>
        <item x="1490"/>
        <item x="2807"/>
        <item x="449"/>
        <item x="1739"/>
        <item x="2856"/>
        <item x="2798"/>
        <item x="1332"/>
        <item x="2669"/>
        <item x="1950"/>
        <item x="876"/>
        <item x="2294"/>
        <item x="2799"/>
        <item x="1503"/>
        <item x="1268"/>
        <item x="198"/>
        <item x="1548"/>
        <item x="2449"/>
        <item x="580"/>
        <item x="2203"/>
        <item x="309"/>
        <item x="880"/>
        <item x="118"/>
        <item x="2900"/>
        <item x="2793"/>
        <item x="329"/>
        <item x="2122"/>
        <item x="839"/>
        <item x="1836"/>
        <item x="721"/>
        <item x="2384"/>
        <item x="1876"/>
        <item x="1219"/>
        <item x="2586"/>
        <item x="761"/>
        <item x="1752"/>
        <item x="330"/>
        <item x="435"/>
        <item x="318"/>
        <item x="1417"/>
        <item x="2589"/>
        <item x="787"/>
        <item x="552"/>
        <item x="481"/>
        <item x="1953"/>
        <item x="49"/>
        <item x="2476"/>
        <item x="1974"/>
        <item x="715"/>
        <item x="921"/>
        <item x="1515"/>
        <item x="1861"/>
        <item x="1272"/>
        <item x="934"/>
        <item x="1587"/>
        <item x="2148"/>
        <item x="2506"/>
        <item x="2364"/>
        <item x="2250"/>
        <item x="2843"/>
        <item x="1218"/>
        <item x="2428"/>
        <item x="125"/>
        <item x="2377"/>
        <item x="1543"/>
        <item x="1606"/>
        <item x="2764"/>
        <item x="2844"/>
        <item x="2632"/>
        <item x="1713"/>
        <item x="2715"/>
        <item x="336"/>
        <item x="2851"/>
        <item x="317"/>
        <item x="938"/>
        <item x="1204"/>
        <item x="2015"/>
        <item x="1938"/>
        <item x="1005"/>
        <item x="2188"/>
        <item x="513"/>
        <item x="534"/>
        <item x="1669"/>
        <item x="1426"/>
        <item x="1179"/>
        <item x="2380"/>
        <item x="389"/>
        <item x="1827"/>
        <item x="120"/>
        <item x="2600"/>
        <item x="1685"/>
        <item x="2289"/>
        <item x="1156"/>
        <item x="1934"/>
        <item x="154"/>
        <item x="2070"/>
        <item x="1118"/>
        <item x="1986"/>
        <item x="2531"/>
        <item x="1119"/>
        <item x="2853"/>
        <item x="1994"/>
        <item x="2499"/>
        <item x="629"/>
        <item x="2891"/>
        <item x="1402"/>
        <item x="36"/>
        <item x="419"/>
        <item x="1243"/>
        <item x="2753"/>
        <item x="1781"/>
        <item x="2832"/>
        <item x="869"/>
        <item x="2354"/>
        <item x="824"/>
        <item x="648"/>
        <item x="130"/>
        <item x="1007"/>
        <item x="955"/>
        <item x="2184"/>
        <item x="454"/>
        <item x="2149"/>
        <item x="160"/>
        <item x="74"/>
        <item x="912"/>
        <item x="2031"/>
        <item x="2124"/>
        <item x="69"/>
        <item x="1228"/>
        <item x="2333"/>
        <item x="168"/>
        <item x="2917"/>
        <item x="1854"/>
        <item x="1730"/>
        <item x="2662"/>
        <item x="2653"/>
        <item x="2169"/>
        <item x="1578"/>
        <item x="42"/>
        <item x="2502"/>
        <item x="834"/>
        <item x="2880"/>
        <item x="1297"/>
        <item x="370"/>
        <item x="2282"/>
        <item x="1365"/>
        <item x="2572"/>
        <item x="2291"/>
        <item x="2073"/>
        <item x="2701"/>
        <item x="772"/>
        <item x="1616"/>
        <item x="6"/>
        <item x="1202"/>
        <item x="1310"/>
        <item x="1001"/>
        <item x="803"/>
        <item x="1990"/>
        <item x="2262"/>
        <item x="2297"/>
        <item x="1688"/>
        <item x="2699"/>
        <item x="1865"/>
        <item x="1611"/>
        <item x="2202"/>
        <item x="2437"/>
        <item x="734"/>
        <item x="1495"/>
        <item x="791"/>
        <item x="1128"/>
        <item x="545"/>
        <item x="2136"/>
        <item x="2189"/>
        <item x="2043"/>
        <item x="1235"/>
        <item x="1025"/>
        <item x="541"/>
        <item x="933"/>
        <item x="945"/>
        <item x="1961"/>
        <item x="1090"/>
        <item x="243"/>
        <item x="437"/>
        <item x="2205"/>
        <item x="2161"/>
        <item x="2088"/>
        <item x="2487"/>
        <item x="1757"/>
        <item x="2133"/>
        <item x="1538"/>
        <item x="2182"/>
        <item x="1729"/>
        <item x="1764"/>
        <item x="555"/>
        <item x="71"/>
        <item x="242"/>
        <item x="468"/>
        <item x="415"/>
        <item x="1050"/>
        <item x="631"/>
        <item x="2103"/>
        <item x="907"/>
        <item x="711"/>
        <item x="1595"/>
        <item x="2680"/>
        <item x="2781"/>
        <item x="2717"/>
        <item x="658"/>
        <item x="2430"/>
        <item x="527"/>
        <item x="1983"/>
        <item x="2337"/>
        <item x="2712"/>
        <item x="1285"/>
        <item x="2805"/>
        <item x="1919"/>
        <item x="751"/>
        <item x="2373"/>
        <item x="2686"/>
        <item x="1692"/>
        <item x="1398"/>
        <item x="589"/>
        <item x="2195"/>
        <item x="681"/>
        <item x="369"/>
        <item x="13"/>
        <item x="2041"/>
        <item x="1811"/>
        <item x="281"/>
        <item x="2190"/>
        <item x="466"/>
        <item x="918"/>
        <item x="1359"/>
        <item x="455"/>
        <item x="378"/>
        <item x="2789"/>
        <item x="2411"/>
        <item x="1173"/>
        <item x="214"/>
        <item x="440"/>
        <item x="989"/>
        <item x="58"/>
        <item x="18"/>
        <item x="2901"/>
        <item x="1435"/>
        <item x="432"/>
        <item x="628"/>
        <item x="2927"/>
        <item x="1462"/>
        <item x="2564"/>
        <item x="1153"/>
        <item x="1609"/>
        <item x="2630"/>
        <item x="2458"/>
        <item x="1828"/>
        <item x="325"/>
        <item x="1565"/>
        <item x="745"/>
        <item x="2710"/>
        <item x="2068"/>
        <item x="2243"/>
        <item x="1564"/>
        <item x="1100"/>
        <item x="836"/>
        <item x="1210"/>
        <item x="1136"/>
        <item x="1805"/>
        <item x="473"/>
        <item x="674"/>
        <item x="2338"/>
        <item x="2672"/>
        <item x="971"/>
        <item x="1092"/>
        <item x="2279"/>
        <item x="2341"/>
        <item x="65"/>
        <item x="254"/>
        <item x="365"/>
        <item x="1324"/>
        <item x="482"/>
        <item x="2536"/>
        <item x="1287"/>
        <item x="173"/>
        <item x="293"/>
        <item x="2032"/>
        <item x="1801"/>
        <item x="2069"/>
        <item x="2193"/>
        <item x="2391"/>
        <item x="1650"/>
        <item x="1242"/>
        <item x="2520"/>
        <item x="1209"/>
        <item x="789"/>
        <item x="1448"/>
        <item x="1246"/>
        <item x="2785"/>
        <item x="394"/>
        <item x="427"/>
        <item x="1211"/>
        <item x="2887"/>
        <item x="1923"/>
        <item x="1091"/>
        <item x="2398"/>
        <item x="2325"/>
        <item x="2515"/>
        <item x="762"/>
        <item x="529"/>
        <item x="2028"/>
        <item x="25"/>
        <item x="2465"/>
        <item x="1618"/>
        <item x="572"/>
        <item x="613"/>
        <item x="1481"/>
        <item x="2426"/>
        <item x="2575"/>
        <item x="416"/>
        <item x="1041"/>
        <item x="1883"/>
        <item x="723"/>
        <item x="448"/>
        <item x="994"/>
        <item x="909"/>
        <item x="1896"/>
        <item x="2130"/>
        <item x="2071"/>
        <item x="1251"/>
        <item x="1483"/>
        <item x="319"/>
        <item x="1518"/>
        <item x="2164"/>
        <item x="1825"/>
        <item x="1399"/>
        <item x="15"/>
        <item x="114"/>
        <item x="2245"/>
        <item x="80"/>
        <item x="2479"/>
        <item x="1547"/>
        <item x="2808"/>
        <item x="2266"/>
        <item x="1059"/>
        <item x="2802"/>
        <item x="623"/>
        <item x="919"/>
        <item x="2383"/>
        <item x="1601"/>
        <item x="2141"/>
        <item x="2318"/>
        <item x="1418"/>
        <item x="1422"/>
        <item x="985"/>
        <item x="865"/>
        <item x="1859"/>
        <item x="2234"/>
        <item x="1911"/>
        <item x="2110"/>
        <item x="2693"/>
        <item x="649"/>
        <item x="1376"/>
        <item x="483"/>
        <item x="2650"/>
        <item x="611"/>
        <item x="2421"/>
        <item x="2882"/>
        <item x="1206"/>
        <item x="1065"/>
        <item x="163"/>
        <item x="2121"/>
        <item x="2800"/>
        <item x="2723"/>
        <item x="2877"/>
        <item x="986"/>
        <item x="316"/>
        <item x="691"/>
        <item x="169"/>
        <item x="2731"/>
        <item x="2051"/>
        <item x="1817"/>
        <item x="2538"/>
        <item x="2801"/>
        <item x="594"/>
        <item x="1610"/>
        <item x="788"/>
        <item x="825"/>
        <item x="816"/>
        <item x="1766"/>
        <item x="1933"/>
        <item x="1252"/>
        <item x="896"/>
        <item x="2763"/>
        <item x="620"/>
        <item x="590"/>
        <item x="2806"/>
        <item x="52"/>
        <item x="861"/>
        <item x="2551"/>
        <item x="2516"/>
        <item x="371"/>
        <item x="202"/>
        <item x="2643"/>
        <item x="381"/>
        <item x="571"/>
        <item x="2685"/>
        <item x="2878"/>
        <item x="1553"/>
        <item x="1245"/>
        <item x="1706"/>
        <item x="102"/>
        <item x="837"/>
        <item x="2365"/>
        <item x="731"/>
        <item x="1526"/>
        <item x="2248"/>
        <item x="914"/>
        <item x="344"/>
        <item x="1141"/>
        <item x="1653"/>
        <item x="1329"/>
        <item x="1613"/>
        <item x="1768"/>
        <item x="978"/>
        <item x="600"/>
        <item x="1670"/>
        <item x="2447"/>
        <item x="224"/>
        <item x="363"/>
        <item x="95"/>
        <item x="2273"/>
        <item x="673"/>
        <item x="1695"/>
        <item x="606"/>
        <item x="710"/>
        <item x="1326"/>
        <item x="63"/>
        <item x="1449"/>
        <item x="686"/>
        <item x="828"/>
        <item x="514"/>
        <item x="2267"/>
        <item x="1132"/>
        <item x="2588"/>
        <item x="2537"/>
        <item x="872"/>
        <item x="1955"/>
        <item x="480"/>
        <item x="1382"/>
        <item x="2510"/>
        <item x="954"/>
        <item x="2053"/>
        <item x="893"/>
        <item x="2547"/>
        <item x="539"/>
        <item x="2491"/>
        <item x="2035"/>
        <item x="2362"/>
        <item x="2140"/>
        <item x="172"/>
        <item x="1652"/>
        <item x="1959"/>
        <item x="153"/>
        <item x="1107"/>
        <item x="2896"/>
        <item x="904"/>
        <item x="1121"/>
        <item x="2829"/>
        <item x="1701"/>
        <item x="2697"/>
        <item x="2876"/>
        <item x="1822"/>
        <item x="79"/>
        <item x="1342"/>
        <item x="2561"/>
        <item x="2096"/>
        <item x="2444"/>
        <item x="1517"/>
        <item x="2792"/>
        <item x="796"/>
        <item x="988"/>
        <item x="1523"/>
        <item x="2819"/>
        <item x="1549"/>
        <item x="2255"/>
        <item x="2050"/>
        <item x="2814"/>
        <item x="798"/>
        <item x="2845"/>
        <item x="1929"/>
        <item x="346"/>
        <item x="1231"/>
        <item x="1253"/>
        <item x="2114"/>
        <item x="640"/>
        <item x="701"/>
        <item x="1105"/>
        <item x="1944"/>
        <item x="2086"/>
        <item x="238"/>
        <item x="1044"/>
        <item x="2865"/>
        <item x="315"/>
        <item x="1233"/>
        <item x="1744"/>
        <item x="569"/>
        <item x="1213"/>
        <item x="1069"/>
        <item x="992"/>
        <item x="314"/>
        <item x="1040"/>
        <item x="2726"/>
        <item x="1733"/>
        <item x="587"/>
        <item x="779"/>
        <item x="906"/>
        <item x="176"/>
        <item x="2864"/>
        <item x="91"/>
        <item x="1707"/>
        <item x="1350"/>
        <item x="1116"/>
        <item x="1807"/>
        <item x="179"/>
        <item x="1085"/>
        <item x="1833"/>
        <item x="1348"/>
        <item x="1748"/>
        <item x="1591"/>
        <item x="533"/>
        <item x="2543"/>
        <item x="1056"/>
        <item x="712"/>
        <item x="304"/>
        <item x="1655"/>
        <item x="2058"/>
        <item x="2512"/>
        <item x="260"/>
        <item x="392"/>
        <item x="1864"/>
        <item x="1284"/>
        <item x="257"/>
        <item x="2240"/>
        <item x="2397"/>
        <item x="925"/>
        <item x="1445"/>
        <item x="708"/>
        <item x="1856"/>
        <item x="350"/>
        <item x="1647"/>
        <item x="2214"/>
        <item x="1567"/>
        <item x="2610"/>
        <item x="1942"/>
        <item x="2728"/>
        <item x="2336"/>
        <item x="2097"/>
        <item x="2235"/>
        <item x="2601"/>
        <item x="1924"/>
        <item x="2803"/>
        <item x="644"/>
        <item x="1584"/>
        <item x="2730"/>
        <item x="811"/>
        <item x="2160"/>
        <item x="1945"/>
        <item x="1169"/>
        <item x="1227"/>
        <item x="1400"/>
        <item x="1867"/>
        <item x="2368"/>
        <item x="294"/>
        <item x="2750"/>
        <item x="1279"/>
        <item x="1384"/>
        <item x="1072"/>
        <item x="1871"/>
        <item x="2433"/>
        <item x="1723"/>
        <item x="2436"/>
        <item x="2393"/>
        <item x="352"/>
        <item x="165"/>
        <item x="119"/>
        <item x="993"/>
        <item x="2249"/>
        <item x="2739"/>
        <item x="1722"/>
        <item x="450"/>
        <item x="1742"/>
        <item x="2552"/>
        <item x="885"/>
        <item x="1237"/>
        <item x="1732"/>
        <item x="1293"/>
        <item x="990"/>
        <item x="867"/>
        <item x="1150"/>
        <item x="959"/>
        <item x="2010"/>
        <item x="2729"/>
        <item x="1996"/>
        <item x="2888"/>
        <item x="2528"/>
        <item x="175"/>
        <item x="277"/>
        <item x="2089"/>
        <item x="1160"/>
        <item x="1920"/>
        <item x="717"/>
        <item x="2676"/>
        <item x="2147"/>
        <item x="1668"/>
        <item x="1239"/>
        <item x="958"/>
        <item x="2375"/>
        <item x="882"/>
        <item x="1068"/>
        <item x="1971"/>
        <item x="1522"/>
        <item x="109"/>
        <item x="2253"/>
        <item x="1046"/>
        <item x="1975"/>
        <item x="505"/>
        <item x="1080"/>
        <item x="1512"/>
        <item x="1834"/>
        <item x="1405"/>
        <item x="326"/>
        <item x="949"/>
        <item x="2406"/>
        <item x="1163"/>
        <item x="923"/>
        <item x="2910"/>
        <item x="299"/>
        <item x="1415"/>
        <item x="929"/>
        <item x="2254"/>
        <item x="1878"/>
        <item x="2434"/>
        <item x="2265"/>
        <item x="2439"/>
        <item x="324"/>
        <item x="428"/>
        <item x="961"/>
        <item x="467"/>
        <item x="967"/>
        <item x="2386"/>
        <item x="2897"/>
        <item x="1205"/>
        <item x="722"/>
        <item x="2379"/>
        <item x="2518"/>
        <item x="2831"/>
        <item x="850"/>
        <item x="2342"/>
        <item x="1186"/>
        <item x="399"/>
        <item x="2703"/>
        <item x="1796"/>
        <item x="2367"/>
        <item x="498"/>
        <item x="279"/>
        <item x="159"/>
        <item x="1947"/>
        <item x="692"/>
        <item x="1870"/>
        <item x="972"/>
        <item x="1608"/>
        <item x="2007"/>
        <item x="1328"/>
        <item x="443"/>
        <item x="1159"/>
        <item x="1177"/>
        <item x="1425"/>
        <item x="1201"/>
        <item x="2469"/>
        <item x="1362"/>
        <item x="1004"/>
        <item x="2867"/>
        <item x="1686"/>
        <item x="2854"/>
        <item x="1571"/>
        <item x="1880"/>
        <item x="2460"/>
        <item x="2533"/>
        <item x="364"/>
        <item x="121"/>
        <item x="1784"/>
        <item x="1434"/>
        <item x="924"/>
        <item x="219"/>
        <item x="2374"/>
        <item x="2724"/>
        <item x="1446"/>
        <item x="1779"/>
        <item x="1217"/>
        <item x="596"/>
        <item x="1568"/>
        <item x="1917"/>
        <item x="1453"/>
        <item x="2315"/>
        <item x="2233"/>
        <item x="626"/>
        <item x="832"/>
        <item x="665"/>
        <item x="618"/>
        <item x="1855"/>
        <item x="653"/>
        <item x="775"/>
        <item x="507"/>
        <item x="2742"/>
        <item x="1915"/>
        <item x="1008"/>
        <item x="2635"/>
        <item x="2455"/>
        <item x="2744"/>
        <item x="2532"/>
        <item x="2044"/>
        <item x="70"/>
        <item x="2577"/>
        <item x="82"/>
        <item x="2637"/>
        <item x="1111"/>
        <item x="2082"/>
        <item x="1269"/>
        <item x="1122"/>
        <item x="2477"/>
        <item x="704"/>
        <item x="1193"/>
        <item x="747"/>
        <item x="632"/>
        <item x="1516"/>
        <item x="1070"/>
        <item x="1294"/>
        <item x="905"/>
        <item x="2440"/>
        <item x="212"/>
        <item x="1171"/>
        <item x="910"/>
        <item x="2748"/>
        <item x="1423"/>
        <item x="2743"/>
        <item x="1586"/>
        <item x="1424"/>
        <item x="2261"/>
        <item x="1840"/>
        <item x="557"/>
        <item x="1055"/>
        <item x="2230"/>
        <item x="19"/>
        <item x="1167"/>
        <item x="1627"/>
        <item x="1992"/>
        <item x="964"/>
        <item x="1421"/>
        <item x="1054"/>
        <item x="2842"/>
        <item x="917"/>
        <item x="827"/>
        <item x="2787"/>
        <item x="1378"/>
        <item x="161"/>
        <item x="695"/>
        <item x="568"/>
        <item x="2107"/>
        <item x="2335"/>
        <item x="830"/>
        <item x="1463"/>
        <item x="11"/>
        <item x="2762"/>
        <item x="190"/>
        <item x="1895"/>
        <item x="1198"/>
        <item x="1238"/>
        <item x="2826"/>
        <item x="2446"/>
        <item x="2911"/>
        <item x="1969"/>
        <item x="457"/>
        <item x="765"/>
        <item x="497"/>
        <item x="2772"/>
        <item x="2332"/>
        <item x="575"/>
        <item x="92"/>
        <item x="2745"/>
        <item x="1374"/>
        <item x="123"/>
        <item x="777"/>
        <item x="1697"/>
        <item x="1459"/>
        <item x="445"/>
        <item x="2150"/>
        <item x="313"/>
        <item x="2101"/>
        <item x="852"/>
        <item x="1451"/>
        <item x="2903"/>
        <item x="1094"/>
        <item x="2747"/>
        <item x="516"/>
        <item x="1736"/>
        <item x="2692"/>
        <item x="725"/>
        <item x="782"/>
        <item x="1414"/>
        <item x="652"/>
        <item x="2514"/>
        <item x="519"/>
        <item x="567"/>
        <item x="2300"/>
        <item x="688"/>
        <item x="1026"/>
        <item x="883"/>
        <item x="2709"/>
        <item x="200"/>
        <item x="1745"/>
        <item x="2229"/>
        <item x="1582"/>
        <item x="2244"/>
        <item x="1751"/>
        <item x="380"/>
        <item x="1071"/>
        <item x="556"/>
        <item x="236"/>
        <item x="1064"/>
        <item x="1666"/>
        <item x="2137"/>
        <item x="1556"/>
        <item x="117"/>
        <item x="2720"/>
        <item x="1135"/>
        <item x="2394"/>
        <item x="598"/>
        <item x="1687"/>
        <item x="1665"/>
        <item x="2104"/>
        <item x="1724"/>
        <item x="496"/>
        <item x="2093"/>
        <item x="1904"/>
        <item x="2277"/>
        <item x="258"/>
        <item x="854"/>
        <item x="840"/>
        <item x="2791"/>
        <item x="376"/>
        <item x="1474"/>
        <item x="2270"/>
        <item x="1577"/>
        <item x="248"/>
        <item x="2420"/>
        <item x="1480"/>
        <item x="308"/>
        <item x="1677"/>
        <item x="446"/>
        <item x="2402"/>
        <item x="1433"/>
        <item x="2196"/>
        <item x="763"/>
        <item x="1114"/>
        <item x="62"/>
        <item x="1894"/>
        <item x="1387"/>
        <item x="2419"/>
        <item x="1377"/>
        <item x="1615"/>
        <item x="1356"/>
        <item x="987"/>
        <item x="288"/>
        <item x="2596"/>
        <item x="420"/>
        <item x="1389"/>
        <item x="1636"/>
        <item x="2925"/>
        <item x="54"/>
        <item x="2435"/>
        <item x="250"/>
        <item x="1351"/>
        <item x="1560"/>
        <item x="222"/>
        <item x="597"/>
        <item x="2324"/>
        <item x="2655"/>
        <item x="2329"/>
        <item x="1101"/>
        <item x="2280"/>
        <item x="944"/>
        <item x="2875"/>
        <item x="39"/>
        <item x="1899"/>
        <item x="2740"/>
        <item x="247"/>
        <item x="1347"/>
        <item x="421"/>
        <item x="741"/>
        <item x="1145"/>
        <item x="1367"/>
        <item x="703"/>
        <item x="2735"/>
        <item x="230"/>
        <item x="1428"/>
        <item x="1638"/>
        <item x="1995"/>
        <item x="1406"/>
        <item x="562"/>
        <item x="2902"/>
        <item x="2646"/>
        <item x="2671"/>
        <item x="1472"/>
        <item x="1262"/>
        <item x="2360"/>
        <item x="2493"/>
        <item x="1785"/>
        <item x="1985"/>
        <item x="2171"/>
        <item x="2608"/>
        <item x="2100"/>
        <item x="45"/>
        <item x="1476"/>
        <item x="81"/>
        <item x="2451"/>
        <item x="1661"/>
        <item x="193"/>
        <item x="300"/>
        <item x="2415"/>
        <item x="1076"/>
        <item x="2146"/>
        <item x="607"/>
        <item x="696"/>
        <item x="1593"/>
        <item x="2468"/>
        <item x="171"/>
        <item x="1680"/>
        <item x="2459"/>
        <item x="881"/>
        <item x="2928"/>
        <item x="1283"/>
        <item x="103"/>
        <item x="1492"/>
        <item x="2626"/>
        <item x="285"/>
        <item x="1771"/>
        <item x="1117"/>
        <item x="1838"/>
        <item x="1256"/>
        <item x="2649"/>
        <item x="1296"/>
        <item x="2079"/>
        <item x="21"/>
        <item x="268"/>
        <item x="1401"/>
        <item x="1292"/>
        <item x="1716"/>
        <item x="518"/>
        <item x="2870"/>
        <item x="1244"/>
        <item x="1391"/>
        <item x="431"/>
        <item x="941"/>
        <item x="1941"/>
        <item x="133"/>
        <item x="1264"/>
        <item x="1388"/>
        <item x="385"/>
        <item x="1573"/>
        <item x="1542"/>
        <item x="1196"/>
        <item x="140"/>
        <item x="774"/>
        <item x="1873"/>
        <item x="146"/>
        <item x="2889"/>
        <item x="874"/>
        <item x="2727"/>
        <item x="650"/>
        <item x="1355"/>
        <item x="737"/>
        <item x="588"/>
        <item x="2033"/>
        <item x="1017"/>
        <item x="2135"/>
        <item x="2065"/>
        <item x="1907"/>
        <item x="1935"/>
        <item x="2638"/>
        <item x="2562"/>
        <item x="142"/>
        <item x="426"/>
        <item x="980"/>
        <item x="244"/>
        <item x="1882"/>
        <item x="521"/>
        <item x="1620"/>
        <item x="2698"/>
        <item x="2212"/>
        <item x="296"/>
        <item x="1258"/>
        <item x="2790"/>
        <item x="2915"/>
        <item x="100"/>
        <item x="2893"/>
        <item x="671"/>
        <item x="1800"/>
        <item x="1841"/>
        <item x="1506"/>
        <item x="2326"/>
        <item x="806"/>
        <item x="860"/>
        <item x="1721"/>
        <item x="211"/>
        <item x="282"/>
        <item x="1077"/>
        <item x="2464"/>
        <item x="2563"/>
        <item x="50"/>
        <item x="143"/>
        <item x="1529"/>
        <item x="2526"/>
        <item x="2134"/>
        <item x="1317"/>
        <item x="264"/>
        <item x="239"/>
        <item x="1312"/>
        <item x="616"/>
        <item x="1508"/>
        <item x="1596"/>
        <item x="2595"/>
        <item x="2062"/>
        <item x="76"/>
        <item x="1972"/>
        <item x="207"/>
        <item x="2339"/>
        <item x="783"/>
        <item x="1644"/>
        <item x="1419"/>
        <item x="683"/>
        <item x="1939"/>
        <item x="2580"/>
        <item x="2358"/>
        <item x="35"/>
        <item x="1991"/>
        <item x="2225"/>
        <item x="283"/>
        <item x="2361"/>
        <item x="1999"/>
        <item x="1074"/>
        <item x="1413"/>
        <item x="805"/>
        <item x="1783"/>
        <item x="2057"/>
        <item x="2450"/>
        <item x="1501"/>
        <item x="506"/>
        <item x="1095"/>
        <item x="2811"/>
        <item x="2287"/>
        <item x="2816"/>
        <item x="2628"/>
        <item x="26"/>
        <item x="1089"/>
        <item x="757"/>
        <item x="1789"/>
        <item x="1970"/>
        <item x="1097"/>
        <item x="1143"/>
        <item x="583"/>
        <item x="2839"/>
        <item x="460"/>
        <item x="888"/>
        <item x="2822"/>
        <item x="2529"/>
        <item x="1731"/>
        <item x="149"/>
        <item x="1973"/>
        <item x="1020"/>
        <item x="362"/>
        <item x="973"/>
        <item x="2256"/>
        <item x="2219"/>
        <item x="2168"/>
        <item x="2890"/>
        <item x="517"/>
        <item x="2211"/>
        <item x="2165"/>
        <item x="166"/>
        <item x="1576"/>
        <item x="2283"/>
        <item x="1278"/>
        <item x="147"/>
        <item x="2467"/>
        <item x="1988"/>
        <item x="1956"/>
        <item x="2540"/>
        <item x="2860"/>
        <item x="2241"/>
        <item x="799"/>
        <item x="265"/>
        <item x="2759"/>
        <item x="413"/>
        <item x="2269"/>
        <item x="719"/>
        <item x="2414"/>
        <item x="40"/>
        <item x="1103"/>
        <item x="1667"/>
        <item x="1260"/>
        <item x="1185"/>
        <item x="2478"/>
        <item x="754"/>
        <item x="2113"/>
        <item x="2513"/>
        <item x="2616"/>
        <item x="1630"/>
        <item x="1795"/>
        <item x="2619"/>
        <item x="916"/>
        <item x="417"/>
        <item x="661"/>
        <item x="735"/>
        <item x="1535"/>
        <item x="957"/>
        <item x="2495"/>
        <item x="948"/>
        <item x="174"/>
        <item x="2725"/>
        <item x="1622"/>
        <item x="983"/>
        <item x="585"/>
        <item x="2496"/>
        <item x="1366"/>
        <item x="2895"/>
        <item x="728"/>
        <item x="2037"/>
        <item x="307"/>
        <item x="1845"/>
        <item x="430"/>
        <item x="1438"/>
        <item x="2554"/>
        <item x="2416"/>
        <item x="2123"/>
        <item x="2118"/>
        <item x="2408"/>
        <item x="1165"/>
        <item x="1127"/>
        <item x="2011"/>
        <item x="1226"/>
        <item x="487"/>
        <item x="1977"/>
        <item x="1140"/>
        <item x="1814"/>
        <item x="1345"/>
        <item x="1663"/>
        <item x="1727"/>
        <item x="1657"/>
        <item x="1191"/>
        <item x="2413"/>
        <item x="1749"/>
        <item x="1826"/>
        <item x="601"/>
        <item x="2063"/>
        <item x="204"/>
        <item x="818"/>
        <item x="1093"/>
        <item x="1936"/>
        <item x="2894"/>
        <item x="2155"/>
        <item x="144"/>
        <item x="2306"/>
        <item x="2926"/>
        <item x="23"/>
        <item x="582"/>
        <item x="1308"/>
        <item x="996"/>
        <item x="1703"/>
        <item x="1288"/>
        <item x="2186"/>
        <item x="2898"/>
        <item x="1019"/>
        <item x="220"/>
        <item x="104"/>
        <item x="1229"/>
        <item x="2048"/>
        <item x="2207"/>
        <item x="1640"/>
        <item x="2574"/>
        <item x="2231"/>
        <item x="1951"/>
        <item x="2557"/>
        <item x="216"/>
        <item x="493"/>
        <item x="1079"/>
        <item x="2314"/>
        <item x="141"/>
        <item x="584"/>
        <item x="1273"/>
        <item x="1940"/>
        <item x="1049"/>
        <item x="1322"/>
        <item x="1774"/>
        <item x="1363"/>
        <item x="2553"/>
        <item x="1530"/>
        <item x="1922"/>
        <item x="2769"/>
        <item x="2579"/>
        <item x="2109"/>
        <item x="2624"/>
        <item x="1641"/>
        <item x="2852"/>
        <item x="1301"/>
        <item x="2924"/>
        <item x="43"/>
        <item x="759"/>
        <item x="842"/>
        <item x="2830"/>
        <item x="605"/>
        <item x="894"/>
        <item x="2858"/>
        <item x="970"/>
        <item x="2658"/>
        <item x="2351"/>
        <item x="705"/>
        <item x="624"/>
        <item x="2183"/>
        <item x="337"/>
        <item x="510"/>
        <item x="1862"/>
        <item x="1455"/>
        <item x="2345"/>
        <item x="495"/>
        <item x="2678"/>
        <item x="2403"/>
        <item x="1460"/>
        <item x="1158"/>
        <item x="915"/>
        <item x="1791"/>
        <item x="89"/>
        <item x="2081"/>
        <item x="2448"/>
        <item x="1946"/>
        <item x="2694"/>
        <item x="402"/>
        <item x="490"/>
        <item x="2809"/>
        <item x="1397"/>
        <item x="2215"/>
        <item x="366"/>
        <item x="75"/>
        <item x="937"/>
        <item x="2216"/>
        <item x="1494"/>
        <item x="1997"/>
        <item x="1761"/>
        <item x="122"/>
        <item x="1323"/>
        <item x="14"/>
        <item x="2578"/>
        <item x="241"/>
        <item x="1039"/>
        <item x="797"/>
        <item x="863"/>
        <item x="536"/>
        <item x="334"/>
        <item x="2823"/>
        <item x="1762"/>
        <item x="2463"/>
        <item x="2474"/>
        <item x="2199"/>
        <item x="465"/>
        <item x="1557"/>
        <item x="2157"/>
        <item x="1746"/>
        <item x="2872"/>
        <item x="579"/>
        <item x="499"/>
        <item x="1126"/>
        <item x="1232"/>
        <item x="1320"/>
        <item x="280"/>
        <item x="1102"/>
        <item x="1544"/>
        <item x="2788"/>
        <item x="4"/>
        <item x="1898"/>
        <item x="2258"/>
        <item x="1563"/>
        <item x="2679"/>
        <item x="1082"/>
        <item x="1220"/>
        <item x="645"/>
        <item x="1403"/>
        <item x="2112"/>
        <item x="372"/>
        <item x="1340"/>
        <item x="188"/>
        <item x="1464"/>
        <item x="2293"/>
        <item x="2281"/>
        <item x="1280"/>
        <item x="1134"/>
        <item x="1984"/>
        <item x="10"/>
        <item x="2525"/>
        <item x="2615"/>
        <item x="2863"/>
        <item x="730"/>
        <item x="185"/>
        <item x="423"/>
        <item x="1361"/>
        <item x="2627"/>
        <item x="2060"/>
        <item x="781"/>
        <item x="902"/>
        <item x="1676"/>
        <item x="2388"/>
        <item x="335"/>
        <item x="116"/>
        <item x="756"/>
        <item x="2227"/>
        <item x="1303"/>
        <item x="1656"/>
        <item x="625"/>
        <item x="22"/>
        <item x="773"/>
        <item x="355"/>
        <item x="2654"/>
        <item x="2238"/>
        <item x="956"/>
        <item x="1646"/>
        <item x="662"/>
        <item x="2056"/>
        <item x="1850"/>
        <item x="2681"/>
        <item x="1311"/>
        <item x="1949"/>
        <item x="2570"/>
        <item x="2718"/>
        <item x="1164"/>
        <item x="615"/>
        <item x="1927"/>
        <item x="1965"/>
        <item x="86"/>
        <item x="2668"/>
        <item x="1958"/>
        <item x="655"/>
        <item x="1884"/>
        <item x="2714"/>
        <item x="302"/>
        <item x="2084"/>
        <item x="478"/>
        <item x="1149"/>
        <item x="2320"/>
        <item x="327"/>
        <item x="2307"/>
        <item x="591"/>
        <item x="1307"/>
        <item x="1868"/>
        <item x="105"/>
        <item x="1087"/>
        <item x="2914"/>
        <item x="1979"/>
        <item x="2794"/>
        <item x="565"/>
        <item x="1633"/>
        <item x="2758"/>
        <item x="434"/>
        <item x="124"/>
        <item x="1892"/>
        <item x="1539"/>
        <item x="1006"/>
        <item x="345"/>
        <item x="2883"/>
        <item x="1552"/>
        <item x="660"/>
        <item x="2153"/>
        <item x="2167"/>
        <item x="1780"/>
        <item x="1489"/>
        <item x="469"/>
        <item x="1383"/>
        <item x="1048"/>
        <item x="1454"/>
        <item x="1493"/>
        <item x="1330"/>
        <item x="2786"/>
        <item x="504"/>
        <item x="553"/>
        <item x="749"/>
        <item x="1172"/>
        <item x="2206"/>
        <item x="1034"/>
        <item x="1993"/>
        <item x="844"/>
        <item x="2417"/>
        <item x="1013"/>
        <item x="1155"/>
        <item x="1147"/>
        <item x="1291"/>
        <item x="2385"/>
        <item x="740"/>
        <item x="112"/>
        <item x="1897"/>
        <item x="2568"/>
        <item x="0"/>
        <item x="303"/>
        <item x="826"/>
        <item x="2550"/>
        <item x="1431"/>
        <item x="1192"/>
        <item x="2501"/>
        <item x="1199"/>
        <item x="2400"/>
        <item x="1614"/>
        <item x="1178"/>
        <item x="1813"/>
        <item x="1466"/>
        <item x="2904"/>
        <item x="1212"/>
        <item x="1066"/>
        <item x="2343"/>
        <item x="60"/>
        <item x="1208"/>
        <item x="2614"/>
        <item x="2288"/>
        <item x="1012"/>
        <item x="1777"/>
        <item x="1337"/>
        <item x="634"/>
        <item x="2517"/>
        <item x="2825"/>
        <item x="1325"/>
        <item x="2775"/>
        <item x="1555"/>
        <item x="2208"/>
        <item x="2064"/>
        <item x="2605"/>
        <item x="1314"/>
        <item x="2029"/>
        <item x="486"/>
        <item x="93"/>
        <item x="1222"/>
        <item x="444"/>
        <item x="2312"/>
        <item x="936"/>
        <item x="1521"/>
        <item x="1843"/>
        <item x="2871"/>
        <item x="1888"/>
        <item x="2909"/>
        <item x="2558"/>
        <item x="669"/>
        <item x="2874"/>
        <item x="769"/>
        <item x="1497"/>
        <item x="2218"/>
        <item x="726"/>
        <item x="2585"/>
        <item x="1639"/>
        <item x="383"/>
        <item x="78"/>
        <item x="492"/>
        <item x="2617"/>
        <item x="1820"/>
        <item x="162"/>
        <item x="1931"/>
        <item x="1467"/>
        <item x="1597"/>
        <item x="1353"/>
        <item x="1989"/>
        <item x="197"/>
        <item x="1964"/>
        <item x="2027"/>
        <item x="1247"/>
        <item x="433"/>
        <item x="2765"/>
        <item x="1000"/>
        <item x="1214"/>
        <item x="1763"/>
        <item x="1612"/>
        <item x="576"/>
        <item x="1671"/>
        <item x="215"/>
        <item x="2392"/>
        <item x="1249"/>
        <item x="208"/>
        <item x="1902"/>
        <item x="999"/>
        <item x="2847"/>
        <item x="2840"/>
        <item x="2040"/>
        <item x="2154"/>
        <item x="2163"/>
        <item x="1750"/>
        <item x="107"/>
        <item x="1429"/>
        <item x="37"/>
        <item x="1659"/>
        <item x="1021"/>
        <item x="2598"/>
        <item x="379"/>
        <item x="1832"/>
        <item x="1372"/>
        <item x="1932"/>
        <item x="2706"/>
        <item x="2804"/>
        <item x="2592"/>
        <item x="1842"/>
        <item x="412"/>
        <item x="249"/>
        <item x="2556"/>
        <item x="670"/>
        <item x="2166"/>
        <item x="977"/>
        <item x="1029"/>
        <item x="1675"/>
        <item x="2194"/>
        <item x="2298"/>
        <item x="1554"/>
        <item x="2634"/>
        <item x="301"/>
        <item x="1531"/>
        <item x="1741"/>
        <item x="2322"/>
        <item x="550"/>
        <item x="2132"/>
        <item x="833"/>
        <item x="1224"/>
        <item x="2456"/>
        <item x="229"/>
        <item x="1207"/>
        <item x="1829"/>
        <item x="1710"/>
        <item x="1240"/>
        <item x="561"/>
        <item x="1773"/>
        <item x="456"/>
        <item x="1594"/>
        <item x="1030"/>
        <item x="267"/>
        <item x="2623"/>
        <item x="401"/>
        <item x="599"/>
        <item x="111"/>
        <item x="1866"/>
        <item x="1416"/>
        <item x="2504"/>
        <item x="2352"/>
        <item x="2252"/>
        <item x="566"/>
        <item x="2344"/>
        <item x="1705"/>
        <item x="1913"/>
        <item x="1846"/>
        <item x="1874"/>
        <item x="2651"/>
        <item x="2481"/>
        <item x="2503"/>
        <item x="2422"/>
        <item x="403"/>
        <item x="2399"/>
        <item x="2039"/>
        <item x="2509"/>
        <item x="969"/>
        <item x="1908"/>
        <item x="1683"/>
        <item x="1963"/>
        <item x="1241"/>
        <item x="1912"/>
        <item x="252"/>
        <item x="1799"/>
        <item x="1546"/>
        <item x="97"/>
        <item x="1504"/>
        <item x="1010"/>
        <item x="1113"/>
        <item x="530"/>
        <item x="1271"/>
        <item x="920"/>
        <item x="1033"/>
        <item x="357"/>
        <item x="2046"/>
        <item x="911"/>
        <item x="2175"/>
        <item x="864"/>
        <item x="1470"/>
        <item x="2090"/>
        <item x="1909"/>
        <item x="2707"/>
        <item x="1617"/>
        <item x="570"/>
        <item x="84"/>
        <item x="639"/>
        <item x="928"/>
        <item x="1998"/>
        <item x="2222"/>
        <item x="2075"/>
        <item x="406"/>
        <item x="1380"/>
        <item x="942"/>
        <item x="1263"/>
        <item x="813"/>
        <item x="397"/>
        <item x="2187"/>
        <item x="287"/>
        <item x="687"/>
        <item x="2767"/>
        <item x="2633"/>
        <item x="2498"/>
        <item x="951"/>
        <item x="1420"/>
        <item x="1672"/>
        <item x="429"/>
        <item x="269"/>
        <item x="2275"/>
        <item x="1725"/>
        <item x="1760"/>
        <item x="1803"/>
        <item x="2405"/>
        <item x="64"/>
        <item x="106"/>
        <item x="2741"/>
        <item x="1976"/>
        <item x="150"/>
        <item x="139"/>
        <item x="1181"/>
        <item x="196"/>
        <item x="563"/>
        <item x="9"/>
        <item x="1408"/>
        <item x="856"/>
        <item x="2299"/>
        <item x="1645"/>
        <item x="56"/>
        <item x="1860"/>
        <item x="1524"/>
        <item x="542"/>
        <item x="1282"/>
        <item x="926"/>
        <item x="2817"/>
        <item x="46"/>
        <item x="1569"/>
        <item x="538"/>
        <item x="53"/>
        <item x="99"/>
        <item x="16"/>
        <item x="2907"/>
        <item x="1674"/>
        <item x="2094"/>
        <item x="2751"/>
        <item x="1067"/>
        <item x="2192"/>
        <item x="2828"/>
        <item x="1295"/>
        <item x="1189"/>
        <item x="963"/>
        <item x="1960"/>
        <item x="733"/>
        <item x="44"/>
        <item x="2612"/>
        <item x="2670"/>
        <item x="2016"/>
        <item x="841"/>
        <item x="2453"/>
        <item x="1900"/>
        <item x="1848"/>
        <item x="90"/>
        <item x="2237"/>
        <item x="2539"/>
        <item x="2083"/>
        <item x="975"/>
        <item x="2906"/>
        <item x="1818"/>
        <item x="2559"/>
        <item x="2327"/>
        <item x="1651"/>
        <item x="524"/>
        <item x="1098"/>
        <item x="2795"/>
        <item x="900"/>
        <item x="1437"/>
        <item x="461"/>
        <item x="27"/>
        <item x="192"/>
        <item x="2857"/>
        <item x="2704"/>
        <item x="672"/>
        <item x="1042"/>
        <item x="1712"/>
        <item x="1183"/>
        <item x="804"/>
        <item x="1009"/>
        <item x="2095"/>
        <item x="1319"/>
        <item x="2246"/>
        <item x="390"/>
        <item x="135"/>
        <item x="608"/>
        <item x="2815"/>
        <item x="2066"/>
        <item x="554"/>
        <item x="2523"/>
        <item x="2138"/>
        <item x="2052"/>
        <item x="1190"/>
        <item x="1889"/>
        <item x="2129"/>
        <item x="113"/>
        <item x="960"/>
        <item x="178"/>
        <item x="718"/>
        <item x="2919"/>
        <item x="290"/>
        <item x="2835"/>
        <item x="1458"/>
        <item x="180"/>
        <item x="1274"/>
        <item x="2566"/>
        <item x="2778"/>
        <item x="981"/>
        <item x="997"/>
        <item x="2452"/>
        <item x="2929"/>
        <item x="838"/>
        <item x="1123"/>
        <item x="1715"/>
        <item x="1658"/>
        <item x="2127"/>
        <item x="1857"/>
        <item x="2719"/>
        <item x="2508"/>
        <item x="439"/>
        <item x="2505"/>
        <item x="1819"/>
        <item x="484"/>
        <item x="438"/>
        <item x="131"/>
        <item x="1921"/>
        <item x="1702"/>
        <item x="1266"/>
        <item x="1759"/>
        <item x="1028"/>
        <item x="1469"/>
        <item x="1756"/>
        <item x="195"/>
        <item x="2519"/>
        <item x="2346"/>
        <item x="984"/>
        <item x="1022"/>
        <item x="24"/>
        <item x="678"/>
        <item x="278"/>
        <item x="1689"/>
        <item x="182"/>
        <item x="1830"/>
        <item x="128"/>
        <item x="1349"/>
        <item x="2311"/>
        <item x="646"/>
        <item x="1468"/>
        <item x="742"/>
        <item x="289"/>
        <item x="2302"/>
        <item x="903"/>
        <item x="2756"/>
        <item x="2885"/>
        <item x="98"/>
        <item x="835"/>
        <item x="1681"/>
        <item x="266"/>
        <item x="170"/>
        <item x="68"/>
        <item x="1315"/>
        <item x="706"/>
        <item x="2292"/>
        <item x="752"/>
        <item x="2331"/>
        <item x="1631"/>
        <item x="2602"/>
        <item x="700"/>
        <item x="2156"/>
        <item x="1815"/>
        <item x="1015"/>
        <item x="1891"/>
        <item x="2263"/>
        <item x="1498"/>
        <item x="2067"/>
        <item x="138"/>
        <item x="1698"/>
        <item x="2879"/>
        <item x="291"/>
        <item x="298"/>
        <item x="1579"/>
        <item x="2457"/>
        <item x="2301"/>
        <item x="1346"/>
        <item x="809"/>
        <item x="2105"/>
        <item x="1327"/>
        <item x="425"/>
        <item x="522"/>
        <item x="1519"/>
        <item x="1863"/>
        <item x="2017"/>
        <item x="1851"/>
        <item x="1255"/>
        <item x="2363"/>
        <item x="581"/>
        <item x="1792"/>
        <item x="1390"/>
        <item x="2738"/>
        <item x="2038"/>
        <item x="2013"/>
        <item x="2511"/>
        <item x="361"/>
        <item x="1011"/>
        <item x="2221"/>
        <item x="2272"/>
        <item x="386"/>
        <item x="1720"/>
        <item x="794"/>
        <item x="2837"/>
        <item x="1152"/>
        <item x="321"/>
        <item x="1708"/>
        <item x="729"/>
        <item x="66"/>
        <item x="1700"/>
        <item x="685"/>
        <item x="59"/>
        <item x="707"/>
        <item x="2629"/>
        <item x="2317"/>
        <item x="2303"/>
        <item x="358"/>
        <item x="8"/>
        <item x="2648"/>
        <item x="2705"/>
        <item x="1120"/>
        <item x="233"/>
        <item x="1131"/>
        <item x="1195"/>
        <item x="693"/>
        <item x="1499"/>
        <item x="2569"/>
        <item x="2285"/>
        <item x="2309"/>
        <item x="393"/>
        <item x="1404"/>
        <item x="1592"/>
        <item x="2108"/>
        <item x="2049"/>
        <item x="2181"/>
        <item x="2708"/>
        <item x="405"/>
        <item x="1753"/>
        <item x="1642"/>
        <item x="2176"/>
        <item x="1852"/>
        <item x="2036"/>
        <item x="1302"/>
        <item x="2382"/>
        <item x="2061"/>
        <item x="1354"/>
        <item x="2201"/>
        <item x="508"/>
        <item x="2087"/>
        <item x="2665"/>
        <item x="411"/>
        <item x="666"/>
        <item x="1886"/>
        <item x="1714"/>
        <item x="2334"/>
        <item x="1003"/>
        <item x="77"/>
        <item x="866"/>
        <item x="2462"/>
        <item x="436"/>
        <item x="1129"/>
        <item x="714"/>
        <item x="2357"/>
        <item x="1200"/>
        <item x="1981"/>
        <item x="2673"/>
        <item x="1540"/>
        <item x="1962"/>
        <item x="1502"/>
        <item x="1139"/>
        <item x="501"/>
        <item x="1660"/>
        <item x="1589"/>
        <item x="974"/>
        <item x="2085"/>
        <item x="875"/>
        <item x="887"/>
        <item x="1903"/>
        <item x="2560"/>
        <item x="1604"/>
        <item x="2143"/>
        <item x="73"/>
        <item x="1839"/>
        <item x="332"/>
        <item x="2047"/>
        <item x="87"/>
        <item x="891"/>
        <item x="228"/>
        <item x="1385"/>
        <item x="1371"/>
        <item x="897"/>
        <item x="812"/>
        <item x="2423"/>
        <item x="851"/>
        <item x="736"/>
        <item x="1637"/>
        <item x="341"/>
        <item x="375"/>
        <item x="748"/>
        <item x="1849"/>
        <item x="2091"/>
        <item x="2359"/>
        <item x="820"/>
        <item x="768"/>
        <item x="470"/>
        <item x="2776"/>
        <item x="807"/>
        <item x="675"/>
        <item x="2631"/>
        <item x="2912"/>
        <item x="29"/>
        <item x="682"/>
        <item x="802"/>
        <item x="7"/>
        <item x="1572"/>
        <item x="2761"/>
        <item x="2004"/>
        <item x="1588"/>
        <item x="1696"/>
        <item x="2862"/>
        <item x="2916"/>
        <item x="2796"/>
        <item x="1684"/>
        <item x="965"/>
        <item x="382"/>
        <item x="2587"/>
        <item x="2483"/>
        <item x="2522"/>
        <item x="709"/>
        <item x="2683"/>
        <item x="2622"/>
        <item x="474"/>
        <item x="391"/>
        <item x="2687"/>
        <item x="181"/>
        <item x="2319"/>
        <item x="1357"/>
        <item x="262"/>
        <item x="908"/>
        <item x="1664"/>
        <item x="1691"/>
        <item x="476"/>
        <item x="547"/>
        <item x="2330"/>
        <item x="1339"/>
        <item x="2591"/>
        <item x="1234"/>
        <item x="310"/>
        <item x="217"/>
        <item x="2866"/>
        <item x="1673"/>
        <item x="2618"/>
        <item x="680"/>
        <item x="2812"/>
        <item x="1037"/>
        <item x="913"/>
        <item x="593"/>
        <item x="1154"/>
        <item x="2732"/>
        <item x="1166"/>
        <item x="1537"/>
        <item x="819"/>
        <item x="2472"/>
        <item x="2777"/>
        <item x="2733"/>
        <item x="2859"/>
        <item x="1966"/>
        <item x="1338"/>
        <item x="604"/>
        <item x="1138"/>
        <item x="2521"/>
        <item x="2833"/>
        <item x="879"/>
        <item x="786"/>
        <item x="2644"/>
        <item x="847"/>
        <item x="2594"/>
        <item x="1053"/>
        <item x="1541"/>
        <item x="1318"/>
        <item x="5"/>
        <item x="979"/>
        <item x="1585"/>
        <item x="2034"/>
        <item x="1678"/>
        <item x="1643"/>
        <item x="2180"/>
        <item x="1060"/>
        <item x="1336"/>
        <item x="1334"/>
        <item x="2438"/>
        <item x="338"/>
        <item x="2076"/>
        <item x="1396"/>
        <item x="388"/>
        <item x="408"/>
        <item x="2198"/>
        <item x="2774"/>
        <item x="1755"/>
        <item x="1804"/>
        <item x="459"/>
        <item x="1743"/>
        <item x="1679"/>
        <item x="462"/>
        <item x="1473"/>
        <item x="509"/>
        <item x="1930"/>
        <item x="2295"/>
        <item x="83"/>
        <item x="1216"/>
        <item x="2684"/>
        <item x="2736"/>
        <item x="746"/>
        <item x="203"/>
        <item x="2120"/>
        <item x="2139"/>
        <item x="2485"/>
        <item x="2102"/>
        <item x="1281"/>
        <item x="2838"/>
        <item x="96"/>
        <item x="1075"/>
        <item x="245"/>
        <item x="1485"/>
        <item x="2754"/>
        <item x="1110"/>
        <item x="210"/>
        <item x="491"/>
        <item x="441"/>
        <item x="1788"/>
        <item x="627"/>
        <item x="2567"/>
        <item x="720"/>
        <item x="343"/>
        <item x="55"/>
        <item x="410"/>
        <item x="1148"/>
        <item x="464"/>
        <item x="732"/>
        <item x="1625"/>
        <item x="2473"/>
        <item x="126"/>
        <item x="2784"/>
        <item x="2713"/>
        <item x="472"/>
        <item x="2642"/>
        <item x="1407"/>
        <item x="684"/>
        <item x="1532"/>
        <item x="1901"/>
        <item x="1412"/>
        <item x="2922"/>
        <item x="2310"/>
        <item x="2892"/>
        <item x="156"/>
        <item x="2771"/>
        <item x="2304"/>
        <item x="2530"/>
        <item x="1943"/>
        <item x="2242"/>
        <item x="643"/>
        <item x="1393"/>
        <item x="225"/>
        <item x="2395"/>
        <item x="2172"/>
        <item x="2542"/>
        <item x="1812"/>
        <item x="1061"/>
        <item x="2607"/>
        <item x="221"/>
        <item x="1747"/>
        <item x="2401"/>
        <item x="1767"/>
        <item x="1018"/>
        <item x="1386"/>
        <item x="1369"/>
        <item x="1381"/>
        <item x="743"/>
        <item x="2412"/>
        <item x="2593"/>
        <item x="592"/>
        <item x="1879"/>
        <item x="895"/>
        <item x="2760"/>
        <item x="1635"/>
        <item x="1277"/>
        <item x="2752"/>
        <item x="2042"/>
        <item x="1831"/>
        <item x="1024"/>
        <item x="1772"/>
        <item x="2000"/>
        <item x="2125"/>
        <item x="724"/>
        <item x="312"/>
        <item x="2232"/>
        <item x="2691"/>
        <item x="815"/>
        <item x="213"/>
        <item x="2625"/>
        <item x="218"/>
        <item x="2106"/>
        <item x="1808"/>
        <item x="422"/>
        <item x="760"/>
        <item x="2471"/>
        <item x="771"/>
        <item x="2659"/>
        <item x="679"/>
        <item x="1528"/>
        <item x="1452"/>
        <item x="2080"/>
        <item x="72"/>
        <item x="2565"/>
        <item x="651"/>
        <item x="793"/>
        <item x="20"/>
        <item x="1500"/>
        <item x="1835"/>
        <item x="2855"/>
        <item x="2213"/>
        <item x="702"/>
        <item x="2276"/>
        <item x="1309"/>
        <item x="2696"/>
        <item x="2609"/>
        <item x="418"/>
        <item x="2429"/>
        <item x="548"/>
        <item x="1045"/>
        <item x="560"/>
        <item x="2353"/>
        <item x="2236"/>
        <item x="808"/>
        <item x="1096"/>
        <item x="871"/>
        <item x="612"/>
        <item x="1276"/>
        <item x="657"/>
        <item x="1810"/>
        <item x="2396"/>
        <item x="1289"/>
        <item x="101"/>
        <item x="1230"/>
        <item x="551"/>
        <item x="2674"/>
        <item x="1844"/>
        <item x="251"/>
        <item x="1333"/>
        <item x="823"/>
        <item x="694"/>
        <item x="873"/>
        <item x="2350"/>
        <item x="2695"/>
        <item x="373"/>
        <item x="451"/>
        <item x="2470"/>
        <item x="2"/>
        <item x="1580"/>
        <item x="2119"/>
        <item x="1023"/>
        <item x="697"/>
        <item x="1496"/>
        <item x="2142"/>
        <item x="1824"/>
        <item x="764"/>
        <item x="1058"/>
        <item x="1570"/>
        <item x="862"/>
        <item x="1967"/>
        <item x="901"/>
        <item x="191"/>
        <item x="2264"/>
        <item x="2308"/>
        <item x="67"/>
        <item x="540"/>
        <item x="463"/>
        <item x="950"/>
        <item x="1341"/>
        <item x="31"/>
        <item x="2524"/>
        <item x="1527"/>
        <item x="1108"/>
        <item x="348"/>
        <item x="1910"/>
        <item x="1443"/>
        <item x="976"/>
        <item x="1598"/>
        <item x="2490"/>
        <item x="531"/>
        <item x="1699"/>
        <item x="1430"/>
        <item x="1259"/>
        <item x="2356"/>
        <item x="2152"/>
        <item x="2861"/>
        <item x="991"/>
        <item x="1513"/>
        <item x="1890"/>
        <item x="1112"/>
        <item x="271"/>
        <item x="2899"/>
        <item x="1358"/>
        <item x="12"/>
        <item x="2128"/>
        <item x="2389"/>
        <item x="452"/>
        <item x="110"/>
        <item x="424"/>
        <item x="886"/>
        <item x="1298"/>
        <item x="1051"/>
        <item x="1853"/>
        <item x="2920"/>
        <item x="360"/>
        <item x="231"/>
        <item x="2573"/>
        <item x="306"/>
        <item x="1690"/>
        <item x="2023"/>
        <item x="770"/>
        <item x="1718"/>
        <item x="2813"/>
        <item x="2001"/>
        <item x="2257"/>
        <item x="2660"/>
        <item x="1769"/>
        <item x="2905"/>
        <item x="2873"/>
        <item x="2749"/>
        <item x="2178"/>
        <item x="2321"/>
        <item x="1488"/>
        <item x="2425"/>
        <item x="2116"/>
        <item x="750"/>
        <item x="234"/>
        <item x="1693"/>
        <item x="1550"/>
        <item x="698"/>
        <item x="409"/>
        <item x="2224"/>
        <item x="2019"/>
        <item x="1937"/>
        <item x="1478"/>
        <item x="2024"/>
        <item x="635"/>
        <item x="526"/>
        <item x="647"/>
        <item x="2475"/>
        <item x="2480"/>
        <item x="1063"/>
        <item x="935"/>
        <item x="2702"/>
        <item x="2204"/>
        <item x="1566"/>
        <item x="1536"/>
        <item x="2913"/>
        <item x="57"/>
        <item x="610"/>
        <item x="982"/>
        <item x="407"/>
        <item x="1740"/>
        <item x="331"/>
        <item x="1410"/>
        <item x="2372"/>
        <item x="1735"/>
        <item x="17"/>
        <item x="1161"/>
        <item x="253"/>
        <item x="619"/>
        <item x="2541"/>
        <item x="2427"/>
        <item x="1197"/>
        <item x="2371"/>
        <item x="577"/>
        <item x="2611"/>
        <item x="2824"/>
        <item x="1052"/>
        <item x="574"/>
        <item x="1248"/>
        <item x="1104"/>
        <item x="447"/>
        <item x="2711"/>
        <item x="690"/>
        <item x="739"/>
        <item x="2546"/>
        <item x="1952"/>
        <item x="1823"/>
        <item x="1477"/>
        <item x="2636"/>
        <item x="227"/>
        <item x="1086"/>
        <item x="614"/>
        <item x="1057"/>
        <item x="2115"/>
        <item x="256"/>
        <item x="342"/>
        <item x="359"/>
        <item x="2003"/>
        <item x="617"/>
        <item x="1914"/>
        <item x="1146"/>
        <item x="2597"/>
        <item x="2620"/>
        <item x="2259"/>
        <item x="2323"/>
        <item x="1925"/>
        <item x="814"/>
        <item x="1847"/>
        <item x="573"/>
        <item x="689"/>
        <item x="1858"/>
        <item x="2656"/>
        <item x="1682"/>
        <item x="502"/>
        <item x="537"/>
        <item x="2783"/>
        <item x="2500"/>
        <item x="1035"/>
        <item x="235"/>
        <item x="641"/>
        <item x="2688"/>
        <item x="32"/>
        <item x="2746"/>
        <item x="1906"/>
        <item x="2884"/>
        <item x="1607"/>
        <item x="1787"/>
        <item x="520"/>
        <item x="2773"/>
        <item x="1558"/>
        <item x="206"/>
        <item x="1619"/>
        <item x="1603"/>
        <item x="1257"/>
        <item x="2431"/>
        <item x="94"/>
        <item x="2296"/>
        <item x="2555"/>
        <item x="2025"/>
        <item x="523"/>
        <item x="2098"/>
        <item x="2020"/>
        <item x="790"/>
        <item x="2092"/>
        <item x="1634"/>
        <item x="263"/>
        <item x="1290"/>
        <item x="1265"/>
        <item x="323"/>
        <item x="931"/>
        <item x="1821"/>
        <item x="396"/>
        <item x="2290"/>
        <item x="659"/>
        <item x="2690"/>
        <item x="1475"/>
        <item x="1394"/>
        <item x="1790"/>
        <item x="261"/>
        <item x="630"/>
        <item x="1654"/>
        <item x="2850"/>
        <item x="940"/>
        <item x="853"/>
        <item x="259"/>
        <item x="2576"/>
        <item x="2488"/>
        <item x="1881"/>
        <item x="946"/>
        <item x="1872"/>
        <item x="1806"/>
        <item x="1484"/>
        <item x="953"/>
        <item x="2923"/>
        <item x="485"/>
        <item x="1954"/>
        <item x="1491"/>
        <item x="48"/>
        <item x="1602"/>
        <item x="1124"/>
        <item x="1157"/>
        <item x="494"/>
        <item x="766"/>
        <item x="932"/>
        <item x="1465"/>
        <item x="2535"/>
        <item x="47"/>
        <item x="194"/>
        <item x="668"/>
        <item x="1144"/>
        <item x="564"/>
        <item x="800"/>
        <item x="664"/>
        <item x="1461"/>
        <item x="2210"/>
        <item x="275"/>
        <item x="1099"/>
        <item x="34"/>
        <item x="2055"/>
        <item x="1837"/>
        <item x="1487"/>
        <item x="1482"/>
        <item x="2099"/>
        <item x="1709"/>
        <item x="1905"/>
        <item x="2507"/>
        <item x="134"/>
        <item x="2677"/>
        <item x="1662"/>
        <item x="1726"/>
        <item x="1520"/>
        <item x="543"/>
        <item x="286"/>
        <item x="962"/>
        <item x="51"/>
        <item x="2647"/>
        <item x="1456"/>
        <item x="1088"/>
        <item x="943"/>
        <item x="2675"/>
        <item x="2721"/>
        <item x="586"/>
        <item x="2376"/>
        <item x="1221"/>
        <item x="821"/>
        <item x="621"/>
        <item x="471"/>
        <item x="1043"/>
        <item x="1133"/>
        <item x="2544"/>
        <item x="1605"/>
        <item x="1782"/>
        <item x="2482"/>
        <item x="2661"/>
        <item x="2663"/>
        <item x="2821"/>
        <item x="1254"/>
        <item x="1261"/>
        <item x="1704"/>
        <item x="1869"/>
        <item x="2606"/>
        <item x="2006"/>
        <item x="1621"/>
        <item x="1968"/>
        <item x="2366"/>
        <item x="2131"/>
        <item x="512"/>
        <item x="532"/>
        <item x="2111"/>
        <item x="2174"/>
        <item x="528"/>
        <item x="1629"/>
        <item x="1893"/>
        <item x="1379"/>
        <item x="2442"/>
        <item x="1047"/>
        <item x="3"/>
        <item x="2316"/>
        <item x="2239"/>
        <item x="1457"/>
        <item x="1275"/>
        <item x="1436"/>
        <item x="2424"/>
        <item x="1300"/>
        <item x="477"/>
        <item x="1184"/>
        <item x="1918"/>
        <item x="1507"/>
        <item x="2260"/>
        <item x="995"/>
        <item x="2278"/>
        <item x="1728"/>
        <item x="1299"/>
        <item x="2757"/>
        <item x="479"/>
        <item x="1306"/>
        <item x="353"/>
        <item x="1078"/>
        <item x="2581"/>
        <item x="183"/>
        <item x="744"/>
        <item x="780"/>
        <item x="349"/>
        <item x="1875"/>
        <item x="187"/>
        <item x="1797"/>
        <item x="1162"/>
        <item x="2228"/>
        <item x="1694"/>
        <item x="273"/>
        <item x="1409"/>
        <item x="127"/>
        <item x="2466"/>
        <item x="801"/>
        <item x="858"/>
        <item x="2489"/>
        <item x="223"/>
        <item x="1794"/>
        <item x="1649"/>
        <item x="255"/>
        <item x="2664"/>
        <item x="1170"/>
        <item x="276"/>
        <item x="795"/>
        <item x="272"/>
        <item x="2846"/>
        <item x="1770"/>
        <item x="132"/>
        <item x="237"/>
        <item x="1364"/>
        <item x="889"/>
        <item x="2682"/>
        <item x="2849"/>
        <item x="1737"/>
        <item x="404"/>
        <item x="525"/>
        <item x="1036"/>
        <item x="2054"/>
        <item x="2145"/>
        <item x="2494"/>
        <item x="1545"/>
        <item x="699"/>
        <item x="33"/>
        <item x="1534"/>
        <item x="2527"/>
        <item x="1987"/>
        <item x="868"/>
        <item x="384"/>
        <item x="817"/>
        <item x="2613"/>
        <item x="1583"/>
        <item x="137"/>
        <item x="1313"/>
        <item x="1392"/>
        <item x="2770"/>
        <item x="1182"/>
        <item x="546"/>
        <item x="1395"/>
        <item x="846"/>
        <item x="2722"/>
        <item x="374"/>
        <item x="2639"/>
        <item x="778"/>
        <item x="2177"/>
        <item x="1176"/>
        <item x="677"/>
        <item x="1027"/>
        <item x="2640"/>
        <item x="2443"/>
        <item x="1926"/>
        <item t="default"/>
      </items>
    </pivotField>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pivotField showAll="0"/>
    <pivotField showAll="0"/>
    <pivotField dataField="1"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Length_of_Stay" fld="12" subtotal="average"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481798-A23A-4D6D-AEAB-72095A5BA58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0:H51" firstHeaderRow="1" firstDataRow="1" firstDataCol="1"/>
  <pivotFields count="15">
    <pivotField dataField="1" showAll="0"/>
    <pivotField showAll="0"/>
    <pivotField showAll="0">
      <items count="8">
        <item x="0"/>
        <item x="1"/>
        <item x="2"/>
        <item x="3"/>
        <item x="4"/>
        <item x="5"/>
        <item x="6"/>
        <item t="default"/>
      </items>
    </pivotField>
    <pivotField showAll="0">
      <items count="3">
        <item x="1"/>
        <item x="0"/>
        <item t="default"/>
      </items>
    </pivotField>
    <pivotField showAll="0">
      <items count="8">
        <item x="5"/>
        <item x="1"/>
        <item x="6"/>
        <item x="4"/>
        <item x="3"/>
        <item x="2"/>
        <item x="0"/>
        <item t="default"/>
      </items>
    </pivotField>
    <pivotField showAll="0"/>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axis="axisRow" showAll="0" sortType="ascending">
      <items count="11">
        <item x="0"/>
        <item x="2"/>
        <item x="8"/>
        <item x="7"/>
        <item x="3"/>
        <item x="6"/>
        <item x="5"/>
        <item x="9"/>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8"/>
  </rowFields>
  <rowItems count="11">
    <i>
      <x v="4"/>
    </i>
    <i>
      <x v="7"/>
    </i>
    <i>
      <x v="5"/>
    </i>
    <i>
      <x v="6"/>
    </i>
    <i>
      <x v="2"/>
    </i>
    <i>
      <x v="3"/>
    </i>
    <i>
      <x v="8"/>
    </i>
    <i>
      <x v="9"/>
    </i>
    <i>
      <x/>
    </i>
    <i>
      <x v="1"/>
    </i>
    <i t="grand">
      <x/>
    </i>
  </rowItems>
  <colItems count="1">
    <i/>
  </colItems>
  <dataFields count="1">
    <dataField name="Count of Pati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A081B2-3D50-4F53-9356-C6CF492F2C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pivotField showAll="0"/>
    <pivotField showAll="0">
      <items count="8">
        <item x="0"/>
        <item x="1"/>
        <item x="2"/>
        <item x="3"/>
        <item x="4"/>
        <item x="5"/>
        <item x="6"/>
        <item t="default"/>
      </items>
    </pivotField>
    <pivotField showAll="0"/>
    <pivotField showAll="0">
      <items count="8">
        <item x="5"/>
        <item x="1"/>
        <item x="6"/>
        <item x="4"/>
        <item x="3"/>
        <item x="2"/>
        <item x="0"/>
        <item t="default"/>
      </items>
    </pivotField>
    <pivotField showAll="0"/>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pivotField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48828E-EF3C-4743-B821-C4D0B7088A4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9:E52" firstHeaderRow="1" firstDataRow="1" firstDataCol="1"/>
  <pivotFields count="15">
    <pivotField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8">
        <item x="0"/>
        <item x="1"/>
        <item x="2"/>
        <item x="3"/>
        <item x="4"/>
        <item x="5"/>
        <item x="6"/>
        <item t="default"/>
      </items>
    </pivotField>
    <pivotField showAll="0">
      <items count="3">
        <item x="1"/>
        <item x="0"/>
        <item t="default"/>
      </items>
    </pivotField>
    <pivotField showAll="0">
      <items count="8">
        <item x="5"/>
        <item x="1"/>
        <item x="6"/>
        <item x="4"/>
        <item x="3"/>
        <item x="2"/>
        <item x="0"/>
        <item t="default"/>
      </items>
    </pivotField>
    <pivotField showAll="0">
      <items count="2931">
        <item x="1083"/>
        <item x="152"/>
        <item x="28"/>
        <item x="1002"/>
        <item x="2652"/>
        <item x="939"/>
        <item x="2286"/>
        <item x="442"/>
        <item x="339"/>
        <item x="713"/>
        <item x="292"/>
        <item x="368"/>
        <item x="387"/>
        <item x="1442"/>
        <item x="2836"/>
        <item x="136"/>
        <item x="676"/>
        <item x="2407"/>
        <item x="453"/>
        <item x="1978"/>
        <item x="822"/>
        <item x="1031"/>
        <item x="2179"/>
        <item x="633"/>
        <item x="2486"/>
        <item x="892"/>
        <item x="511"/>
        <item x="1561"/>
        <item x="2818"/>
        <item x="2782"/>
        <item x="367"/>
        <item x="322"/>
        <item x="305"/>
        <item x="209"/>
        <item x="398"/>
        <item x="1187"/>
        <item x="2021"/>
        <item x="2755"/>
        <item x="1982"/>
        <item x="2766"/>
        <item x="2370"/>
        <item x="1758"/>
        <item x="1581"/>
        <item x="727"/>
        <item x="549"/>
        <item x="158"/>
        <item x="1062"/>
        <item x="1471"/>
        <item x="1270"/>
        <item x="2841"/>
        <item x="1717"/>
        <item x="2667"/>
        <item x="2657"/>
        <item x="1125"/>
        <item x="2159"/>
        <item x="968"/>
        <item x="2810"/>
        <item x="2737"/>
        <item x="2549"/>
        <item x="2404"/>
        <item x="1130"/>
        <item x="333"/>
        <item x="1626"/>
        <item x="927"/>
        <item x="947"/>
        <item x="1486"/>
        <item x="2918"/>
        <item x="855"/>
        <item x="857"/>
        <item x="1514"/>
        <item x="1778"/>
        <item x="2868"/>
        <item x="199"/>
        <item x="351"/>
        <item x="2002"/>
        <item x="488"/>
        <item x="1624"/>
        <item x="328"/>
        <item x="1343"/>
        <item x="515"/>
        <item x="2072"/>
        <item x="1250"/>
        <item x="1928"/>
        <item x="890"/>
        <item x="2834"/>
        <item x="622"/>
        <item x="2381"/>
        <item x="2492"/>
        <item x="845"/>
        <item x="2645"/>
        <item x="2734"/>
        <item x="2545"/>
        <item x="2074"/>
        <item x="347"/>
        <item x="2200"/>
        <item x="2355"/>
        <item x="377"/>
        <item x="2078"/>
        <item x="1188"/>
        <item x="1809"/>
        <item x="2418"/>
        <item x="1370"/>
        <item x="38"/>
        <item x="2780"/>
        <item x="1980"/>
        <item x="2534"/>
        <item x="1180"/>
        <item x="1286"/>
        <item x="2313"/>
        <item x="1786"/>
        <item x="1623"/>
        <item x="2797"/>
        <item x="2268"/>
        <item x="922"/>
        <item x="270"/>
        <item x="952"/>
        <item x="1115"/>
        <item x="30"/>
        <item x="177"/>
        <item x="2599"/>
        <item x="829"/>
        <item x="848"/>
        <item x="2173"/>
        <item x="2584"/>
        <item x="2185"/>
        <item x="1775"/>
        <item x="1648"/>
        <item x="2305"/>
        <item x="2271"/>
        <item x="88"/>
        <item x="205"/>
        <item x="755"/>
        <item x="184"/>
        <item x="475"/>
        <item x="2126"/>
        <item x="1590"/>
        <item x="2030"/>
        <item x="2151"/>
        <item x="1375"/>
        <item x="246"/>
        <item x="1223"/>
        <item x="753"/>
        <item x="2247"/>
        <item x="898"/>
        <item x="1916"/>
        <item x="2117"/>
        <item x="1168"/>
        <item x="1081"/>
        <item x="1411"/>
        <item x="1574"/>
        <item x="1109"/>
        <item x="2251"/>
        <item x="148"/>
        <item x="340"/>
        <item x="2641"/>
        <item x="226"/>
        <item x="129"/>
        <item x="157"/>
        <item x="1137"/>
        <item x="558"/>
        <item x="2768"/>
        <item x="831"/>
        <item x="1738"/>
        <item x="61"/>
        <item x="1957"/>
        <item x="1511"/>
        <item x="108"/>
        <item x="2009"/>
        <item x="274"/>
        <item x="164"/>
        <item x="295"/>
        <item x="1798"/>
        <item x="1887"/>
        <item x="930"/>
        <item x="1439"/>
        <item x="2191"/>
        <item x="1479"/>
        <item x="1175"/>
        <item x="1551"/>
        <item x="2921"/>
        <item x="1877"/>
        <item x="41"/>
        <item x="1032"/>
        <item x="400"/>
        <item x="2461"/>
        <item x="2621"/>
        <item x="2369"/>
        <item x="1368"/>
        <item x="2340"/>
        <item x="1432"/>
        <item x="2409"/>
        <item x="2548"/>
        <item x="784"/>
        <item x="1236"/>
        <item x="151"/>
        <item x="1562"/>
        <item x="544"/>
        <item x="738"/>
        <item x="489"/>
        <item x="1816"/>
        <item x="2223"/>
        <item x="2582"/>
        <item x="2378"/>
        <item x="870"/>
        <item x="2881"/>
        <item x="2197"/>
        <item x="998"/>
        <item x="578"/>
        <item x="1885"/>
        <item x="189"/>
        <item x="1719"/>
        <item x="2012"/>
        <item x="2014"/>
        <item x="155"/>
        <item x="1793"/>
        <item x="356"/>
        <item x="2604"/>
        <item x="1510"/>
        <item x="1084"/>
        <item x="1344"/>
        <item x="1575"/>
        <item x="145"/>
        <item x="2848"/>
        <item x="2387"/>
        <item x="1599"/>
        <item x="1203"/>
        <item x="1505"/>
        <item x="1016"/>
        <item x="2886"/>
        <item x="2820"/>
        <item x="1360"/>
        <item x="2220"/>
        <item x="1321"/>
        <item x="297"/>
        <item x="85"/>
        <item x="354"/>
        <item x="2390"/>
        <item x="1304"/>
        <item x="320"/>
        <item x="311"/>
        <item x="2045"/>
        <item x="2158"/>
        <item x="1151"/>
        <item x="1441"/>
        <item x="2005"/>
        <item x="2432"/>
        <item x="1559"/>
        <item x="500"/>
        <item x="884"/>
        <item x="2347"/>
        <item x="843"/>
        <item x="2410"/>
        <item x="458"/>
        <item x="1014"/>
        <item x="2328"/>
        <item x="2077"/>
        <item x="1194"/>
        <item x="186"/>
        <item x="1174"/>
        <item x="2008"/>
        <item x="2603"/>
        <item x="716"/>
        <item x="1711"/>
        <item x="603"/>
        <item x="1352"/>
        <item x="1267"/>
        <item x="656"/>
        <item x="1776"/>
        <item x="2666"/>
        <item x="2348"/>
        <item x="1754"/>
        <item x="1765"/>
        <item x="1427"/>
        <item x="667"/>
        <item x="636"/>
        <item x="1447"/>
        <item x="663"/>
        <item x="2441"/>
        <item x="2445"/>
        <item x="966"/>
        <item x="1331"/>
        <item x="1632"/>
        <item x="2284"/>
        <item x="2454"/>
        <item x="1142"/>
        <item x="810"/>
        <item x="1"/>
        <item x="637"/>
        <item x="2484"/>
        <item x="1734"/>
        <item x="1335"/>
        <item x="878"/>
        <item x="602"/>
        <item x="2700"/>
        <item x="1450"/>
        <item x="2497"/>
        <item x="1316"/>
        <item x="899"/>
        <item x="1305"/>
        <item x="609"/>
        <item x="2170"/>
        <item x="2583"/>
        <item x="1509"/>
        <item x="1073"/>
        <item x="1444"/>
        <item x="595"/>
        <item x="1525"/>
        <item x="1533"/>
        <item x="559"/>
        <item x="849"/>
        <item x="654"/>
        <item x="395"/>
        <item x="2716"/>
        <item x="792"/>
        <item x="1440"/>
        <item x="1106"/>
        <item x="2226"/>
        <item x="776"/>
        <item x="1373"/>
        <item x="2209"/>
        <item x="2349"/>
        <item x="2026"/>
        <item x="2022"/>
        <item x="638"/>
        <item x="535"/>
        <item x="240"/>
        <item x="2162"/>
        <item x="2274"/>
        <item x="115"/>
        <item x="167"/>
        <item x="2059"/>
        <item x="414"/>
        <item x="503"/>
        <item x="2590"/>
        <item x="2869"/>
        <item x="2827"/>
        <item x="2571"/>
        <item x="1225"/>
        <item x="2908"/>
        <item x="2217"/>
        <item x="1215"/>
        <item x="2018"/>
        <item x="1038"/>
        <item x="767"/>
        <item x="201"/>
        <item x="877"/>
        <item x="2144"/>
        <item x="1802"/>
        <item x="284"/>
        <item x="1948"/>
        <item x="642"/>
        <item x="758"/>
        <item x="1600"/>
        <item x="859"/>
        <item x="1628"/>
        <item x="232"/>
        <item x="2689"/>
        <item x="2779"/>
        <item x="785"/>
        <item x="1490"/>
        <item x="2807"/>
        <item x="449"/>
        <item x="1739"/>
        <item x="2856"/>
        <item x="2798"/>
        <item x="1332"/>
        <item x="2669"/>
        <item x="1950"/>
        <item x="876"/>
        <item x="2294"/>
        <item x="2799"/>
        <item x="1503"/>
        <item x="1268"/>
        <item x="198"/>
        <item x="1548"/>
        <item x="2449"/>
        <item x="580"/>
        <item x="2203"/>
        <item x="309"/>
        <item x="880"/>
        <item x="118"/>
        <item x="2900"/>
        <item x="2793"/>
        <item x="329"/>
        <item x="2122"/>
        <item x="839"/>
        <item x="1836"/>
        <item x="721"/>
        <item x="2384"/>
        <item x="1876"/>
        <item x="1219"/>
        <item x="2586"/>
        <item x="761"/>
        <item x="1752"/>
        <item x="330"/>
        <item x="435"/>
        <item x="318"/>
        <item x="1417"/>
        <item x="2589"/>
        <item x="787"/>
        <item x="552"/>
        <item x="481"/>
        <item x="1953"/>
        <item x="49"/>
        <item x="2476"/>
        <item x="1974"/>
        <item x="715"/>
        <item x="921"/>
        <item x="1515"/>
        <item x="1861"/>
        <item x="1272"/>
        <item x="934"/>
        <item x="1587"/>
        <item x="2148"/>
        <item x="2506"/>
        <item x="2364"/>
        <item x="2250"/>
        <item x="2843"/>
        <item x="1218"/>
        <item x="2428"/>
        <item x="125"/>
        <item x="2377"/>
        <item x="1543"/>
        <item x="1606"/>
        <item x="2764"/>
        <item x="2844"/>
        <item x="2632"/>
        <item x="1713"/>
        <item x="2715"/>
        <item x="336"/>
        <item x="2851"/>
        <item x="317"/>
        <item x="938"/>
        <item x="1204"/>
        <item x="2015"/>
        <item x="1938"/>
        <item x="1005"/>
        <item x="2188"/>
        <item x="513"/>
        <item x="534"/>
        <item x="1669"/>
        <item x="1426"/>
        <item x="1179"/>
        <item x="2380"/>
        <item x="389"/>
        <item x="1827"/>
        <item x="120"/>
        <item x="2600"/>
        <item x="1685"/>
        <item x="2289"/>
        <item x="1156"/>
        <item x="1934"/>
        <item x="154"/>
        <item x="2070"/>
        <item x="1118"/>
        <item x="1986"/>
        <item x="2531"/>
        <item x="1119"/>
        <item x="2853"/>
        <item x="1994"/>
        <item x="2499"/>
        <item x="629"/>
        <item x="2891"/>
        <item x="1402"/>
        <item x="36"/>
        <item x="419"/>
        <item x="1243"/>
        <item x="2753"/>
        <item x="1781"/>
        <item x="2832"/>
        <item x="869"/>
        <item x="2354"/>
        <item x="824"/>
        <item x="648"/>
        <item x="130"/>
        <item x="1007"/>
        <item x="955"/>
        <item x="2184"/>
        <item x="454"/>
        <item x="2149"/>
        <item x="160"/>
        <item x="74"/>
        <item x="912"/>
        <item x="2031"/>
        <item x="2124"/>
        <item x="69"/>
        <item x="1228"/>
        <item x="2333"/>
        <item x="168"/>
        <item x="2917"/>
        <item x="1854"/>
        <item x="1730"/>
        <item x="2662"/>
        <item x="2653"/>
        <item x="2169"/>
        <item x="1578"/>
        <item x="42"/>
        <item x="2502"/>
        <item x="834"/>
        <item x="2880"/>
        <item x="1297"/>
        <item x="370"/>
        <item x="2282"/>
        <item x="1365"/>
        <item x="2572"/>
        <item x="2291"/>
        <item x="2073"/>
        <item x="2701"/>
        <item x="772"/>
        <item x="1616"/>
        <item x="6"/>
        <item x="1202"/>
        <item x="1310"/>
        <item x="1001"/>
        <item x="803"/>
        <item x="1990"/>
        <item x="2262"/>
        <item x="2297"/>
        <item x="1688"/>
        <item x="2699"/>
        <item x="1865"/>
        <item x="1611"/>
        <item x="2202"/>
        <item x="2437"/>
        <item x="734"/>
        <item x="1495"/>
        <item x="791"/>
        <item x="1128"/>
        <item x="545"/>
        <item x="2136"/>
        <item x="2189"/>
        <item x="2043"/>
        <item x="1235"/>
        <item x="1025"/>
        <item x="541"/>
        <item x="933"/>
        <item x="945"/>
        <item x="1961"/>
        <item x="1090"/>
        <item x="243"/>
        <item x="437"/>
        <item x="2205"/>
        <item x="2161"/>
        <item x="2088"/>
        <item x="2487"/>
        <item x="1757"/>
        <item x="2133"/>
        <item x="1538"/>
        <item x="2182"/>
        <item x="1729"/>
        <item x="1764"/>
        <item x="555"/>
        <item x="71"/>
        <item x="242"/>
        <item x="468"/>
        <item x="415"/>
        <item x="1050"/>
        <item x="631"/>
        <item x="2103"/>
        <item x="907"/>
        <item x="711"/>
        <item x="1595"/>
        <item x="2680"/>
        <item x="2781"/>
        <item x="2717"/>
        <item x="658"/>
        <item x="2430"/>
        <item x="527"/>
        <item x="1983"/>
        <item x="2337"/>
        <item x="2712"/>
        <item x="1285"/>
        <item x="2805"/>
        <item x="1919"/>
        <item x="751"/>
        <item x="2373"/>
        <item x="2686"/>
        <item x="1692"/>
        <item x="1398"/>
        <item x="589"/>
        <item x="2195"/>
        <item x="681"/>
        <item x="369"/>
        <item x="13"/>
        <item x="2041"/>
        <item x="1811"/>
        <item x="281"/>
        <item x="2190"/>
        <item x="466"/>
        <item x="918"/>
        <item x="1359"/>
        <item x="455"/>
        <item x="378"/>
        <item x="2789"/>
        <item x="2411"/>
        <item x="1173"/>
        <item x="214"/>
        <item x="440"/>
        <item x="989"/>
        <item x="58"/>
        <item x="18"/>
        <item x="2901"/>
        <item x="1435"/>
        <item x="432"/>
        <item x="628"/>
        <item x="2927"/>
        <item x="1462"/>
        <item x="2564"/>
        <item x="1153"/>
        <item x="1609"/>
        <item x="2630"/>
        <item x="2458"/>
        <item x="1828"/>
        <item x="325"/>
        <item x="1565"/>
        <item x="745"/>
        <item x="2710"/>
        <item x="2068"/>
        <item x="2243"/>
        <item x="1564"/>
        <item x="1100"/>
        <item x="836"/>
        <item x="1210"/>
        <item x="1136"/>
        <item x="1805"/>
        <item x="473"/>
        <item x="674"/>
        <item x="2338"/>
        <item x="2672"/>
        <item x="971"/>
        <item x="1092"/>
        <item x="2279"/>
        <item x="2341"/>
        <item x="65"/>
        <item x="254"/>
        <item x="365"/>
        <item x="1324"/>
        <item x="482"/>
        <item x="2536"/>
        <item x="1287"/>
        <item x="173"/>
        <item x="293"/>
        <item x="2032"/>
        <item x="1801"/>
        <item x="2069"/>
        <item x="2193"/>
        <item x="2391"/>
        <item x="1650"/>
        <item x="1242"/>
        <item x="2520"/>
        <item x="1209"/>
        <item x="789"/>
        <item x="1448"/>
        <item x="1246"/>
        <item x="2785"/>
        <item x="394"/>
        <item x="427"/>
        <item x="1211"/>
        <item x="2887"/>
        <item x="1923"/>
        <item x="1091"/>
        <item x="2398"/>
        <item x="2325"/>
        <item x="2515"/>
        <item x="762"/>
        <item x="529"/>
        <item x="2028"/>
        <item x="25"/>
        <item x="2465"/>
        <item x="1618"/>
        <item x="572"/>
        <item x="613"/>
        <item x="1481"/>
        <item x="2426"/>
        <item x="2575"/>
        <item x="416"/>
        <item x="1041"/>
        <item x="1883"/>
        <item x="723"/>
        <item x="448"/>
        <item x="994"/>
        <item x="909"/>
        <item x="1896"/>
        <item x="2130"/>
        <item x="2071"/>
        <item x="1251"/>
        <item x="1483"/>
        <item x="319"/>
        <item x="1518"/>
        <item x="2164"/>
        <item x="1825"/>
        <item x="1399"/>
        <item x="15"/>
        <item x="114"/>
        <item x="2245"/>
        <item x="80"/>
        <item x="2479"/>
        <item x="1547"/>
        <item x="2808"/>
        <item x="2266"/>
        <item x="1059"/>
        <item x="2802"/>
        <item x="623"/>
        <item x="919"/>
        <item x="2383"/>
        <item x="1601"/>
        <item x="2141"/>
        <item x="2318"/>
        <item x="1418"/>
        <item x="1422"/>
        <item x="985"/>
        <item x="865"/>
        <item x="1859"/>
        <item x="2234"/>
        <item x="1911"/>
        <item x="2110"/>
        <item x="2693"/>
        <item x="649"/>
        <item x="1376"/>
        <item x="483"/>
        <item x="2650"/>
        <item x="611"/>
        <item x="2421"/>
        <item x="2882"/>
        <item x="1206"/>
        <item x="1065"/>
        <item x="163"/>
        <item x="2121"/>
        <item x="2800"/>
        <item x="2723"/>
        <item x="2877"/>
        <item x="986"/>
        <item x="316"/>
        <item x="691"/>
        <item x="169"/>
        <item x="2731"/>
        <item x="2051"/>
        <item x="1817"/>
        <item x="2538"/>
        <item x="2801"/>
        <item x="594"/>
        <item x="1610"/>
        <item x="788"/>
        <item x="825"/>
        <item x="816"/>
        <item x="1766"/>
        <item x="1933"/>
        <item x="1252"/>
        <item x="896"/>
        <item x="2763"/>
        <item x="620"/>
        <item x="590"/>
        <item x="2806"/>
        <item x="52"/>
        <item x="861"/>
        <item x="2551"/>
        <item x="2516"/>
        <item x="371"/>
        <item x="202"/>
        <item x="2643"/>
        <item x="381"/>
        <item x="571"/>
        <item x="2685"/>
        <item x="2878"/>
        <item x="1553"/>
        <item x="1245"/>
        <item x="1706"/>
        <item x="102"/>
        <item x="837"/>
        <item x="2365"/>
        <item x="731"/>
        <item x="1526"/>
        <item x="2248"/>
        <item x="914"/>
        <item x="344"/>
        <item x="1141"/>
        <item x="1653"/>
        <item x="1329"/>
        <item x="1613"/>
        <item x="1768"/>
        <item x="978"/>
        <item x="600"/>
        <item x="1670"/>
        <item x="2447"/>
        <item x="224"/>
        <item x="363"/>
        <item x="95"/>
        <item x="2273"/>
        <item x="673"/>
        <item x="1695"/>
        <item x="606"/>
        <item x="710"/>
        <item x="1326"/>
        <item x="63"/>
        <item x="1449"/>
        <item x="686"/>
        <item x="828"/>
        <item x="514"/>
        <item x="2267"/>
        <item x="1132"/>
        <item x="2588"/>
        <item x="2537"/>
        <item x="872"/>
        <item x="1955"/>
        <item x="480"/>
        <item x="1382"/>
        <item x="2510"/>
        <item x="954"/>
        <item x="2053"/>
        <item x="893"/>
        <item x="2547"/>
        <item x="539"/>
        <item x="2491"/>
        <item x="2035"/>
        <item x="2362"/>
        <item x="2140"/>
        <item x="172"/>
        <item x="1652"/>
        <item x="1959"/>
        <item x="153"/>
        <item x="1107"/>
        <item x="2896"/>
        <item x="904"/>
        <item x="1121"/>
        <item x="2829"/>
        <item x="1701"/>
        <item x="2697"/>
        <item x="2876"/>
        <item x="1822"/>
        <item x="79"/>
        <item x="1342"/>
        <item x="2561"/>
        <item x="2096"/>
        <item x="2444"/>
        <item x="1517"/>
        <item x="2792"/>
        <item x="796"/>
        <item x="988"/>
        <item x="1523"/>
        <item x="2819"/>
        <item x="1549"/>
        <item x="2255"/>
        <item x="2050"/>
        <item x="2814"/>
        <item x="798"/>
        <item x="2845"/>
        <item x="1929"/>
        <item x="346"/>
        <item x="1231"/>
        <item x="1253"/>
        <item x="2114"/>
        <item x="640"/>
        <item x="701"/>
        <item x="1105"/>
        <item x="1944"/>
        <item x="2086"/>
        <item x="238"/>
        <item x="1044"/>
        <item x="2865"/>
        <item x="315"/>
        <item x="1233"/>
        <item x="1744"/>
        <item x="569"/>
        <item x="1213"/>
        <item x="1069"/>
        <item x="992"/>
        <item x="314"/>
        <item x="1040"/>
        <item x="2726"/>
        <item x="1733"/>
        <item x="587"/>
        <item x="779"/>
        <item x="906"/>
        <item x="176"/>
        <item x="2864"/>
        <item x="91"/>
        <item x="1707"/>
        <item x="1350"/>
        <item x="1116"/>
        <item x="1807"/>
        <item x="179"/>
        <item x="1085"/>
        <item x="1833"/>
        <item x="1348"/>
        <item x="1748"/>
        <item x="1591"/>
        <item x="533"/>
        <item x="2543"/>
        <item x="1056"/>
        <item x="712"/>
        <item x="304"/>
        <item x="1655"/>
        <item x="2058"/>
        <item x="2512"/>
        <item x="260"/>
        <item x="392"/>
        <item x="1864"/>
        <item x="1284"/>
        <item x="257"/>
        <item x="2240"/>
        <item x="2397"/>
        <item x="925"/>
        <item x="1445"/>
        <item x="708"/>
        <item x="1856"/>
        <item x="350"/>
        <item x="1647"/>
        <item x="2214"/>
        <item x="1567"/>
        <item x="2610"/>
        <item x="1942"/>
        <item x="2728"/>
        <item x="2336"/>
        <item x="2097"/>
        <item x="2235"/>
        <item x="2601"/>
        <item x="1924"/>
        <item x="2803"/>
        <item x="644"/>
        <item x="1584"/>
        <item x="2730"/>
        <item x="811"/>
        <item x="2160"/>
        <item x="1945"/>
        <item x="1169"/>
        <item x="1227"/>
        <item x="1400"/>
        <item x="1867"/>
        <item x="2368"/>
        <item x="294"/>
        <item x="2750"/>
        <item x="1279"/>
        <item x="1384"/>
        <item x="1072"/>
        <item x="1871"/>
        <item x="2433"/>
        <item x="1723"/>
        <item x="2436"/>
        <item x="2393"/>
        <item x="352"/>
        <item x="165"/>
        <item x="119"/>
        <item x="993"/>
        <item x="2249"/>
        <item x="2739"/>
        <item x="1722"/>
        <item x="450"/>
        <item x="1742"/>
        <item x="2552"/>
        <item x="885"/>
        <item x="1237"/>
        <item x="1732"/>
        <item x="1293"/>
        <item x="990"/>
        <item x="867"/>
        <item x="1150"/>
        <item x="959"/>
        <item x="2010"/>
        <item x="2729"/>
        <item x="1996"/>
        <item x="2888"/>
        <item x="2528"/>
        <item x="175"/>
        <item x="277"/>
        <item x="2089"/>
        <item x="1160"/>
        <item x="1920"/>
        <item x="717"/>
        <item x="2676"/>
        <item x="2147"/>
        <item x="1668"/>
        <item x="1239"/>
        <item x="958"/>
        <item x="2375"/>
        <item x="882"/>
        <item x="1068"/>
        <item x="1971"/>
        <item x="1522"/>
        <item x="109"/>
        <item x="2253"/>
        <item x="1046"/>
        <item x="1975"/>
        <item x="505"/>
        <item x="1080"/>
        <item x="1512"/>
        <item x="1834"/>
        <item x="1405"/>
        <item x="326"/>
        <item x="949"/>
        <item x="2406"/>
        <item x="1163"/>
        <item x="923"/>
        <item x="2910"/>
        <item x="299"/>
        <item x="1415"/>
        <item x="929"/>
        <item x="2254"/>
        <item x="1878"/>
        <item x="2434"/>
        <item x="2265"/>
        <item x="2439"/>
        <item x="324"/>
        <item x="428"/>
        <item x="961"/>
        <item x="467"/>
        <item x="967"/>
        <item x="2386"/>
        <item x="2897"/>
        <item x="1205"/>
        <item x="722"/>
        <item x="2379"/>
        <item x="2518"/>
        <item x="2831"/>
        <item x="850"/>
        <item x="2342"/>
        <item x="1186"/>
        <item x="399"/>
        <item x="2703"/>
        <item x="1796"/>
        <item x="2367"/>
        <item x="498"/>
        <item x="279"/>
        <item x="159"/>
        <item x="1947"/>
        <item x="692"/>
        <item x="1870"/>
        <item x="972"/>
        <item x="1608"/>
        <item x="2007"/>
        <item x="1328"/>
        <item x="443"/>
        <item x="1159"/>
        <item x="1177"/>
        <item x="1425"/>
        <item x="1201"/>
        <item x="2469"/>
        <item x="1362"/>
        <item x="1004"/>
        <item x="2867"/>
        <item x="1686"/>
        <item x="2854"/>
        <item x="1571"/>
        <item x="1880"/>
        <item x="2460"/>
        <item x="2533"/>
        <item x="364"/>
        <item x="121"/>
        <item x="1784"/>
        <item x="1434"/>
        <item x="924"/>
        <item x="219"/>
        <item x="2374"/>
        <item x="2724"/>
        <item x="1446"/>
        <item x="1779"/>
        <item x="1217"/>
        <item x="596"/>
        <item x="1568"/>
        <item x="1917"/>
        <item x="1453"/>
        <item x="2315"/>
        <item x="2233"/>
        <item x="626"/>
        <item x="832"/>
        <item x="665"/>
        <item x="618"/>
        <item x="1855"/>
        <item x="653"/>
        <item x="775"/>
        <item x="507"/>
        <item x="2742"/>
        <item x="1915"/>
        <item x="1008"/>
        <item x="2635"/>
        <item x="2455"/>
        <item x="2744"/>
        <item x="2532"/>
        <item x="2044"/>
        <item x="70"/>
        <item x="2577"/>
        <item x="82"/>
        <item x="2637"/>
        <item x="1111"/>
        <item x="2082"/>
        <item x="1269"/>
        <item x="1122"/>
        <item x="2477"/>
        <item x="704"/>
        <item x="1193"/>
        <item x="747"/>
        <item x="632"/>
        <item x="1516"/>
        <item x="1070"/>
        <item x="1294"/>
        <item x="905"/>
        <item x="2440"/>
        <item x="212"/>
        <item x="1171"/>
        <item x="910"/>
        <item x="2748"/>
        <item x="1423"/>
        <item x="2743"/>
        <item x="1586"/>
        <item x="1424"/>
        <item x="2261"/>
        <item x="1840"/>
        <item x="557"/>
        <item x="1055"/>
        <item x="2230"/>
        <item x="19"/>
        <item x="1167"/>
        <item x="1627"/>
        <item x="1992"/>
        <item x="964"/>
        <item x="1421"/>
        <item x="1054"/>
        <item x="2842"/>
        <item x="917"/>
        <item x="827"/>
        <item x="2787"/>
        <item x="1378"/>
        <item x="161"/>
        <item x="695"/>
        <item x="568"/>
        <item x="2107"/>
        <item x="2335"/>
        <item x="830"/>
        <item x="1463"/>
        <item x="11"/>
        <item x="2762"/>
        <item x="190"/>
        <item x="1895"/>
        <item x="1198"/>
        <item x="1238"/>
        <item x="2826"/>
        <item x="2446"/>
        <item x="2911"/>
        <item x="1969"/>
        <item x="457"/>
        <item x="765"/>
        <item x="497"/>
        <item x="2772"/>
        <item x="2332"/>
        <item x="575"/>
        <item x="92"/>
        <item x="2745"/>
        <item x="1374"/>
        <item x="123"/>
        <item x="777"/>
        <item x="1697"/>
        <item x="1459"/>
        <item x="445"/>
        <item x="2150"/>
        <item x="313"/>
        <item x="2101"/>
        <item x="852"/>
        <item x="1451"/>
        <item x="2903"/>
        <item x="1094"/>
        <item x="2747"/>
        <item x="516"/>
        <item x="1736"/>
        <item x="2692"/>
        <item x="725"/>
        <item x="782"/>
        <item x="1414"/>
        <item x="652"/>
        <item x="2514"/>
        <item x="519"/>
        <item x="567"/>
        <item x="2300"/>
        <item x="688"/>
        <item x="1026"/>
        <item x="883"/>
        <item x="2709"/>
        <item x="200"/>
        <item x="1745"/>
        <item x="2229"/>
        <item x="1582"/>
        <item x="2244"/>
        <item x="1751"/>
        <item x="380"/>
        <item x="1071"/>
        <item x="556"/>
        <item x="236"/>
        <item x="1064"/>
        <item x="1666"/>
        <item x="2137"/>
        <item x="1556"/>
        <item x="117"/>
        <item x="2720"/>
        <item x="1135"/>
        <item x="2394"/>
        <item x="598"/>
        <item x="1687"/>
        <item x="1665"/>
        <item x="2104"/>
        <item x="1724"/>
        <item x="496"/>
        <item x="2093"/>
        <item x="1904"/>
        <item x="2277"/>
        <item x="258"/>
        <item x="854"/>
        <item x="840"/>
        <item x="2791"/>
        <item x="376"/>
        <item x="1474"/>
        <item x="2270"/>
        <item x="1577"/>
        <item x="248"/>
        <item x="2420"/>
        <item x="1480"/>
        <item x="308"/>
        <item x="1677"/>
        <item x="446"/>
        <item x="2402"/>
        <item x="1433"/>
        <item x="2196"/>
        <item x="763"/>
        <item x="1114"/>
        <item x="62"/>
        <item x="1894"/>
        <item x="1387"/>
        <item x="2419"/>
        <item x="1377"/>
        <item x="1615"/>
        <item x="1356"/>
        <item x="987"/>
        <item x="288"/>
        <item x="2596"/>
        <item x="420"/>
        <item x="1389"/>
        <item x="1636"/>
        <item x="2925"/>
        <item x="54"/>
        <item x="2435"/>
        <item x="250"/>
        <item x="1351"/>
        <item x="1560"/>
        <item x="222"/>
        <item x="597"/>
        <item x="2324"/>
        <item x="2655"/>
        <item x="2329"/>
        <item x="1101"/>
        <item x="2280"/>
        <item x="944"/>
        <item x="2875"/>
        <item x="39"/>
        <item x="1899"/>
        <item x="2740"/>
        <item x="247"/>
        <item x="1347"/>
        <item x="421"/>
        <item x="741"/>
        <item x="1145"/>
        <item x="1367"/>
        <item x="703"/>
        <item x="2735"/>
        <item x="230"/>
        <item x="1428"/>
        <item x="1638"/>
        <item x="1995"/>
        <item x="1406"/>
        <item x="562"/>
        <item x="2902"/>
        <item x="2646"/>
        <item x="2671"/>
        <item x="1472"/>
        <item x="1262"/>
        <item x="2360"/>
        <item x="2493"/>
        <item x="1785"/>
        <item x="1985"/>
        <item x="2171"/>
        <item x="2608"/>
        <item x="2100"/>
        <item x="45"/>
        <item x="1476"/>
        <item x="81"/>
        <item x="2451"/>
        <item x="1661"/>
        <item x="193"/>
        <item x="300"/>
        <item x="2415"/>
        <item x="1076"/>
        <item x="2146"/>
        <item x="607"/>
        <item x="696"/>
        <item x="1593"/>
        <item x="2468"/>
        <item x="171"/>
        <item x="1680"/>
        <item x="2459"/>
        <item x="881"/>
        <item x="2928"/>
        <item x="1283"/>
        <item x="103"/>
        <item x="1492"/>
        <item x="2626"/>
        <item x="285"/>
        <item x="1771"/>
        <item x="1117"/>
        <item x="1838"/>
        <item x="1256"/>
        <item x="2649"/>
        <item x="1296"/>
        <item x="2079"/>
        <item x="21"/>
        <item x="268"/>
        <item x="1401"/>
        <item x="1292"/>
        <item x="1716"/>
        <item x="518"/>
        <item x="2870"/>
        <item x="1244"/>
        <item x="1391"/>
        <item x="431"/>
        <item x="941"/>
        <item x="1941"/>
        <item x="133"/>
        <item x="1264"/>
        <item x="1388"/>
        <item x="385"/>
        <item x="1573"/>
        <item x="1542"/>
        <item x="1196"/>
        <item x="140"/>
        <item x="774"/>
        <item x="1873"/>
        <item x="146"/>
        <item x="2889"/>
        <item x="874"/>
        <item x="2727"/>
        <item x="650"/>
        <item x="1355"/>
        <item x="737"/>
        <item x="588"/>
        <item x="2033"/>
        <item x="1017"/>
        <item x="2135"/>
        <item x="2065"/>
        <item x="1907"/>
        <item x="1935"/>
        <item x="2638"/>
        <item x="2562"/>
        <item x="142"/>
        <item x="426"/>
        <item x="980"/>
        <item x="244"/>
        <item x="1882"/>
        <item x="521"/>
        <item x="1620"/>
        <item x="2698"/>
        <item x="2212"/>
        <item x="296"/>
        <item x="1258"/>
        <item x="2790"/>
        <item x="2915"/>
        <item x="100"/>
        <item x="2893"/>
        <item x="671"/>
        <item x="1800"/>
        <item x="1841"/>
        <item x="1506"/>
        <item x="2326"/>
        <item x="806"/>
        <item x="860"/>
        <item x="1721"/>
        <item x="211"/>
        <item x="282"/>
        <item x="1077"/>
        <item x="2464"/>
        <item x="2563"/>
        <item x="50"/>
        <item x="143"/>
        <item x="1529"/>
        <item x="2526"/>
        <item x="2134"/>
        <item x="1317"/>
        <item x="264"/>
        <item x="239"/>
        <item x="1312"/>
        <item x="616"/>
        <item x="1508"/>
        <item x="1596"/>
        <item x="2595"/>
        <item x="2062"/>
        <item x="76"/>
        <item x="1972"/>
        <item x="207"/>
        <item x="2339"/>
        <item x="783"/>
        <item x="1644"/>
        <item x="1419"/>
        <item x="683"/>
        <item x="1939"/>
        <item x="2580"/>
        <item x="2358"/>
        <item x="35"/>
        <item x="1991"/>
        <item x="2225"/>
        <item x="283"/>
        <item x="2361"/>
        <item x="1999"/>
        <item x="1074"/>
        <item x="1413"/>
        <item x="805"/>
        <item x="1783"/>
        <item x="2057"/>
        <item x="2450"/>
        <item x="1501"/>
        <item x="506"/>
        <item x="1095"/>
        <item x="2811"/>
        <item x="2287"/>
        <item x="2816"/>
        <item x="2628"/>
        <item x="26"/>
        <item x="1089"/>
        <item x="757"/>
        <item x="1789"/>
        <item x="1970"/>
        <item x="1097"/>
        <item x="1143"/>
        <item x="583"/>
        <item x="2839"/>
        <item x="460"/>
        <item x="888"/>
        <item x="2822"/>
        <item x="2529"/>
        <item x="1731"/>
        <item x="149"/>
        <item x="1973"/>
        <item x="1020"/>
        <item x="362"/>
        <item x="973"/>
        <item x="2256"/>
        <item x="2219"/>
        <item x="2168"/>
        <item x="2890"/>
        <item x="517"/>
        <item x="2211"/>
        <item x="2165"/>
        <item x="166"/>
        <item x="1576"/>
        <item x="2283"/>
        <item x="1278"/>
        <item x="147"/>
        <item x="2467"/>
        <item x="1988"/>
        <item x="1956"/>
        <item x="2540"/>
        <item x="2860"/>
        <item x="2241"/>
        <item x="799"/>
        <item x="265"/>
        <item x="2759"/>
        <item x="413"/>
        <item x="2269"/>
        <item x="719"/>
        <item x="2414"/>
        <item x="40"/>
        <item x="1103"/>
        <item x="1667"/>
        <item x="1260"/>
        <item x="1185"/>
        <item x="2478"/>
        <item x="754"/>
        <item x="2113"/>
        <item x="2513"/>
        <item x="2616"/>
        <item x="1630"/>
        <item x="1795"/>
        <item x="2619"/>
        <item x="916"/>
        <item x="417"/>
        <item x="661"/>
        <item x="735"/>
        <item x="1535"/>
        <item x="957"/>
        <item x="2495"/>
        <item x="948"/>
        <item x="174"/>
        <item x="2725"/>
        <item x="1622"/>
        <item x="983"/>
        <item x="585"/>
        <item x="2496"/>
        <item x="1366"/>
        <item x="2895"/>
        <item x="728"/>
        <item x="2037"/>
        <item x="307"/>
        <item x="1845"/>
        <item x="430"/>
        <item x="1438"/>
        <item x="2554"/>
        <item x="2416"/>
        <item x="2123"/>
        <item x="2118"/>
        <item x="2408"/>
        <item x="1165"/>
        <item x="1127"/>
        <item x="2011"/>
        <item x="1226"/>
        <item x="487"/>
        <item x="1977"/>
        <item x="1140"/>
        <item x="1814"/>
        <item x="1345"/>
        <item x="1663"/>
        <item x="1727"/>
        <item x="1657"/>
        <item x="1191"/>
        <item x="2413"/>
        <item x="1749"/>
        <item x="1826"/>
        <item x="601"/>
        <item x="2063"/>
        <item x="204"/>
        <item x="818"/>
        <item x="1093"/>
        <item x="1936"/>
        <item x="2894"/>
        <item x="2155"/>
        <item x="144"/>
        <item x="2306"/>
        <item x="2926"/>
        <item x="23"/>
        <item x="582"/>
        <item x="1308"/>
        <item x="996"/>
        <item x="1703"/>
        <item x="1288"/>
        <item x="2186"/>
        <item x="2898"/>
        <item x="1019"/>
        <item x="220"/>
        <item x="104"/>
        <item x="1229"/>
        <item x="2048"/>
        <item x="2207"/>
        <item x="1640"/>
        <item x="2574"/>
        <item x="2231"/>
        <item x="1951"/>
        <item x="2557"/>
        <item x="216"/>
        <item x="493"/>
        <item x="1079"/>
        <item x="2314"/>
        <item x="141"/>
        <item x="584"/>
        <item x="1273"/>
        <item x="1940"/>
        <item x="1049"/>
        <item x="1322"/>
        <item x="1774"/>
        <item x="1363"/>
        <item x="2553"/>
        <item x="1530"/>
        <item x="1922"/>
        <item x="2769"/>
        <item x="2579"/>
        <item x="2109"/>
        <item x="2624"/>
        <item x="1641"/>
        <item x="2852"/>
        <item x="1301"/>
        <item x="2924"/>
        <item x="43"/>
        <item x="759"/>
        <item x="842"/>
        <item x="2830"/>
        <item x="605"/>
        <item x="894"/>
        <item x="2858"/>
        <item x="970"/>
        <item x="2658"/>
        <item x="2351"/>
        <item x="705"/>
        <item x="624"/>
        <item x="2183"/>
        <item x="337"/>
        <item x="510"/>
        <item x="1862"/>
        <item x="1455"/>
        <item x="2345"/>
        <item x="495"/>
        <item x="2678"/>
        <item x="2403"/>
        <item x="1460"/>
        <item x="1158"/>
        <item x="915"/>
        <item x="1791"/>
        <item x="89"/>
        <item x="2081"/>
        <item x="2448"/>
        <item x="1946"/>
        <item x="2694"/>
        <item x="402"/>
        <item x="490"/>
        <item x="2809"/>
        <item x="1397"/>
        <item x="2215"/>
        <item x="366"/>
        <item x="75"/>
        <item x="937"/>
        <item x="2216"/>
        <item x="1494"/>
        <item x="1997"/>
        <item x="1761"/>
        <item x="122"/>
        <item x="1323"/>
        <item x="14"/>
        <item x="2578"/>
        <item x="241"/>
        <item x="1039"/>
        <item x="797"/>
        <item x="863"/>
        <item x="536"/>
        <item x="334"/>
        <item x="2823"/>
        <item x="1762"/>
        <item x="2463"/>
        <item x="2474"/>
        <item x="2199"/>
        <item x="465"/>
        <item x="1557"/>
        <item x="2157"/>
        <item x="1746"/>
        <item x="2872"/>
        <item x="579"/>
        <item x="499"/>
        <item x="1126"/>
        <item x="1232"/>
        <item x="1320"/>
        <item x="280"/>
        <item x="1102"/>
        <item x="1544"/>
        <item x="2788"/>
        <item x="4"/>
        <item x="1898"/>
        <item x="2258"/>
        <item x="1563"/>
        <item x="2679"/>
        <item x="1082"/>
        <item x="1220"/>
        <item x="645"/>
        <item x="1403"/>
        <item x="2112"/>
        <item x="372"/>
        <item x="1340"/>
        <item x="188"/>
        <item x="1464"/>
        <item x="2293"/>
        <item x="2281"/>
        <item x="1280"/>
        <item x="1134"/>
        <item x="1984"/>
        <item x="10"/>
        <item x="2525"/>
        <item x="2615"/>
        <item x="2863"/>
        <item x="730"/>
        <item x="185"/>
        <item x="423"/>
        <item x="1361"/>
        <item x="2627"/>
        <item x="2060"/>
        <item x="781"/>
        <item x="902"/>
        <item x="1676"/>
        <item x="2388"/>
        <item x="335"/>
        <item x="116"/>
        <item x="756"/>
        <item x="2227"/>
        <item x="1303"/>
        <item x="1656"/>
        <item x="625"/>
        <item x="22"/>
        <item x="773"/>
        <item x="355"/>
        <item x="2654"/>
        <item x="2238"/>
        <item x="956"/>
        <item x="1646"/>
        <item x="662"/>
        <item x="2056"/>
        <item x="1850"/>
        <item x="2681"/>
        <item x="1311"/>
        <item x="1949"/>
        <item x="2570"/>
        <item x="2718"/>
        <item x="1164"/>
        <item x="615"/>
        <item x="1927"/>
        <item x="1965"/>
        <item x="86"/>
        <item x="2668"/>
        <item x="1958"/>
        <item x="655"/>
        <item x="1884"/>
        <item x="2714"/>
        <item x="302"/>
        <item x="2084"/>
        <item x="478"/>
        <item x="1149"/>
        <item x="2320"/>
        <item x="327"/>
        <item x="2307"/>
        <item x="591"/>
        <item x="1307"/>
        <item x="1868"/>
        <item x="105"/>
        <item x="1087"/>
        <item x="2914"/>
        <item x="1979"/>
        <item x="2794"/>
        <item x="565"/>
        <item x="1633"/>
        <item x="2758"/>
        <item x="434"/>
        <item x="124"/>
        <item x="1892"/>
        <item x="1539"/>
        <item x="1006"/>
        <item x="345"/>
        <item x="2883"/>
        <item x="1552"/>
        <item x="660"/>
        <item x="2153"/>
        <item x="2167"/>
        <item x="1780"/>
        <item x="1489"/>
        <item x="469"/>
        <item x="1383"/>
        <item x="1048"/>
        <item x="1454"/>
        <item x="1493"/>
        <item x="1330"/>
        <item x="2786"/>
        <item x="504"/>
        <item x="553"/>
        <item x="749"/>
        <item x="1172"/>
        <item x="2206"/>
        <item x="1034"/>
        <item x="1993"/>
        <item x="844"/>
        <item x="2417"/>
        <item x="1013"/>
        <item x="1155"/>
        <item x="1147"/>
        <item x="1291"/>
        <item x="2385"/>
        <item x="740"/>
        <item x="112"/>
        <item x="1897"/>
        <item x="2568"/>
        <item x="0"/>
        <item x="303"/>
        <item x="826"/>
        <item x="2550"/>
        <item x="1431"/>
        <item x="1192"/>
        <item x="2501"/>
        <item x="1199"/>
        <item x="2400"/>
        <item x="1614"/>
        <item x="1178"/>
        <item x="1813"/>
        <item x="1466"/>
        <item x="2904"/>
        <item x="1212"/>
        <item x="1066"/>
        <item x="2343"/>
        <item x="60"/>
        <item x="1208"/>
        <item x="2614"/>
        <item x="2288"/>
        <item x="1012"/>
        <item x="1777"/>
        <item x="1337"/>
        <item x="634"/>
        <item x="2517"/>
        <item x="2825"/>
        <item x="1325"/>
        <item x="2775"/>
        <item x="1555"/>
        <item x="2208"/>
        <item x="2064"/>
        <item x="2605"/>
        <item x="1314"/>
        <item x="2029"/>
        <item x="486"/>
        <item x="93"/>
        <item x="1222"/>
        <item x="444"/>
        <item x="2312"/>
        <item x="936"/>
        <item x="1521"/>
        <item x="1843"/>
        <item x="2871"/>
        <item x="1888"/>
        <item x="2909"/>
        <item x="2558"/>
        <item x="669"/>
        <item x="2874"/>
        <item x="769"/>
        <item x="1497"/>
        <item x="2218"/>
        <item x="726"/>
        <item x="2585"/>
        <item x="1639"/>
        <item x="383"/>
        <item x="78"/>
        <item x="492"/>
        <item x="2617"/>
        <item x="1820"/>
        <item x="162"/>
        <item x="1931"/>
        <item x="1467"/>
        <item x="1597"/>
        <item x="1353"/>
        <item x="1989"/>
        <item x="197"/>
        <item x="1964"/>
        <item x="2027"/>
        <item x="1247"/>
        <item x="433"/>
        <item x="2765"/>
        <item x="1000"/>
        <item x="1214"/>
        <item x="1763"/>
        <item x="1612"/>
        <item x="576"/>
        <item x="1671"/>
        <item x="215"/>
        <item x="2392"/>
        <item x="1249"/>
        <item x="208"/>
        <item x="1902"/>
        <item x="999"/>
        <item x="2847"/>
        <item x="2840"/>
        <item x="2040"/>
        <item x="2154"/>
        <item x="2163"/>
        <item x="1750"/>
        <item x="107"/>
        <item x="1429"/>
        <item x="37"/>
        <item x="1659"/>
        <item x="1021"/>
        <item x="2598"/>
        <item x="379"/>
        <item x="1832"/>
        <item x="1372"/>
        <item x="1932"/>
        <item x="2706"/>
        <item x="2804"/>
        <item x="2592"/>
        <item x="1842"/>
        <item x="412"/>
        <item x="249"/>
        <item x="2556"/>
        <item x="670"/>
        <item x="2166"/>
        <item x="977"/>
        <item x="1029"/>
        <item x="1675"/>
        <item x="2194"/>
        <item x="2298"/>
        <item x="1554"/>
        <item x="2634"/>
        <item x="301"/>
        <item x="1531"/>
        <item x="1741"/>
        <item x="2322"/>
        <item x="550"/>
        <item x="2132"/>
        <item x="833"/>
        <item x="1224"/>
        <item x="2456"/>
        <item x="229"/>
        <item x="1207"/>
        <item x="1829"/>
        <item x="1710"/>
        <item x="1240"/>
        <item x="561"/>
        <item x="1773"/>
        <item x="456"/>
        <item x="1594"/>
        <item x="1030"/>
        <item x="267"/>
        <item x="2623"/>
        <item x="401"/>
        <item x="599"/>
        <item x="111"/>
        <item x="1866"/>
        <item x="1416"/>
        <item x="2504"/>
        <item x="2352"/>
        <item x="2252"/>
        <item x="566"/>
        <item x="2344"/>
        <item x="1705"/>
        <item x="1913"/>
        <item x="1846"/>
        <item x="1874"/>
        <item x="2651"/>
        <item x="2481"/>
        <item x="2503"/>
        <item x="2422"/>
        <item x="403"/>
        <item x="2399"/>
        <item x="2039"/>
        <item x="2509"/>
        <item x="969"/>
        <item x="1908"/>
        <item x="1683"/>
        <item x="1963"/>
        <item x="1241"/>
        <item x="1912"/>
        <item x="252"/>
        <item x="1799"/>
        <item x="1546"/>
        <item x="97"/>
        <item x="1504"/>
        <item x="1010"/>
        <item x="1113"/>
        <item x="530"/>
        <item x="1271"/>
        <item x="920"/>
        <item x="1033"/>
        <item x="357"/>
        <item x="2046"/>
        <item x="911"/>
        <item x="2175"/>
        <item x="864"/>
        <item x="1470"/>
        <item x="2090"/>
        <item x="1909"/>
        <item x="2707"/>
        <item x="1617"/>
        <item x="570"/>
        <item x="84"/>
        <item x="639"/>
        <item x="928"/>
        <item x="1998"/>
        <item x="2222"/>
        <item x="2075"/>
        <item x="406"/>
        <item x="1380"/>
        <item x="942"/>
        <item x="1263"/>
        <item x="813"/>
        <item x="397"/>
        <item x="2187"/>
        <item x="287"/>
        <item x="687"/>
        <item x="2767"/>
        <item x="2633"/>
        <item x="2498"/>
        <item x="951"/>
        <item x="1420"/>
        <item x="1672"/>
        <item x="429"/>
        <item x="269"/>
        <item x="2275"/>
        <item x="1725"/>
        <item x="1760"/>
        <item x="1803"/>
        <item x="2405"/>
        <item x="64"/>
        <item x="106"/>
        <item x="2741"/>
        <item x="1976"/>
        <item x="150"/>
        <item x="139"/>
        <item x="1181"/>
        <item x="196"/>
        <item x="563"/>
        <item x="9"/>
        <item x="1408"/>
        <item x="856"/>
        <item x="2299"/>
        <item x="1645"/>
        <item x="56"/>
        <item x="1860"/>
        <item x="1524"/>
        <item x="542"/>
        <item x="1282"/>
        <item x="926"/>
        <item x="2817"/>
        <item x="46"/>
        <item x="1569"/>
        <item x="538"/>
        <item x="53"/>
        <item x="99"/>
        <item x="16"/>
        <item x="2907"/>
        <item x="1674"/>
        <item x="2094"/>
        <item x="2751"/>
        <item x="1067"/>
        <item x="2192"/>
        <item x="2828"/>
        <item x="1295"/>
        <item x="1189"/>
        <item x="963"/>
        <item x="1960"/>
        <item x="733"/>
        <item x="44"/>
        <item x="2612"/>
        <item x="2670"/>
        <item x="2016"/>
        <item x="841"/>
        <item x="2453"/>
        <item x="1900"/>
        <item x="1848"/>
        <item x="90"/>
        <item x="2237"/>
        <item x="2539"/>
        <item x="2083"/>
        <item x="975"/>
        <item x="2906"/>
        <item x="1818"/>
        <item x="2559"/>
        <item x="2327"/>
        <item x="1651"/>
        <item x="524"/>
        <item x="1098"/>
        <item x="2795"/>
        <item x="900"/>
        <item x="1437"/>
        <item x="461"/>
        <item x="27"/>
        <item x="192"/>
        <item x="2857"/>
        <item x="2704"/>
        <item x="672"/>
        <item x="1042"/>
        <item x="1712"/>
        <item x="1183"/>
        <item x="804"/>
        <item x="1009"/>
        <item x="2095"/>
        <item x="1319"/>
        <item x="2246"/>
        <item x="390"/>
        <item x="135"/>
        <item x="608"/>
        <item x="2815"/>
        <item x="2066"/>
        <item x="554"/>
        <item x="2523"/>
        <item x="2138"/>
        <item x="2052"/>
        <item x="1190"/>
        <item x="1889"/>
        <item x="2129"/>
        <item x="113"/>
        <item x="960"/>
        <item x="178"/>
        <item x="718"/>
        <item x="2919"/>
        <item x="290"/>
        <item x="2835"/>
        <item x="1458"/>
        <item x="180"/>
        <item x="1274"/>
        <item x="2566"/>
        <item x="2778"/>
        <item x="981"/>
        <item x="997"/>
        <item x="2452"/>
        <item x="2929"/>
        <item x="838"/>
        <item x="1123"/>
        <item x="1715"/>
        <item x="1658"/>
        <item x="2127"/>
        <item x="1857"/>
        <item x="2719"/>
        <item x="2508"/>
        <item x="439"/>
        <item x="2505"/>
        <item x="1819"/>
        <item x="484"/>
        <item x="438"/>
        <item x="131"/>
        <item x="1921"/>
        <item x="1702"/>
        <item x="1266"/>
        <item x="1759"/>
        <item x="1028"/>
        <item x="1469"/>
        <item x="1756"/>
        <item x="195"/>
        <item x="2519"/>
        <item x="2346"/>
        <item x="984"/>
        <item x="1022"/>
        <item x="24"/>
        <item x="678"/>
        <item x="278"/>
        <item x="1689"/>
        <item x="182"/>
        <item x="1830"/>
        <item x="128"/>
        <item x="1349"/>
        <item x="2311"/>
        <item x="646"/>
        <item x="1468"/>
        <item x="742"/>
        <item x="289"/>
        <item x="2302"/>
        <item x="903"/>
        <item x="2756"/>
        <item x="2885"/>
        <item x="98"/>
        <item x="835"/>
        <item x="1681"/>
        <item x="266"/>
        <item x="170"/>
        <item x="68"/>
        <item x="1315"/>
        <item x="706"/>
        <item x="2292"/>
        <item x="752"/>
        <item x="2331"/>
        <item x="1631"/>
        <item x="2602"/>
        <item x="700"/>
        <item x="2156"/>
        <item x="1815"/>
        <item x="1015"/>
        <item x="1891"/>
        <item x="2263"/>
        <item x="1498"/>
        <item x="2067"/>
        <item x="138"/>
        <item x="1698"/>
        <item x="2879"/>
        <item x="291"/>
        <item x="298"/>
        <item x="1579"/>
        <item x="2457"/>
        <item x="2301"/>
        <item x="1346"/>
        <item x="809"/>
        <item x="2105"/>
        <item x="1327"/>
        <item x="425"/>
        <item x="522"/>
        <item x="1519"/>
        <item x="1863"/>
        <item x="2017"/>
        <item x="1851"/>
        <item x="1255"/>
        <item x="2363"/>
        <item x="581"/>
        <item x="1792"/>
        <item x="1390"/>
        <item x="2738"/>
        <item x="2038"/>
        <item x="2013"/>
        <item x="2511"/>
        <item x="361"/>
        <item x="1011"/>
        <item x="2221"/>
        <item x="2272"/>
        <item x="386"/>
        <item x="1720"/>
        <item x="794"/>
        <item x="2837"/>
        <item x="1152"/>
        <item x="321"/>
        <item x="1708"/>
        <item x="729"/>
        <item x="66"/>
        <item x="1700"/>
        <item x="685"/>
        <item x="59"/>
        <item x="707"/>
        <item x="2629"/>
        <item x="2317"/>
        <item x="2303"/>
        <item x="358"/>
        <item x="8"/>
        <item x="2648"/>
        <item x="2705"/>
        <item x="1120"/>
        <item x="233"/>
        <item x="1131"/>
        <item x="1195"/>
        <item x="693"/>
        <item x="1499"/>
        <item x="2569"/>
        <item x="2285"/>
        <item x="2309"/>
        <item x="393"/>
        <item x="1404"/>
        <item x="1592"/>
        <item x="2108"/>
        <item x="2049"/>
        <item x="2181"/>
        <item x="2708"/>
        <item x="405"/>
        <item x="1753"/>
        <item x="1642"/>
        <item x="2176"/>
        <item x="1852"/>
        <item x="2036"/>
        <item x="1302"/>
        <item x="2382"/>
        <item x="2061"/>
        <item x="1354"/>
        <item x="2201"/>
        <item x="508"/>
        <item x="2087"/>
        <item x="2665"/>
        <item x="411"/>
        <item x="666"/>
        <item x="1886"/>
        <item x="1714"/>
        <item x="2334"/>
        <item x="1003"/>
        <item x="77"/>
        <item x="866"/>
        <item x="2462"/>
        <item x="436"/>
        <item x="1129"/>
        <item x="714"/>
        <item x="2357"/>
        <item x="1200"/>
        <item x="1981"/>
        <item x="2673"/>
        <item x="1540"/>
        <item x="1962"/>
        <item x="1502"/>
        <item x="1139"/>
        <item x="501"/>
        <item x="1660"/>
        <item x="1589"/>
        <item x="974"/>
        <item x="2085"/>
        <item x="875"/>
        <item x="887"/>
        <item x="1903"/>
        <item x="2560"/>
        <item x="1604"/>
        <item x="2143"/>
        <item x="73"/>
        <item x="1839"/>
        <item x="332"/>
        <item x="2047"/>
        <item x="87"/>
        <item x="891"/>
        <item x="228"/>
        <item x="1385"/>
        <item x="1371"/>
        <item x="897"/>
        <item x="812"/>
        <item x="2423"/>
        <item x="851"/>
        <item x="736"/>
        <item x="1637"/>
        <item x="341"/>
        <item x="375"/>
        <item x="748"/>
        <item x="1849"/>
        <item x="2091"/>
        <item x="2359"/>
        <item x="820"/>
        <item x="768"/>
        <item x="470"/>
        <item x="2776"/>
        <item x="807"/>
        <item x="675"/>
        <item x="2631"/>
        <item x="2912"/>
        <item x="29"/>
        <item x="682"/>
        <item x="802"/>
        <item x="7"/>
        <item x="1572"/>
        <item x="2761"/>
        <item x="2004"/>
        <item x="1588"/>
        <item x="1696"/>
        <item x="2862"/>
        <item x="2916"/>
        <item x="2796"/>
        <item x="1684"/>
        <item x="965"/>
        <item x="382"/>
        <item x="2587"/>
        <item x="2483"/>
        <item x="2522"/>
        <item x="709"/>
        <item x="2683"/>
        <item x="2622"/>
        <item x="474"/>
        <item x="391"/>
        <item x="2687"/>
        <item x="181"/>
        <item x="2319"/>
        <item x="1357"/>
        <item x="262"/>
        <item x="908"/>
        <item x="1664"/>
        <item x="1691"/>
        <item x="476"/>
        <item x="547"/>
        <item x="2330"/>
        <item x="1339"/>
        <item x="2591"/>
        <item x="1234"/>
        <item x="310"/>
        <item x="217"/>
        <item x="2866"/>
        <item x="1673"/>
        <item x="2618"/>
        <item x="680"/>
        <item x="2812"/>
        <item x="1037"/>
        <item x="913"/>
        <item x="593"/>
        <item x="1154"/>
        <item x="2732"/>
        <item x="1166"/>
        <item x="1537"/>
        <item x="819"/>
        <item x="2472"/>
        <item x="2777"/>
        <item x="2733"/>
        <item x="2859"/>
        <item x="1966"/>
        <item x="1338"/>
        <item x="604"/>
        <item x="1138"/>
        <item x="2521"/>
        <item x="2833"/>
        <item x="879"/>
        <item x="786"/>
        <item x="2644"/>
        <item x="847"/>
        <item x="2594"/>
        <item x="1053"/>
        <item x="1541"/>
        <item x="1318"/>
        <item x="5"/>
        <item x="979"/>
        <item x="1585"/>
        <item x="2034"/>
        <item x="1678"/>
        <item x="1643"/>
        <item x="2180"/>
        <item x="1060"/>
        <item x="1336"/>
        <item x="1334"/>
        <item x="2438"/>
        <item x="338"/>
        <item x="2076"/>
        <item x="1396"/>
        <item x="388"/>
        <item x="408"/>
        <item x="2198"/>
        <item x="2774"/>
        <item x="1755"/>
        <item x="1804"/>
        <item x="459"/>
        <item x="1743"/>
        <item x="1679"/>
        <item x="462"/>
        <item x="1473"/>
        <item x="509"/>
        <item x="1930"/>
        <item x="2295"/>
        <item x="83"/>
        <item x="1216"/>
        <item x="2684"/>
        <item x="2736"/>
        <item x="746"/>
        <item x="203"/>
        <item x="2120"/>
        <item x="2139"/>
        <item x="2485"/>
        <item x="2102"/>
        <item x="1281"/>
        <item x="2838"/>
        <item x="96"/>
        <item x="1075"/>
        <item x="245"/>
        <item x="1485"/>
        <item x="2754"/>
        <item x="1110"/>
        <item x="210"/>
        <item x="491"/>
        <item x="441"/>
        <item x="1788"/>
        <item x="627"/>
        <item x="2567"/>
        <item x="720"/>
        <item x="343"/>
        <item x="55"/>
        <item x="410"/>
        <item x="1148"/>
        <item x="464"/>
        <item x="732"/>
        <item x="1625"/>
        <item x="2473"/>
        <item x="126"/>
        <item x="2784"/>
        <item x="2713"/>
        <item x="472"/>
        <item x="2642"/>
        <item x="1407"/>
        <item x="684"/>
        <item x="1532"/>
        <item x="1901"/>
        <item x="1412"/>
        <item x="2922"/>
        <item x="2310"/>
        <item x="2892"/>
        <item x="156"/>
        <item x="2771"/>
        <item x="2304"/>
        <item x="2530"/>
        <item x="1943"/>
        <item x="2242"/>
        <item x="643"/>
        <item x="1393"/>
        <item x="225"/>
        <item x="2395"/>
        <item x="2172"/>
        <item x="2542"/>
        <item x="1812"/>
        <item x="1061"/>
        <item x="2607"/>
        <item x="221"/>
        <item x="1747"/>
        <item x="2401"/>
        <item x="1767"/>
        <item x="1018"/>
        <item x="1386"/>
        <item x="1369"/>
        <item x="1381"/>
        <item x="743"/>
        <item x="2412"/>
        <item x="2593"/>
        <item x="592"/>
        <item x="1879"/>
        <item x="895"/>
        <item x="2760"/>
        <item x="1635"/>
        <item x="1277"/>
        <item x="2752"/>
        <item x="2042"/>
        <item x="1831"/>
        <item x="1024"/>
        <item x="1772"/>
        <item x="2000"/>
        <item x="2125"/>
        <item x="724"/>
        <item x="312"/>
        <item x="2232"/>
        <item x="2691"/>
        <item x="815"/>
        <item x="213"/>
        <item x="2625"/>
        <item x="218"/>
        <item x="2106"/>
        <item x="1808"/>
        <item x="422"/>
        <item x="760"/>
        <item x="2471"/>
        <item x="771"/>
        <item x="2659"/>
        <item x="679"/>
        <item x="1528"/>
        <item x="1452"/>
        <item x="2080"/>
        <item x="72"/>
        <item x="2565"/>
        <item x="651"/>
        <item x="793"/>
        <item x="20"/>
        <item x="1500"/>
        <item x="1835"/>
        <item x="2855"/>
        <item x="2213"/>
        <item x="702"/>
        <item x="2276"/>
        <item x="1309"/>
        <item x="2696"/>
        <item x="2609"/>
        <item x="418"/>
        <item x="2429"/>
        <item x="548"/>
        <item x="1045"/>
        <item x="560"/>
        <item x="2353"/>
        <item x="2236"/>
        <item x="808"/>
        <item x="1096"/>
        <item x="871"/>
        <item x="612"/>
        <item x="1276"/>
        <item x="657"/>
        <item x="1810"/>
        <item x="2396"/>
        <item x="1289"/>
        <item x="101"/>
        <item x="1230"/>
        <item x="551"/>
        <item x="2674"/>
        <item x="1844"/>
        <item x="251"/>
        <item x="1333"/>
        <item x="823"/>
        <item x="694"/>
        <item x="873"/>
        <item x="2350"/>
        <item x="2695"/>
        <item x="373"/>
        <item x="451"/>
        <item x="2470"/>
        <item x="2"/>
        <item x="1580"/>
        <item x="2119"/>
        <item x="1023"/>
        <item x="697"/>
        <item x="1496"/>
        <item x="2142"/>
        <item x="1824"/>
        <item x="764"/>
        <item x="1058"/>
        <item x="1570"/>
        <item x="862"/>
        <item x="1967"/>
        <item x="901"/>
        <item x="191"/>
        <item x="2264"/>
        <item x="2308"/>
        <item x="67"/>
        <item x="540"/>
        <item x="463"/>
        <item x="950"/>
        <item x="1341"/>
        <item x="31"/>
        <item x="2524"/>
        <item x="1527"/>
        <item x="1108"/>
        <item x="348"/>
        <item x="1910"/>
        <item x="1443"/>
        <item x="976"/>
        <item x="1598"/>
        <item x="2490"/>
        <item x="531"/>
        <item x="1699"/>
        <item x="1430"/>
        <item x="1259"/>
        <item x="2356"/>
        <item x="2152"/>
        <item x="2861"/>
        <item x="991"/>
        <item x="1513"/>
        <item x="1890"/>
        <item x="1112"/>
        <item x="271"/>
        <item x="2899"/>
        <item x="1358"/>
        <item x="12"/>
        <item x="2128"/>
        <item x="2389"/>
        <item x="452"/>
        <item x="110"/>
        <item x="424"/>
        <item x="886"/>
        <item x="1298"/>
        <item x="1051"/>
        <item x="1853"/>
        <item x="2920"/>
        <item x="360"/>
        <item x="231"/>
        <item x="2573"/>
        <item x="306"/>
        <item x="1690"/>
        <item x="2023"/>
        <item x="770"/>
        <item x="1718"/>
        <item x="2813"/>
        <item x="2001"/>
        <item x="2257"/>
        <item x="2660"/>
        <item x="1769"/>
        <item x="2905"/>
        <item x="2873"/>
        <item x="2749"/>
        <item x="2178"/>
        <item x="2321"/>
        <item x="1488"/>
        <item x="2425"/>
        <item x="2116"/>
        <item x="750"/>
        <item x="234"/>
        <item x="1693"/>
        <item x="1550"/>
        <item x="698"/>
        <item x="409"/>
        <item x="2224"/>
        <item x="2019"/>
        <item x="1937"/>
        <item x="1478"/>
        <item x="2024"/>
        <item x="635"/>
        <item x="526"/>
        <item x="647"/>
        <item x="2475"/>
        <item x="2480"/>
        <item x="1063"/>
        <item x="935"/>
        <item x="2702"/>
        <item x="2204"/>
        <item x="1566"/>
        <item x="1536"/>
        <item x="2913"/>
        <item x="57"/>
        <item x="610"/>
        <item x="982"/>
        <item x="407"/>
        <item x="1740"/>
        <item x="331"/>
        <item x="1410"/>
        <item x="2372"/>
        <item x="1735"/>
        <item x="17"/>
        <item x="1161"/>
        <item x="253"/>
        <item x="619"/>
        <item x="2541"/>
        <item x="2427"/>
        <item x="1197"/>
        <item x="2371"/>
        <item x="577"/>
        <item x="2611"/>
        <item x="2824"/>
        <item x="1052"/>
        <item x="574"/>
        <item x="1248"/>
        <item x="1104"/>
        <item x="447"/>
        <item x="2711"/>
        <item x="690"/>
        <item x="739"/>
        <item x="2546"/>
        <item x="1952"/>
        <item x="1823"/>
        <item x="1477"/>
        <item x="2636"/>
        <item x="227"/>
        <item x="1086"/>
        <item x="614"/>
        <item x="1057"/>
        <item x="2115"/>
        <item x="256"/>
        <item x="342"/>
        <item x="359"/>
        <item x="2003"/>
        <item x="617"/>
        <item x="1914"/>
        <item x="1146"/>
        <item x="2597"/>
        <item x="2620"/>
        <item x="2259"/>
        <item x="2323"/>
        <item x="1925"/>
        <item x="814"/>
        <item x="1847"/>
        <item x="573"/>
        <item x="689"/>
        <item x="1858"/>
        <item x="2656"/>
        <item x="1682"/>
        <item x="502"/>
        <item x="537"/>
        <item x="2783"/>
        <item x="2500"/>
        <item x="1035"/>
        <item x="235"/>
        <item x="641"/>
        <item x="2688"/>
        <item x="32"/>
        <item x="2746"/>
        <item x="1906"/>
        <item x="2884"/>
        <item x="1607"/>
        <item x="1787"/>
        <item x="520"/>
        <item x="2773"/>
        <item x="1558"/>
        <item x="206"/>
        <item x="1619"/>
        <item x="1603"/>
        <item x="1257"/>
        <item x="2431"/>
        <item x="94"/>
        <item x="2296"/>
        <item x="2555"/>
        <item x="2025"/>
        <item x="523"/>
        <item x="2098"/>
        <item x="2020"/>
        <item x="790"/>
        <item x="2092"/>
        <item x="1634"/>
        <item x="263"/>
        <item x="1290"/>
        <item x="1265"/>
        <item x="323"/>
        <item x="931"/>
        <item x="1821"/>
        <item x="396"/>
        <item x="2290"/>
        <item x="659"/>
        <item x="2690"/>
        <item x="1475"/>
        <item x="1394"/>
        <item x="1790"/>
        <item x="261"/>
        <item x="630"/>
        <item x="1654"/>
        <item x="2850"/>
        <item x="940"/>
        <item x="853"/>
        <item x="259"/>
        <item x="2576"/>
        <item x="2488"/>
        <item x="1881"/>
        <item x="946"/>
        <item x="1872"/>
        <item x="1806"/>
        <item x="1484"/>
        <item x="953"/>
        <item x="2923"/>
        <item x="485"/>
        <item x="1954"/>
        <item x="1491"/>
        <item x="48"/>
        <item x="1602"/>
        <item x="1124"/>
        <item x="1157"/>
        <item x="494"/>
        <item x="766"/>
        <item x="932"/>
        <item x="1465"/>
        <item x="2535"/>
        <item x="47"/>
        <item x="194"/>
        <item x="668"/>
        <item x="1144"/>
        <item x="564"/>
        <item x="800"/>
        <item x="664"/>
        <item x="1461"/>
        <item x="2210"/>
        <item x="275"/>
        <item x="1099"/>
        <item x="34"/>
        <item x="2055"/>
        <item x="1837"/>
        <item x="1487"/>
        <item x="1482"/>
        <item x="2099"/>
        <item x="1709"/>
        <item x="1905"/>
        <item x="2507"/>
        <item x="134"/>
        <item x="2677"/>
        <item x="1662"/>
        <item x="1726"/>
        <item x="1520"/>
        <item x="543"/>
        <item x="286"/>
        <item x="962"/>
        <item x="51"/>
        <item x="2647"/>
        <item x="1456"/>
        <item x="1088"/>
        <item x="943"/>
        <item x="2675"/>
        <item x="2721"/>
        <item x="586"/>
        <item x="2376"/>
        <item x="1221"/>
        <item x="821"/>
        <item x="621"/>
        <item x="471"/>
        <item x="1043"/>
        <item x="1133"/>
        <item x="2544"/>
        <item x="1605"/>
        <item x="1782"/>
        <item x="2482"/>
        <item x="2661"/>
        <item x="2663"/>
        <item x="2821"/>
        <item x="1254"/>
        <item x="1261"/>
        <item x="1704"/>
        <item x="1869"/>
        <item x="2606"/>
        <item x="2006"/>
        <item x="1621"/>
        <item x="1968"/>
        <item x="2366"/>
        <item x="2131"/>
        <item x="512"/>
        <item x="532"/>
        <item x="2111"/>
        <item x="2174"/>
        <item x="528"/>
        <item x="1629"/>
        <item x="1893"/>
        <item x="1379"/>
        <item x="2442"/>
        <item x="1047"/>
        <item x="3"/>
        <item x="2316"/>
        <item x="2239"/>
        <item x="1457"/>
        <item x="1275"/>
        <item x="1436"/>
        <item x="2424"/>
        <item x="1300"/>
        <item x="477"/>
        <item x="1184"/>
        <item x="1918"/>
        <item x="1507"/>
        <item x="2260"/>
        <item x="995"/>
        <item x="2278"/>
        <item x="1728"/>
        <item x="1299"/>
        <item x="2757"/>
        <item x="479"/>
        <item x="1306"/>
        <item x="353"/>
        <item x="1078"/>
        <item x="2581"/>
        <item x="183"/>
        <item x="744"/>
        <item x="780"/>
        <item x="349"/>
        <item x="1875"/>
        <item x="187"/>
        <item x="1797"/>
        <item x="1162"/>
        <item x="2228"/>
        <item x="1694"/>
        <item x="273"/>
        <item x="1409"/>
        <item x="127"/>
        <item x="2466"/>
        <item x="801"/>
        <item x="858"/>
        <item x="2489"/>
        <item x="223"/>
        <item x="1794"/>
        <item x="1649"/>
        <item x="255"/>
        <item x="2664"/>
        <item x="1170"/>
        <item x="276"/>
        <item x="795"/>
        <item x="272"/>
        <item x="2846"/>
        <item x="1770"/>
        <item x="132"/>
        <item x="237"/>
        <item x="1364"/>
        <item x="889"/>
        <item x="2682"/>
        <item x="2849"/>
        <item x="1737"/>
        <item x="404"/>
        <item x="525"/>
        <item x="1036"/>
        <item x="2054"/>
        <item x="2145"/>
        <item x="2494"/>
        <item x="1545"/>
        <item x="699"/>
        <item x="33"/>
        <item x="1534"/>
        <item x="2527"/>
        <item x="1987"/>
        <item x="868"/>
        <item x="384"/>
        <item x="817"/>
        <item x="2613"/>
        <item x="1583"/>
        <item x="137"/>
        <item x="1313"/>
        <item x="1392"/>
        <item x="2770"/>
        <item x="1182"/>
        <item x="546"/>
        <item x="1395"/>
        <item x="846"/>
        <item x="2722"/>
        <item x="374"/>
        <item x="2639"/>
        <item x="778"/>
        <item x="2177"/>
        <item x="1176"/>
        <item x="677"/>
        <item x="1027"/>
        <item x="2640"/>
        <item x="2443"/>
        <item x="1926"/>
        <item t="default"/>
      </items>
    </pivotField>
    <pivotField numFmtId="164" showAll="0">
      <items count="367">
        <item h="1" x="178"/>
        <item h="1"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pivotField dataField="1"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Bill_Amount" fld="10" baseField="0" baseItem="0" numFmtId="165"/>
  </dataFields>
  <formats count="1">
    <format dxfId="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8A12758-708A-4897-9609-93044240242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24" firstHeaderRow="1" firstDataRow="1" firstDataCol="1"/>
  <pivotFields count="15">
    <pivotField dataField="1" showAll="0"/>
    <pivotField showAll="0"/>
    <pivotField showAll="0">
      <items count="8">
        <item x="0"/>
        <item x="1"/>
        <item x="2"/>
        <item x="3"/>
        <item x="4"/>
        <item x="5"/>
        <item x="6"/>
        <item t="default"/>
      </items>
    </pivotField>
    <pivotField showAll="0">
      <items count="3">
        <item x="1"/>
        <item x="0"/>
        <item t="default"/>
      </items>
    </pivotField>
    <pivotField showAll="0">
      <items count="8">
        <item x="5"/>
        <item x="1"/>
        <item x="6"/>
        <item x="4"/>
        <item x="3"/>
        <item x="2"/>
        <item x="0"/>
        <item t="default"/>
      </items>
    </pivotField>
    <pivotField showAll="0"/>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axis="axisRow" showAll="0" sortType="ascending">
      <items count="11">
        <item x="0"/>
        <item x="2"/>
        <item x="8"/>
        <item x="7"/>
        <item x="3"/>
        <item x="6"/>
        <item x="5"/>
        <item x="9"/>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8"/>
  </rowFields>
  <rowItems count="11">
    <i>
      <x v="4"/>
    </i>
    <i>
      <x v="7"/>
    </i>
    <i>
      <x v="5"/>
    </i>
    <i>
      <x v="6"/>
    </i>
    <i>
      <x v="2"/>
    </i>
    <i>
      <x v="3"/>
    </i>
    <i>
      <x v="8"/>
    </i>
    <i>
      <x v="9"/>
    </i>
    <i>
      <x/>
    </i>
    <i>
      <x v="1"/>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8E31B01-D363-43AF-9BFA-596D89FD705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7:D28" firstHeaderRow="1" firstDataRow="1" firstDataCol="0"/>
  <pivotFields count="15">
    <pivotField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8">
        <item x="0"/>
        <item x="1"/>
        <item x="2"/>
        <item x="3"/>
        <item x="4"/>
        <item x="5"/>
        <item x="6"/>
        <item t="default"/>
      </items>
    </pivotField>
    <pivotField showAll="0">
      <items count="3">
        <item x="1"/>
        <item x="0"/>
        <item t="default"/>
      </items>
    </pivotField>
    <pivotField showAll="0">
      <items count="8">
        <item x="5"/>
        <item x="1"/>
        <item x="6"/>
        <item x="4"/>
        <item x="3"/>
        <item x="2"/>
        <item x="0"/>
        <item t="default"/>
      </items>
    </pivotField>
    <pivotField showAll="0">
      <items count="2931">
        <item x="1083"/>
        <item x="152"/>
        <item x="28"/>
        <item x="1002"/>
        <item x="2652"/>
        <item x="939"/>
        <item x="2286"/>
        <item x="442"/>
        <item x="339"/>
        <item x="713"/>
        <item x="292"/>
        <item x="368"/>
        <item x="387"/>
        <item x="1442"/>
        <item x="2836"/>
        <item x="136"/>
        <item x="676"/>
        <item x="2407"/>
        <item x="453"/>
        <item x="1978"/>
        <item x="822"/>
        <item x="1031"/>
        <item x="2179"/>
        <item x="633"/>
        <item x="2486"/>
        <item x="892"/>
        <item x="511"/>
        <item x="1561"/>
        <item x="2818"/>
        <item x="2782"/>
        <item x="367"/>
        <item x="322"/>
        <item x="305"/>
        <item x="209"/>
        <item x="398"/>
        <item x="1187"/>
        <item x="2021"/>
        <item x="2755"/>
        <item x="1982"/>
        <item x="2766"/>
        <item x="2370"/>
        <item x="1758"/>
        <item x="1581"/>
        <item x="727"/>
        <item x="549"/>
        <item x="158"/>
        <item x="1062"/>
        <item x="1471"/>
        <item x="1270"/>
        <item x="2841"/>
        <item x="1717"/>
        <item x="2667"/>
        <item x="2657"/>
        <item x="1125"/>
        <item x="2159"/>
        <item x="968"/>
        <item x="2810"/>
        <item x="2737"/>
        <item x="2549"/>
        <item x="2404"/>
        <item x="1130"/>
        <item x="333"/>
        <item x="1626"/>
        <item x="927"/>
        <item x="947"/>
        <item x="1486"/>
        <item x="2918"/>
        <item x="855"/>
        <item x="857"/>
        <item x="1514"/>
        <item x="1778"/>
        <item x="2868"/>
        <item x="199"/>
        <item x="351"/>
        <item x="2002"/>
        <item x="488"/>
        <item x="1624"/>
        <item x="328"/>
        <item x="1343"/>
        <item x="515"/>
        <item x="2072"/>
        <item x="1250"/>
        <item x="1928"/>
        <item x="890"/>
        <item x="2834"/>
        <item x="622"/>
        <item x="2381"/>
        <item x="2492"/>
        <item x="845"/>
        <item x="2645"/>
        <item x="2734"/>
        <item x="2545"/>
        <item x="2074"/>
        <item x="347"/>
        <item x="2200"/>
        <item x="2355"/>
        <item x="377"/>
        <item x="2078"/>
        <item x="1188"/>
        <item x="1809"/>
        <item x="2418"/>
        <item x="1370"/>
        <item x="38"/>
        <item x="2780"/>
        <item x="1980"/>
        <item x="2534"/>
        <item x="1180"/>
        <item x="1286"/>
        <item x="2313"/>
        <item x="1786"/>
        <item x="1623"/>
        <item x="2797"/>
        <item x="2268"/>
        <item x="922"/>
        <item x="270"/>
        <item x="952"/>
        <item x="1115"/>
        <item x="30"/>
        <item x="177"/>
        <item x="2599"/>
        <item x="829"/>
        <item x="848"/>
        <item x="2173"/>
        <item x="2584"/>
        <item x="2185"/>
        <item x="1775"/>
        <item x="1648"/>
        <item x="2305"/>
        <item x="2271"/>
        <item x="88"/>
        <item x="205"/>
        <item x="755"/>
        <item x="184"/>
        <item x="475"/>
        <item x="2126"/>
        <item x="1590"/>
        <item x="2030"/>
        <item x="2151"/>
        <item x="1375"/>
        <item x="246"/>
        <item x="1223"/>
        <item x="753"/>
        <item x="2247"/>
        <item x="898"/>
        <item x="1916"/>
        <item x="2117"/>
        <item x="1168"/>
        <item x="1081"/>
        <item x="1411"/>
        <item x="1574"/>
        <item x="1109"/>
        <item x="2251"/>
        <item x="148"/>
        <item x="340"/>
        <item x="2641"/>
        <item x="226"/>
        <item x="129"/>
        <item x="157"/>
        <item x="1137"/>
        <item x="558"/>
        <item x="2768"/>
        <item x="831"/>
        <item x="1738"/>
        <item x="61"/>
        <item x="1957"/>
        <item x="1511"/>
        <item x="108"/>
        <item x="2009"/>
        <item x="274"/>
        <item x="164"/>
        <item x="295"/>
        <item x="1798"/>
        <item x="1887"/>
        <item x="930"/>
        <item x="1439"/>
        <item x="2191"/>
        <item x="1479"/>
        <item x="1175"/>
        <item x="1551"/>
        <item x="2921"/>
        <item x="1877"/>
        <item x="41"/>
        <item x="1032"/>
        <item x="400"/>
        <item x="2461"/>
        <item x="2621"/>
        <item x="2369"/>
        <item x="1368"/>
        <item x="2340"/>
        <item x="1432"/>
        <item x="2409"/>
        <item x="2548"/>
        <item x="784"/>
        <item x="1236"/>
        <item x="151"/>
        <item x="1562"/>
        <item x="544"/>
        <item x="738"/>
        <item x="489"/>
        <item x="1816"/>
        <item x="2223"/>
        <item x="2582"/>
        <item x="2378"/>
        <item x="870"/>
        <item x="2881"/>
        <item x="2197"/>
        <item x="998"/>
        <item x="578"/>
        <item x="1885"/>
        <item x="189"/>
        <item x="1719"/>
        <item x="2012"/>
        <item x="2014"/>
        <item x="155"/>
        <item x="1793"/>
        <item x="356"/>
        <item x="2604"/>
        <item x="1510"/>
        <item x="1084"/>
        <item x="1344"/>
        <item x="1575"/>
        <item x="145"/>
        <item x="2848"/>
        <item x="2387"/>
        <item x="1599"/>
        <item x="1203"/>
        <item x="1505"/>
        <item x="1016"/>
        <item x="2886"/>
        <item x="2820"/>
        <item x="1360"/>
        <item x="2220"/>
        <item x="1321"/>
        <item x="297"/>
        <item x="85"/>
        <item x="354"/>
        <item x="2390"/>
        <item x="1304"/>
        <item x="320"/>
        <item x="311"/>
        <item x="2045"/>
        <item x="2158"/>
        <item x="1151"/>
        <item x="1441"/>
        <item x="2005"/>
        <item x="2432"/>
        <item x="1559"/>
        <item x="500"/>
        <item x="884"/>
        <item x="2347"/>
        <item x="843"/>
        <item x="2410"/>
        <item x="458"/>
        <item x="1014"/>
        <item x="2328"/>
        <item x="2077"/>
        <item x="1194"/>
        <item x="186"/>
        <item x="1174"/>
        <item x="2008"/>
        <item x="2603"/>
        <item x="716"/>
        <item x="1711"/>
        <item x="603"/>
        <item x="1352"/>
        <item x="1267"/>
        <item x="656"/>
        <item x="1776"/>
        <item x="2666"/>
        <item x="2348"/>
        <item x="1754"/>
        <item x="1765"/>
        <item x="1427"/>
        <item x="667"/>
        <item x="636"/>
        <item x="1447"/>
        <item x="663"/>
        <item x="2441"/>
        <item x="2445"/>
        <item x="966"/>
        <item x="1331"/>
        <item x="1632"/>
        <item x="2284"/>
        <item x="2454"/>
        <item x="1142"/>
        <item x="810"/>
        <item x="1"/>
        <item x="637"/>
        <item x="2484"/>
        <item x="1734"/>
        <item x="1335"/>
        <item x="878"/>
        <item x="602"/>
        <item x="2700"/>
        <item x="1450"/>
        <item x="2497"/>
        <item x="1316"/>
        <item x="899"/>
        <item x="1305"/>
        <item x="609"/>
        <item x="2170"/>
        <item x="2583"/>
        <item x="1509"/>
        <item x="1073"/>
        <item x="1444"/>
        <item x="595"/>
        <item x="1525"/>
        <item x="1533"/>
        <item x="559"/>
        <item x="849"/>
        <item x="654"/>
        <item x="395"/>
        <item x="2716"/>
        <item x="792"/>
        <item x="1440"/>
        <item x="1106"/>
        <item x="2226"/>
        <item x="776"/>
        <item x="1373"/>
        <item x="2209"/>
        <item x="2349"/>
        <item x="2026"/>
        <item x="2022"/>
        <item x="638"/>
        <item x="535"/>
        <item x="240"/>
        <item x="2162"/>
        <item x="2274"/>
        <item x="115"/>
        <item x="167"/>
        <item x="2059"/>
        <item x="414"/>
        <item x="503"/>
        <item x="2590"/>
        <item x="2869"/>
        <item x="2827"/>
        <item x="2571"/>
        <item x="1225"/>
        <item x="2908"/>
        <item x="2217"/>
        <item x="1215"/>
        <item x="2018"/>
        <item x="1038"/>
        <item x="767"/>
        <item x="201"/>
        <item x="877"/>
        <item x="2144"/>
        <item x="1802"/>
        <item x="284"/>
        <item x="1948"/>
        <item x="642"/>
        <item x="758"/>
        <item x="1600"/>
        <item x="859"/>
        <item x="1628"/>
        <item x="232"/>
        <item x="2689"/>
        <item x="2779"/>
        <item x="785"/>
        <item x="1490"/>
        <item x="2807"/>
        <item x="449"/>
        <item x="1739"/>
        <item x="2856"/>
        <item x="2798"/>
        <item x="1332"/>
        <item x="2669"/>
        <item x="1950"/>
        <item x="876"/>
        <item x="2294"/>
        <item x="2799"/>
        <item x="1503"/>
        <item x="1268"/>
        <item x="198"/>
        <item x="1548"/>
        <item x="2449"/>
        <item x="580"/>
        <item x="2203"/>
        <item x="309"/>
        <item x="880"/>
        <item x="118"/>
        <item x="2900"/>
        <item x="2793"/>
        <item x="329"/>
        <item x="2122"/>
        <item x="839"/>
        <item x="1836"/>
        <item x="721"/>
        <item x="2384"/>
        <item x="1876"/>
        <item x="1219"/>
        <item x="2586"/>
        <item x="761"/>
        <item x="1752"/>
        <item x="330"/>
        <item x="435"/>
        <item x="318"/>
        <item x="1417"/>
        <item x="2589"/>
        <item x="787"/>
        <item x="552"/>
        <item x="481"/>
        <item x="1953"/>
        <item x="49"/>
        <item x="2476"/>
        <item x="1974"/>
        <item x="715"/>
        <item x="921"/>
        <item x="1515"/>
        <item x="1861"/>
        <item x="1272"/>
        <item x="934"/>
        <item x="1587"/>
        <item x="2148"/>
        <item x="2506"/>
        <item x="2364"/>
        <item x="2250"/>
        <item x="2843"/>
        <item x="1218"/>
        <item x="2428"/>
        <item x="125"/>
        <item x="2377"/>
        <item x="1543"/>
        <item x="1606"/>
        <item x="2764"/>
        <item x="2844"/>
        <item x="2632"/>
        <item x="1713"/>
        <item x="2715"/>
        <item x="336"/>
        <item x="2851"/>
        <item x="317"/>
        <item x="938"/>
        <item x="1204"/>
        <item x="2015"/>
        <item x="1938"/>
        <item x="1005"/>
        <item x="2188"/>
        <item x="513"/>
        <item x="534"/>
        <item x="1669"/>
        <item x="1426"/>
        <item x="1179"/>
        <item x="2380"/>
        <item x="389"/>
        <item x="1827"/>
        <item x="120"/>
        <item x="2600"/>
        <item x="1685"/>
        <item x="2289"/>
        <item x="1156"/>
        <item x="1934"/>
        <item x="154"/>
        <item x="2070"/>
        <item x="1118"/>
        <item x="1986"/>
        <item x="2531"/>
        <item x="1119"/>
        <item x="2853"/>
        <item x="1994"/>
        <item x="2499"/>
        <item x="629"/>
        <item x="2891"/>
        <item x="1402"/>
        <item x="36"/>
        <item x="419"/>
        <item x="1243"/>
        <item x="2753"/>
        <item x="1781"/>
        <item x="2832"/>
        <item x="869"/>
        <item x="2354"/>
        <item x="824"/>
        <item x="648"/>
        <item x="130"/>
        <item x="1007"/>
        <item x="955"/>
        <item x="2184"/>
        <item x="454"/>
        <item x="2149"/>
        <item x="160"/>
        <item x="74"/>
        <item x="912"/>
        <item x="2031"/>
        <item x="2124"/>
        <item x="69"/>
        <item x="1228"/>
        <item x="2333"/>
        <item x="168"/>
        <item x="2917"/>
        <item x="1854"/>
        <item x="1730"/>
        <item x="2662"/>
        <item x="2653"/>
        <item x="2169"/>
        <item x="1578"/>
        <item x="42"/>
        <item x="2502"/>
        <item x="834"/>
        <item x="2880"/>
        <item x="1297"/>
        <item x="370"/>
        <item x="2282"/>
        <item x="1365"/>
        <item x="2572"/>
        <item x="2291"/>
        <item x="2073"/>
        <item x="2701"/>
        <item x="772"/>
        <item x="1616"/>
        <item x="6"/>
        <item x="1202"/>
        <item x="1310"/>
        <item x="1001"/>
        <item x="803"/>
        <item x="1990"/>
        <item x="2262"/>
        <item x="2297"/>
        <item x="1688"/>
        <item x="2699"/>
        <item x="1865"/>
        <item x="1611"/>
        <item x="2202"/>
        <item x="2437"/>
        <item x="734"/>
        <item x="1495"/>
        <item x="791"/>
        <item x="1128"/>
        <item x="545"/>
        <item x="2136"/>
        <item x="2189"/>
        <item x="2043"/>
        <item x="1235"/>
        <item x="1025"/>
        <item x="541"/>
        <item x="933"/>
        <item x="945"/>
        <item x="1961"/>
        <item x="1090"/>
        <item x="243"/>
        <item x="437"/>
        <item x="2205"/>
        <item x="2161"/>
        <item x="2088"/>
        <item x="2487"/>
        <item x="1757"/>
        <item x="2133"/>
        <item x="1538"/>
        <item x="2182"/>
        <item x="1729"/>
        <item x="1764"/>
        <item x="555"/>
        <item x="71"/>
        <item x="242"/>
        <item x="468"/>
        <item x="415"/>
        <item x="1050"/>
        <item x="631"/>
        <item x="2103"/>
        <item x="907"/>
        <item x="711"/>
        <item x="1595"/>
        <item x="2680"/>
        <item x="2781"/>
        <item x="2717"/>
        <item x="658"/>
        <item x="2430"/>
        <item x="527"/>
        <item x="1983"/>
        <item x="2337"/>
        <item x="2712"/>
        <item x="1285"/>
        <item x="2805"/>
        <item x="1919"/>
        <item x="751"/>
        <item x="2373"/>
        <item x="2686"/>
        <item x="1692"/>
        <item x="1398"/>
        <item x="589"/>
        <item x="2195"/>
        <item x="681"/>
        <item x="369"/>
        <item x="13"/>
        <item x="2041"/>
        <item x="1811"/>
        <item x="281"/>
        <item x="2190"/>
        <item x="466"/>
        <item x="918"/>
        <item x="1359"/>
        <item x="455"/>
        <item x="378"/>
        <item x="2789"/>
        <item x="2411"/>
        <item x="1173"/>
        <item x="214"/>
        <item x="440"/>
        <item x="989"/>
        <item x="58"/>
        <item x="18"/>
        <item x="2901"/>
        <item x="1435"/>
        <item x="432"/>
        <item x="628"/>
        <item x="2927"/>
        <item x="1462"/>
        <item x="2564"/>
        <item x="1153"/>
        <item x="1609"/>
        <item x="2630"/>
        <item x="2458"/>
        <item x="1828"/>
        <item x="325"/>
        <item x="1565"/>
        <item x="745"/>
        <item x="2710"/>
        <item x="2068"/>
        <item x="2243"/>
        <item x="1564"/>
        <item x="1100"/>
        <item x="836"/>
        <item x="1210"/>
        <item x="1136"/>
        <item x="1805"/>
        <item x="473"/>
        <item x="674"/>
        <item x="2338"/>
        <item x="2672"/>
        <item x="971"/>
        <item x="1092"/>
        <item x="2279"/>
        <item x="2341"/>
        <item x="65"/>
        <item x="254"/>
        <item x="365"/>
        <item x="1324"/>
        <item x="482"/>
        <item x="2536"/>
        <item x="1287"/>
        <item x="173"/>
        <item x="293"/>
        <item x="2032"/>
        <item x="1801"/>
        <item x="2069"/>
        <item x="2193"/>
        <item x="2391"/>
        <item x="1650"/>
        <item x="1242"/>
        <item x="2520"/>
        <item x="1209"/>
        <item x="789"/>
        <item x="1448"/>
        <item x="1246"/>
        <item x="2785"/>
        <item x="394"/>
        <item x="427"/>
        <item x="1211"/>
        <item x="2887"/>
        <item x="1923"/>
        <item x="1091"/>
        <item x="2398"/>
        <item x="2325"/>
        <item x="2515"/>
        <item x="762"/>
        <item x="529"/>
        <item x="2028"/>
        <item x="25"/>
        <item x="2465"/>
        <item x="1618"/>
        <item x="572"/>
        <item x="613"/>
        <item x="1481"/>
        <item x="2426"/>
        <item x="2575"/>
        <item x="416"/>
        <item x="1041"/>
        <item x="1883"/>
        <item x="723"/>
        <item x="448"/>
        <item x="994"/>
        <item x="909"/>
        <item x="1896"/>
        <item x="2130"/>
        <item x="2071"/>
        <item x="1251"/>
        <item x="1483"/>
        <item x="319"/>
        <item x="1518"/>
        <item x="2164"/>
        <item x="1825"/>
        <item x="1399"/>
        <item x="15"/>
        <item x="114"/>
        <item x="2245"/>
        <item x="80"/>
        <item x="2479"/>
        <item x="1547"/>
        <item x="2808"/>
        <item x="2266"/>
        <item x="1059"/>
        <item x="2802"/>
        <item x="623"/>
        <item x="919"/>
        <item x="2383"/>
        <item x="1601"/>
        <item x="2141"/>
        <item x="2318"/>
        <item x="1418"/>
        <item x="1422"/>
        <item x="985"/>
        <item x="865"/>
        <item x="1859"/>
        <item x="2234"/>
        <item x="1911"/>
        <item x="2110"/>
        <item x="2693"/>
        <item x="649"/>
        <item x="1376"/>
        <item x="483"/>
        <item x="2650"/>
        <item x="611"/>
        <item x="2421"/>
        <item x="2882"/>
        <item x="1206"/>
        <item x="1065"/>
        <item x="163"/>
        <item x="2121"/>
        <item x="2800"/>
        <item x="2723"/>
        <item x="2877"/>
        <item x="986"/>
        <item x="316"/>
        <item x="691"/>
        <item x="169"/>
        <item x="2731"/>
        <item x="2051"/>
        <item x="1817"/>
        <item x="2538"/>
        <item x="2801"/>
        <item x="594"/>
        <item x="1610"/>
        <item x="788"/>
        <item x="825"/>
        <item x="816"/>
        <item x="1766"/>
        <item x="1933"/>
        <item x="1252"/>
        <item x="896"/>
        <item x="2763"/>
        <item x="620"/>
        <item x="590"/>
        <item x="2806"/>
        <item x="52"/>
        <item x="861"/>
        <item x="2551"/>
        <item x="2516"/>
        <item x="371"/>
        <item x="202"/>
        <item x="2643"/>
        <item x="381"/>
        <item x="571"/>
        <item x="2685"/>
        <item x="2878"/>
        <item x="1553"/>
        <item x="1245"/>
        <item x="1706"/>
        <item x="102"/>
        <item x="837"/>
        <item x="2365"/>
        <item x="731"/>
        <item x="1526"/>
        <item x="2248"/>
        <item x="914"/>
        <item x="344"/>
        <item x="1141"/>
        <item x="1653"/>
        <item x="1329"/>
        <item x="1613"/>
        <item x="1768"/>
        <item x="978"/>
        <item x="600"/>
        <item x="1670"/>
        <item x="2447"/>
        <item x="224"/>
        <item x="363"/>
        <item x="95"/>
        <item x="2273"/>
        <item x="673"/>
        <item x="1695"/>
        <item x="606"/>
        <item x="710"/>
        <item x="1326"/>
        <item x="63"/>
        <item x="1449"/>
        <item x="686"/>
        <item x="828"/>
        <item x="514"/>
        <item x="2267"/>
        <item x="1132"/>
        <item x="2588"/>
        <item x="2537"/>
        <item x="872"/>
        <item x="1955"/>
        <item x="480"/>
        <item x="1382"/>
        <item x="2510"/>
        <item x="954"/>
        <item x="2053"/>
        <item x="893"/>
        <item x="2547"/>
        <item x="539"/>
        <item x="2491"/>
        <item x="2035"/>
        <item x="2362"/>
        <item x="2140"/>
        <item x="172"/>
        <item x="1652"/>
        <item x="1959"/>
        <item x="153"/>
        <item x="1107"/>
        <item x="2896"/>
        <item x="904"/>
        <item x="1121"/>
        <item x="2829"/>
        <item x="1701"/>
        <item x="2697"/>
        <item x="2876"/>
        <item x="1822"/>
        <item x="79"/>
        <item x="1342"/>
        <item x="2561"/>
        <item x="2096"/>
        <item x="2444"/>
        <item x="1517"/>
        <item x="2792"/>
        <item x="796"/>
        <item x="988"/>
        <item x="1523"/>
        <item x="2819"/>
        <item x="1549"/>
        <item x="2255"/>
        <item x="2050"/>
        <item x="2814"/>
        <item x="798"/>
        <item x="2845"/>
        <item x="1929"/>
        <item x="346"/>
        <item x="1231"/>
        <item x="1253"/>
        <item x="2114"/>
        <item x="640"/>
        <item x="701"/>
        <item x="1105"/>
        <item x="1944"/>
        <item x="2086"/>
        <item x="238"/>
        <item x="1044"/>
        <item x="2865"/>
        <item x="315"/>
        <item x="1233"/>
        <item x="1744"/>
        <item x="569"/>
        <item x="1213"/>
        <item x="1069"/>
        <item x="992"/>
        <item x="314"/>
        <item x="1040"/>
        <item x="2726"/>
        <item x="1733"/>
        <item x="587"/>
        <item x="779"/>
        <item x="906"/>
        <item x="176"/>
        <item x="2864"/>
        <item x="91"/>
        <item x="1707"/>
        <item x="1350"/>
        <item x="1116"/>
        <item x="1807"/>
        <item x="179"/>
        <item x="1085"/>
        <item x="1833"/>
        <item x="1348"/>
        <item x="1748"/>
        <item x="1591"/>
        <item x="533"/>
        <item x="2543"/>
        <item x="1056"/>
        <item x="712"/>
        <item x="304"/>
        <item x="1655"/>
        <item x="2058"/>
        <item x="2512"/>
        <item x="260"/>
        <item x="392"/>
        <item x="1864"/>
        <item x="1284"/>
        <item x="257"/>
        <item x="2240"/>
        <item x="2397"/>
        <item x="925"/>
        <item x="1445"/>
        <item x="708"/>
        <item x="1856"/>
        <item x="350"/>
        <item x="1647"/>
        <item x="2214"/>
        <item x="1567"/>
        <item x="2610"/>
        <item x="1942"/>
        <item x="2728"/>
        <item x="2336"/>
        <item x="2097"/>
        <item x="2235"/>
        <item x="2601"/>
        <item x="1924"/>
        <item x="2803"/>
        <item x="644"/>
        <item x="1584"/>
        <item x="2730"/>
        <item x="811"/>
        <item x="2160"/>
        <item x="1945"/>
        <item x="1169"/>
        <item x="1227"/>
        <item x="1400"/>
        <item x="1867"/>
        <item x="2368"/>
        <item x="294"/>
        <item x="2750"/>
        <item x="1279"/>
        <item x="1384"/>
        <item x="1072"/>
        <item x="1871"/>
        <item x="2433"/>
        <item x="1723"/>
        <item x="2436"/>
        <item x="2393"/>
        <item x="352"/>
        <item x="165"/>
        <item x="119"/>
        <item x="993"/>
        <item x="2249"/>
        <item x="2739"/>
        <item x="1722"/>
        <item x="450"/>
        <item x="1742"/>
        <item x="2552"/>
        <item x="885"/>
        <item x="1237"/>
        <item x="1732"/>
        <item x="1293"/>
        <item x="990"/>
        <item x="867"/>
        <item x="1150"/>
        <item x="959"/>
        <item x="2010"/>
        <item x="2729"/>
        <item x="1996"/>
        <item x="2888"/>
        <item x="2528"/>
        <item x="175"/>
        <item x="277"/>
        <item x="2089"/>
        <item x="1160"/>
        <item x="1920"/>
        <item x="717"/>
        <item x="2676"/>
        <item x="2147"/>
        <item x="1668"/>
        <item x="1239"/>
        <item x="958"/>
        <item x="2375"/>
        <item x="882"/>
        <item x="1068"/>
        <item x="1971"/>
        <item x="1522"/>
        <item x="109"/>
        <item x="2253"/>
        <item x="1046"/>
        <item x="1975"/>
        <item x="505"/>
        <item x="1080"/>
        <item x="1512"/>
        <item x="1834"/>
        <item x="1405"/>
        <item x="326"/>
        <item x="949"/>
        <item x="2406"/>
        <item x="1163"/>
        <item x="923"/>
        <item x="2910"/>
        <item x="299"/>
        <item x="1415"/>
        <item x="929"/>
        <item x="2254"/>
        <item x="1878"/>
        <item x="2434"/>
        <item x="2265"/>
        <item x="2439"/>
        <item x="324"/>
        <item x="428"/>
        <item x="961"/>
        <item x="467"/>
        <item x="967"/>
        <item x="2386"/>
        <item x="2897"/>
        <item x="1205"/>
        <item x="722"/>
        <item x="2379"/>
        <item x="2518"/>
        <item x="2831"/>
        <item x="850"/>
        <item x="2342"/>
        <item x="1186"/>
        <item x="399"/>
        <item x="2703"/>
        <item x="1796"/>
        <item x="2367"/>
        <item x="498"/>
        <item x="279"/>
        <item x="159"/>
        <item x="1947"/>
        <item x="692"/>
        <item x="1870"/>
        <item x="972"/>
        <item x="1608"/>
        <item x="2007"/>
        <item x="1328"/>
        <item x="443"/>
        <item x="1159"/>
        <item x="1177"/>
        <item x="1425"/>
        <item x="1201"/>
        <item x="2469"/>
        <item x="1362"/>
        <item x="1004"/>
        <item x="2867"/>
        <item x="1686"/>
        <item x="2854"/>
        <item x="1571"/>
        <item x="1880"/>
        <item x="2460"/>
        <item x="2533"/>
        <item x="364"/>
        <item x="121"/>
        <item x="1784"/>
        <item x="1434"/>
        <item x="924"/>
        <item x="219"/>
        <item x="2374"/>
        <item x="2724"/>
        <item x="1446"/>
        <item x="1779"/>
        <item x="1217"/>
        <item x="596"/>
        <item x="1568"/>
        <item x="1917"/>
        <item x="1453"/>
        <item x="2315"/>
        <item x="2233"/>
        <item x="626"/>
        <item x="832"/>
        <item x="665"/>
        <item x="618"/>
        <item x="1855"/>
        <item x="653"/>
        <item x="775"/>
        <item x="507"/>
        <item x="2742"/>
        <item x="1915"/>
        <item x="1008"/>
        <item x="2635"/>
        <item x="2455"/>
        <item x="2744"/>
        <item x="2532"/>
        <item x="2044"/>
        <item x="70"/>
        <item x="2577"/>
        <item x="82"/>
        <item x="2637"/>
        <item x="1111"/>
        <item x="2082"/>
        <item x="1269"/>
        <item x="1122"/>
        <item x="2477"/>
        <item x="704"/>
        <item x="1193"/>
        <item x="747"/>
        <item x="632"/>
        <item x="1516"/>
        <item x="1070"/>
        <item x="1294"/>
        <item x="905"/>
        <item x="2440"/>
        <item x="212"/>
        <item x="1171"/>
        <item x="910"/>
        <item x="2748"/>
        <item x="1423"/>
        <item x="2743"/>
        <item x="1586"/>
        <item x="1424"/>
        <item x="2261"/>
        <item x="1840"/>
        <item x="557"/>
        <item x="1055"/>
        <item x="2230"/>
        <item x="19"/>
        <item x="1167"/>
        <item x="1627"/>
        <item x="1992"/>
        <item x="964"/>
        <item x="1421"/>
        <item x="1054"/>
        <item x="2842"/>
        <item x="917"/>
        <item x="827"/>
        <item x="2787"/>
        <item x="1378"/>
        <item x="161"/>
        <item x="695"/>
        <item x="568"/>
        <item x="2107"/>
        <item x="2335"/>
        <item x="830"/>
        <item x="1463"/>
        <item x="11"/>
        <item x="2762"/>
        <item x="190"/>
        <item x="1895"/>
        <item x="1198"/>
        <item x="1238"/>
        <item x="2826"/>
        <item x="2446"/>
        <item x="2911"/>
        <item x="1969"/>
        <item x="457"/>
        <item x="765"/>
        <item x="497"/>
        <item x="2772"/>
        <item x="2332"/>
        <item x="575"/>
        <item x="92"/>
        <item x="2745"/>
        <item x="1374"/>
        <item x="123"/>
        <item x="777"/>
        <item x="1697"/>
        <item x="1459"/>
        <item x="445"/>
        <item x="2150"/>
        <item x="313"/>
        <item x="2101"/>
        <item x="852"/>
        <item x="1451"/>
        <item x="2903"/>
        <item x="1094"/>
        <item x="2747"/>
        <item x="516"/>
        <item x="1736"/>
        <item x="2692"/>
        <item x="725"/>
        <item x="782"/>
        <item x="1414"/>
        <item x="652"/>
        <item x="2514"/>
        <item x="519"/>
        <item x="567"/>
        <item x="2300"/>
        <item x="688"/>
        <item x="1026"/>
        <item x="883"/>
        <item x="2709"/>
        <item x="200"/>
        <item x="1745"/>
        <item x="2229"/>
        <item x="1582"/>
        <item x="2244"/>
        <item x="1751"/>
        <item x="380"/>
        <item x="1071"/>
        <item x="556"/>
        <item x="236"/>
        <item x="1064"/>
        <item x="1666"/>
        <item x="2137"/>
        <item x="1556"/>
        <item x="117"/>
        <item x="2720"/>
        <item x="1135"/>
        <item x="2394"/>
        <item x="598"/>
        <item x="1687"/>
        <item x="1665"/>
        <item x="2104"/>
        <item x="1724"/>
        <item x="496"/>
        <item x="2093"/>
        <item x="1904"/>
        <item x="2277"/>
        <item x="258"/>
        <item x="854"/>
        <item x="840"/>
        <item x="2791"/>
        <item x="376"/>
        <item x="1474"/>
        <item x="2270"/>
        <item x="1577"/>
        <item x="248"/>
        <item x="2420"/>
        <item x="1480"/>
        <item x="308"/>
        <item x="1677"/>
        <item x="446"/>
        <item x="2402"/>
        <item x="1433"/>
        <item x="2196"/>
        <item x="763"/>
        <item x="1114"/>
        <item x="62"/>
        <item x="1894"/>
        <item x="1387"/>
        <item x="2419"/>
        <item x="1377"/>
        <item x="1615"/>
        <item x="1356"/>
        <item x="987"/>
        <item x="288"/>
        <item x="2596"/>
        <item x="420"/>
        <item x="1389"/>
        <item x="1636"/>
        <item x="2925"/>
        <item x="54"/>
        <item x="2435"/>
        <item x="250"/>
        <item x="1351"/>
        <item x="1560"/>
        <item x="222"/>
        <item x="597"/>
        <item x="2324"/>
        <item x="2655"/>
        <item x="2329"/>
        <item x="1101"/>
        <item x="2280"/>
        <item x="944"/>
        <item x="2875"/>
        <item x="39"/>
        <item x="1899"/>
        <item x="2740"/>
        <item x="247"/>
        <item x="1347"/>
        <item x="421"/>
        <item x="741"/>
        <item x="1145"/>
        <item x="1367"/>
        <item x="703"/>
        <item x="2735"/>
        <item x="230"/>
        <item x="1428"/>
        <item x="1638"/>
        <item x="1995"/>
        <item x="1406"/>
        <item x="562"/>
        <item x="2902"/>
        <item x="2646"/>
        <item x="2671"/>
        <item x="1472"/>
        <item x="1262"/>
        <item x="2360"/>
        <item x="2493"/>
        <item x="1785"/>
        <item x="1985"/>
        <item x="2171"/>
        <item x="2608"/>
        <item x="2100"/>
        <item x="45"/>
        <item x="1476"/>
        <item x="81"/>
        <item x="2451"/>
        <item x="1661"/>
        <item x="193"/>
        <item x="300"/>
        <item x="2415"/>
        <item x="1076"/>
        <item x="2146"/>
        <item x="607"/>
        <item x="696"/>
        <item x="1593"/>
        <item x="2468"/>
        <item x="171"/>
        <item x="1680"/>
        <item x="2459"/>
        <item x="881"/>
        <item x="2928"/>
        <item x="1283"/>
        <item x="103"/>
        <item x="1492"/>
        <item x="2626"/>
        <item x="285"/>
        <item x="1771"/>
        <item x="1117"/>
        <item x="1838"/>
        <item x="1256"/>
        <item x="2649"/>
        <item x="1296"/>
        <item x="2079"/>
        <item x="21"/>
        <item x="268"/>
        <item x="1401"/>
        <item x="1292"/>
        <item x="1716"/>
        <item x="518"/>
        <item x="2870"/>
        <item x="1244"/>
        <item x="1391"/>
        <item x="431"/>
        <item x="941"/>
        <item x="1941"/>
        <item x="133"/>
        <item x="1264"/>
        <item x="1388"/>
        <item x="385"/>
        <item x="1573"/>
        <item x="1542"/>
        <item x="1196"/>
        <item x="140"/>
        <item x="774"/>
        <item x="1873"/>
        <item x="146"/>
        <item x="2889"/>
        <item x="874"/>
        <item x="2727"/>
        <item x="650"/>
        <item x="1355"/>
        <item x="737"/>
        <item x="588"/>
        <item x="2033"/>
        <item x="1017"/>
        <item x="2135"/>
        <item x="2065"/>
        <item x="1907"/>
        <item x="1935"/>
        <item x="2638"/>
        <item x="2562"/>
        <item x="142"/>
        <item x="426"/>
        <item x="980"/>
        <item x="244"/>
        <item x="1882"/>
        <item x="521"/>
        <item x="1620"/>
        <item x="2698"/>
        <item x="2212"/>
        <item x="296"/>
        <item x="1258"/>
        <item x="2790"/>
        <item x="2915"/>
        <item x="100"/>
        <item x="2893"/>
        <item x="671"/>
        <item x="1800"/>
        <item x="1841"/>
        <item x="1506"/>
        <item x="2326"/>
        <item x="806"/>
        <item x="860"/>
        <item x="1721"/>
        <item x="211"/>
        <item x="282"/>
        <item x="1077"/>
        <item x="2464"/>
        <item x="2563"/>
        <item x="50"/>
        <item x="143"/>
        <item x="1529"/>
        <item x="2526"/>
        <item x="2134"/>
        <item x="1317"/>
        <item x="264"/>
        <item x="239"/>
        <item x="1312"/>
        <item x="616"/>
        <item x="1508"/>
        <item x="1596"/>
        <item x="2595"/>
        <item x="2062"/>
        <item x="76"/>
        <item x="1972"/>
        <item x="207"/>
        <item x="2339"/>
        <item x="783"/>
        <item x="1644"/>
        <item x="1419"/>
        <item x="683"/>
        <item x="1939"/>
        <item x="2580"/>
        <item x="2358"/>
        <item x="35"/>
        <item x="1991"/>
        <item x="2225"/>
        <item x="283"/>
        <item x="2361"/>
        <item x="1999"/>
        <item x="1074"/>
        <item x="1413"/>
        <item x="805"/>
        <item x="1783"/>
        <item x="2057"/>
        <item x="2450"/>
        <item x="1501"/>
        <item x="506"/>
        <item x="1095"/>
        <item x="2811"/>
        <item x="2287"/>
        <item x="2816"/>
        <item x="2628"/>
        <item x="26"/>
        <item x="1089"/>
        <item x="757"/>
        <item x="1789"/>
        <item x="1970"/>
        <item x="1097"/>
        <item x="1143"/>
        <item x="583"/>
        <item x="2839"/>
        <item x="460"/>
        <item x="888"/>
        <item x="2822"/>
        <item x="2529"/>
        <item x="1731"/>
        <item x="149"/>
        <item x="1973"/>
        <item x="1020"/>
        <item x="362"/>
        <item x="973"/>
        <item x="2256"/>
        <item x="2219"/>
        <item x="2168"/>
        <item x="2890"/>
        <item x="517"/>
        <item x="2211"/>
        <item x="2165"/>
        <item x="166"/>
        <item x="1576"/>
        <item x="2283"/>
        <item x="1278"/>
        <item x="147"/>
        <item x="2467"/>
        <item x="1988"/>
        <item x="1956"/>
        <item x="2540"/>
        <item x="2860"/>
        <item x="2241"/>
        <item x="799"/>
        <item x="265"/>
        <item x="2759"/>
        <item x="413"/>
        <item x="2269"/>
        <item x="719"/>
        <item x="2414"/>
        <item x="40"/>
        <item x="1103"/>
        <item x="1667"/>
        <item x="1260"/>
        <item x="1185"/>
        <item x="2478"/>
        <item x="754"/>
        <item x="2113"/>
        <item x="2513"/>
        <item x="2616"/>
        <item x="1630"/>
        <item x="1795"/>
        <item x="2619"/>
        <item x="916"/>
        <item x="417"/>
        <item x="661"/>
        <item x="735"/>
        <item x="1535"/>
        <item x="957"/>
        <item x="2495"/>
        <item x="948"/>
        <item x="174"/>
        <item x="2725"/>
        <item x="1622"/>
        <item x="983"/>
        <item x="585"/>
        <item x="2496"/>
        <item x="1366"/>
        <item x="2895"/>
        <item x="728"/>
        <item x="2037"/>
        <item x="307"/>
        <item x="1845"/>
        <item x="430"/>
        <item x="1438"/>
        <item x="2554"/>
        <item x="2416"/>
        <item x="2123"/>
        <item x="2118"/>
        <item x="2408"/>
        <item x="1165"/>
        <item x="1127"/>
        <item x="2011"/>
        <item x="1226"/>
        <item x="487"/>
        <item x="1977"/>
        <item x="1140"/>
        <item x="1814"/>
        <item x="1345"/>
        <item x="1663"/>
        <item x="1727"/>
        <item x="1657"/>
        <item x="1191"/>
        <item x="2413"/>
        <item x="1749"/>
        <item x="1826"/>
        <item x="601"/>
        <item x="2063"/>
        <item x="204"/>
        <item x="818"/>
        <item x="1093"/>
        <item x="1936"/>
        <item x="2894"/>
        <item x="2155"/>
        <item x="144"/>
        <item x="2306"/>
        <item x="2926"/>
        <item x="23"/>
        <item x="582"/>
        <item x="1308"/>
        <item x="996"/>
        <item x="1703"/>
        <item x="1288"/>
        <item x="2186"/>
        <item x="2898"/>
        <item x="1019"/>
        <item x="220"/>
        <item x="104"/>
        <item x="1229"/>
        <item x="2048"/>
        <item x="2207"/>
        <item x="1640"/>
        <item x="2574"/>
        <item x="2231"/>
        <item x="1951"/>
        <item x="2557"/>
        <item x="216"/>
        <item x="493"/>
        <item x="1079"/>
        <item x="2314"/>
        <item x="141"/>
        <item x="584"/>
        <item x="1273"/>
        <item x="1940"/>
        <item x="1049"/>
        <item x="1322"/>
        <item x="1774"/>
        <item x="1363"/>
        <item x="2553"/>
        <item x="1530"/>
        <item x="1922"/>
        <item x="2769"/>
        <item x="2579"/>
        <item x="2109"/>
        <item x="2624"/>
        <item x="1641"/>
        <item x="2852"/>
        <item x="1301"/>
        <item x="2924"/>
        <item x="43"/>
        <item x="759"/>
        <item x="842"/>
        <item x="2830"/>
        <item x="605"/>
        <item x="894"/>
        <item x="2858"/>
        <item x="970"/>
        <item x="2658"/>
        <item x="2351"/>
        <item x="705"/>
        <item x="624"/>
        <item x="2183"/>
        <item x="337"/>
        <item x="510"/>
        <item x="1862"/>
        <item x="1455"/>
        <item x="2345"/>
        <item x="495"/>
        <item x="2678"/>
        <item x="2403"/>
        <item x="1460"/>
        <item x="1158"/>
        <item x="915"/>
        <item x="1791"/>
        <item x="89"/>
        <item x="2081"/>
        <item x="2448"/>
        <item x="1946"/>
        <item x="2694"/>
        <item x="402"/>
        <item x="490"/>
        <item x="2809"/>
        <item x="1397"/>
        <item x="2215"/>
        <item x="366"/>
        <item x="75"/>
        <item x="937"/>
        <item x="2216"/>
        <item x="1494"/>
        <item x="1997"/>
        <item x="1761"/>
        <item x="122"/>
        <item x="1323"/>
        <item x="14"/>
        <item x="2578"/>
        <item x="241"/>
        <item x="1039"/>
        <item x="797"/>
        <item x="863"/>
        <item x="536"/>
        <item x="334"/>
        <item x="2823"/>
        <item x="1762"/>
        <item x="2463"/>
        <item x="2474"/>
        <item x="2199"/>
        <item x="465"/>
        <item x="1557"/>
        <item x="2157"/>
        <item x="1746"/>
        <item x="2872"/>
        <item x="579"/>
        <item x="499"/>
        <item x="1126"/>
        <item x="1232"/>
        <item x="1320"/>
        <item x="280"/>
        <item x="1102"/>
        <item x="1544"/>
        <item x="2788"/>
        <item x="4"/>
        <item x="1898"/>
        <item x="2258"/>
        <item x="1563"/>
        <item x="2679"/>
        <item x="1082"/>
        <item x="1220"/>
        <item x="645"/>
        <item x="1403"/>
        <item x="2112"/>
        <item x="372"/>
        <item x="1340"/>
        <item x="188"/>
        <item x="1464"/>
        <item x="2293"/>
        <item x="2281"/>
        <item x="1280"/>
        <item x="1134"/>
        <item x="1984"/>
        <item x="10"/>
        <item x="2525"/>
        <item x="2615"/>
        <item x="2863"/>
        <item x="730"/>
        <item x="185"/>
        <item x="423"/>
        <item x="1361"/>
        <item x="2627"/>
        <item x="2060"/>
        <item x="781"/>
        <item x="902"/>
        <item x="1676"/>
        <item x="2388"/>
        <item x="335"/>
        <item x="116"/>
        <item x="756"/>
        <item x="2227"/>
        <item x="1303"/>
        <item x="1656"/>
        <item x="625"/>
        <item x="22"/>
        <item x="773"/>
        <item x="355"/>
        <item x="2654"/>
        <item x="2238"/>
        <item x="956"/>
        <item x="1646"/>
        <item x="662"/>
        <item x="2056"/>
        <item x="1850"/>
        <item x="2681"/>
        <item x="1311"/>
        <item x="1949"/>
        <item x="2570"/>
        <item x="2718"/>
        <item x="1164"/>
        <item x="615"/>
        <item x="1927"/>
        <item x="1965"/>
        <item x="86"/>
        <item x="2668"/>
        <item x="1958"/>
        <item x="655"/>
        <item x="1884"/>
        <item x="2714"/>
        <item x="302"/>
        <item x="2084"/>
        <item x="478"/>
        <item x="1149"/>
        <item x="2320"/>
        <item x="327"/>
        <item x="2307"/>
        <item x="591"/>
        <item x="1307"/>
        <item x="1868"/>
        <item x="105"/>
        <item x="1087"/>
        <item x="2914"/>
        <item x="1979"/>
        <item x="2794"/>
        <item x="565"/>
        <item x="1633"/>
        <item x="2758"/>
        <item x="434"/>
        <item x="124"/>
        <item x="1892"/>
        <item x="1539"/>
        <item x="1006"/>
        <item x="345"/>
        <item x="2883"/>
        <item x="1552"/>
        <item x="660"/>
        <item x="2153"/>
        <item x="2167"/>
        <item x="1780"/>
        <item x="1489"/>
        <item x="469"/>
        <item x="1383"/>
        <item x="1048"/>
        <item x="1454"/>
        <item x="1493"/>
        <item x="1330"/>
        <item x="2786"/>
        <item x="504"/>
        <item x="553"/>
        <item x="749"/>
        <item x="1172"/>
        <item x="2206"/>
        <item x="1034"/>
        <item x="1993"/>
        <item x="844"/>
        <item x="2417"/>
        <item x="1013"/>
        <item x="1155"/>
        <item x="1147"/>
        <item x="1291"/>
        <item x="2385"/>
        <item x="740"/>
        <item x="112"/>
        <item x="1897"/>
        <item x="2568"/>
        <item x="0"/>
        <item x="303"/>
        <item x="826"/>
        <item x="2550"/>
        <item x="1431"/>
        <item x="1192"/>
        <item x="2501"/>
        <item x="1199"/>
        <item x="2400"/>
        <item x="1614"/>
        <item x="1178"/>
        <item x="1813"/>
        <item x="1466"/>
        <item x="2904"/>
        <item x="1212"/>
        <item x="1066"/>
        <item x="2343"/>
        <item x="60"/>
        <item x="1208"/>
        <item x="2614"/>
        <item x="2288"/>
        <item x="1012"/>
        <item x="1777"/>
        <item x="1337"/>
        <item x="634"/>
        <item x="2517"/>
        <item x="2825"/>
        <item x="1325"/>
        <item x="2775"/>
        <item x="1555"/>
        <item x="2208"/>
        <item x="2064"/>
        <item x="2605"/>
        <item x="1314"/>
        <item x="2029"/>
        <item x="486"/>
        <item x="93"/>
        <item x="1222"/>
        <item x="444"/>
        <item x="2312"/>
        <item x="936"/>
        <item x="1521"/>
        <item x="1843"/>
        <item x="2871"/>
        <item x="1888"/>
        <item x="2909"/>
        <item x="2558"/>
        <item x="669"/>
        <item x="2874"/>
        <item x="769"/>
        <item x="1497"/>
        <item x="2218"/>
        <item x="726"/>
        <item x="2585"/>
        <item x="1639"/>
        <item x="383"/>
        <item x="78"/>
        <item x="492"/>
        <item x="2617"/>
        <item x="1820"/>
        <item x="162"/>
        <item x="1931"/>
        <item x="1467"/>
        <item x="1597"/>
        <item x="1353"/>
        <item x="1989"/>
        <item x="197"/>
        <item x="1964"/>
        <item x="2027"/>
        <item x="1247"/>
        <item x="433"/>
        <item x="2765"/>
        <item x="1000"/>
        <item x="1214"/>
        <item x="1763"/>
        <item x="1612"/>
        <item x="576"/>
        <item x="1671"/>
        <item x="215"/>
        <item x="2392"/>
        <item x="1249"/>
        <item x="208"/>
        <item x="1902"/>
        <item x="999"/>
        <item x="2847"/>
        <item x="2840"/>
        <item x="2040"/>
        <item x="2154"/>
        <item x="2163"/>
        <item x="1750"/>
        <item x="107"/>
        <item x="1429"/>
        <item x="37"/>
        <item x="1659"/>
        <item x="1021"/>
        <item x="2598"/>
        <item x="379"/>
        <item x="1832"/>
        <item x="1372"/>
        <item x="1932"/>
        <item x="2706"/>
        <item x="2804"/>
        <item x="2592"/>
        <item x="1842"/>
        <item x="412"/>
        <item x="249"/>
        <item x="2556"/>
        <item x="670"/>
        <item x="2166"/>
        <item x="977"/>
        <item x="1029"/>
        <item x="1675"/>
        <item x="2194"/>
        <item x="2298"/>
        <item x="1554"/>
        <item x="2634"/>
        <item x="301"/>
        <item x="1531"/>
        <item x="1741"/>
        <item x="2322"/>
        <item x="550"/>
        <item x="2132"/>
        <item x="833"/>
        <item x="1224"/>
        <item x="2456"/>
        <item x="229"/>
        <item x="1207"/>
        <item x="1829"/>
        <item x="1710"/>
        <item x="1240"/>
        <item x="561"/>
        <item x="1773"/>
        <item x="456"/>
        <item x="1594"/>
        <item x="1030"/>
        <item x="267"/>
        <item x="2623"/>
        <item x="401"/>
        <item x="599"/>
        <item x="111"/>
        <item x="1866"/>
        <item x="1416"/>
        <item x="2504"/>
        <item x="2352"/>
        <item x="2252"/>
        <item x="566"/>
        <item x="2344"/>
        <item x="1705"/>
        <item x="1913"/>
        <item x="1846"/>
        <item x="1874"/>
        <item x="2651"/>
        <item x="2481"/>
        <item x="2503"/>
        <item x="2422"/>
        <item x="403"/>
        <item x="2399"/>
        <item x="2039"/>
        <item x="2509"/>
        <item x="969"/>
        <item x="1908"/>
        <item x="1683"/>
        <item x="1963"/>
        <item x="1241"/>
        <item x="1912"/>
        <item x="252"/>
        <item x="1799"/>
        <item x="1546"/>
        <item x="97"/>
        <item x="1504"/>
        <item x="1010"/>
        <item x="1113"/>
        <item x="530"/>
        <item x="1271"/>
        <item x="920"/>
        <item x="1033"/>
        <item x="357"/>
        <item x="2046"/>
        <item x="911"/>
        <item x="2175"/>
        <item x="864"/>
        <item x="1470"/>
        <item x="2090"/>
        <item x="1909"/>
        <item x="2707"/>
        <item x="1617"/>
        <item x="570"/>
        <item x="84"/>
        <item x="639"/>
        <item x="928"/>
        <item x="1998"/>
        <item x="2222"/>
        <item x="2075"/>
        <item x="406"/>
        <item x="1380"/>
        <item x="942"/>
        <item x="1263"/>
        <item x="813"/>
        <item x="397"/>
        <item x="2187"/>
        <item x="287"/>
        <item x="687"/>
        <item x="2767"/>
        <item x="2633"/>
        <item x="2498"/>
        <item x="951"/>
        <item x="1420"/>
        <item x="1672"/>
        <item x="429"/>
        <item x="269"/>
        <item x="2275"/>
        <item x="1725"/>
        <item x="1760"/>
        <item x="1803"/>
        <item x="2405"/>
        <item x="64"/>
        <item x="106"/>
        <item x="2741"/>
        <item x="1976"/>
        <item x="150"/>
        <item x="139"/>
        <item x="1181"/>
        <item x="196"/>
        <item x="563"/>
        <item x="9"/>
        <item x="1408"/>
        <item x="856"/>
        <item x="2299"/>
        <item x="1645"/>
        <item x="56"/>
        <item x="1860"/>
        <item x="1524"/>
        <item x="542"/>
        <item x="1282"/>
        <item x="926"/>
        <item x="2817"/>
        <item x="46"/>
        <item x="1569"/>
        <item x="538"/>
        <item x="53"/>
        <item x="99"/>
        <item x="16"/>
        <item x="2907"/>
        <item x="1674"/>
        <item x="2094"/>
        <item x="2751"/>
        <item x="1067"/>
        <item x="2192"/>
        <item x="2828"/>
        <item x="1295"/>
        <item x="1189"/>
        <item x="963"/>
        <item x="1960"/>
        <item x="733"/>
        <item x="44"/>
        <item x="2612"/>
        <item x="2670"/>
        <item x="2016"/>
        <item x="841"/>
        <item x="2453"/>
        <item x="1900"/>
        <item x="1848"/>
        <item x="90"/>
        <item x="2237"/>
        <item x="2539"/>
        <item x="2083"/>
        <item x="975"/>
        <item x="2906"/>
        <item x="1818"/>
        <item x="2559"/>
        <item x="2327"/>
        <item x="1651"/>
        <item x="524"/>
        <item x="1098"/>
        <item x="2795"/>
        <item x="900"/>
        <item x="1437"/>
        <item x="461"/>
        <item x="27"/>
        <item x="192"/>
        <item x="2857"/>
        <item x="2704"/>
        <item x="672"/>
        <item x="1042"/>
        <item x="1712"/>
        <item x="1183"/>
        <item x="804"/>
        <item x="1009"/>
        <item x="2095"/>
        <item x="1319"/>
        <item x="2246"/>
        <item x="390"/>
        <item x="135"/>
        <item x="608"/>
        <item x="2815"/>
        <item x="2066"/>
        <item x="554"/>
        <item x="2523"/>
        <item x="2138"/>
        <item x="2052"/>
        <item x="1190"/>
        <item x="1889"/>
        <item x="2129"/>
        <item x="113"/>
        <item x="960"/>
        <item x="178"/>
        <item x="718"/>
        <item x="2919"/>
        <item x="290"/>
        <item x="2835"/>
        <item x="1458"/>
        <item x="180"/>
        <item x="1274"/>
        <item x="2566"/>
        <item x="2778"/>
        <item x="981"/>
        <item x="997"/>
        <item x="2452"/>
        <item x="2929"/>
        <item x="838"/>
        <item x="1123"/>
        <item x="1715"/>
        <item x="1658"/>
        <item x="2127"/>
        <item x="1857"/>
        <item x="2719"/>
        <item x="2508"/>
        <item x="439"/>
        <item x="2505"/>
        <item x="1819"/>
        <item x="484"/>
        <item x="438"/>
        <item x="131"/>
        <item x="1921"/>
        <item x="1702"/>
        <item x="1266"/>
        <item x="1759"/>
        <item x="1028"/>
        <item x="1469"/>
        <item x="1756"/>
        <item x="195"/>
        <item x="2519"/>
        <item x="2346"/>
        <item x="984"/>
        <item x="1022"/>
        <item x="24"/>
        <item x="678"/>
        <item x="278"/>
        <item x="1689"/>
        <item x="182"/>
        <item x="1830"/>
        <item x="128"/>
        <item x="1349"/>
        <item x="2311"/>
        <item x="646"/>
        <item x="1468"/>
        <item x="742"/>
        <item x="289"/>
        <item x="2302"/>
        <item x="903"/>
        <item x="2756"/>
        <item x="2885"/>
        <item x="98"/>
        <item x="835"/>
        <item x="1681"/>
        <item x="266"/>
        <item x="170"/>
        <item x="68"/>
        <item x="1315"/>
        <item x="706"/>
        <item x="2292"/>
        <item x="752"/>
        <item x="2331"/>
        <item x="1631"/>
        <item x="2602"/>
        <item x="700"/>
        <item x="2156"/>
        <item x="1815"/>
        <item x="1015"/>
        <item x="1891"/>
        <item x="2263"/>
        <item x="1498"/>
        <item x="2067"/>
        <item x="138"/>
        <item x="1698"/>
        <item x="2879"/>
        <item x="291"/>
        <item x="298"/>
        <item x="1579"/>
        <item x="2457"/>
        <item x="2301"/>
        <item x="1346"/>
        <item x="809"/>
        <item x="2105"/>
        <item x="1327"/>
        <item x="425"/>
        <item x="522"/>
        <item x="1519"/>
        <item x="1863"/>
        <item x="2017"/>
        <item x="1851"/>
        <item x="1255"/>
        <item x="2363"/>
        <item x="581"/>
        <item x="1792"/>
        <item x="1390"/>
        <item x="2738"/>
        <item x="2038"/>
        <item x="2013"/>
        <item x="2511"/>
        <item x="361"/>
        <item x="1011"/>
        <item x="2221"/>
        <item x="2272"/>
        <item x="386"/>
        <item x="1720"/>
        <item x="794"/>
        <item x="2837"/>
        <item x="1152"/>
        <item x="321"/>
        <item x="1708"/>
        <item x="729"/>
        <item x="66"/>
        <item x="1700"/>
        <item x="685"/>
        <item x="59"/>
        <item x="707"/>
        <item x="2629"/>
        <item x="2317"/>
        <item x="2303"/>
        <item x="358"/>
        <item x="8"/>
        <item x="2648"/>
        <item x="2705"/>
        <item x="1120"/>
        <item x="233"/>
        <item x="1131"/>
        <item x="1195"/>
        <item x="693"/>
        <item x="1499"/>
        <item x="2569"/>
        <item x="2285"/>
        <item x="2309"/>
        <item x="393"/>
        <item x="1404"/>
        <item x="1592"/>
        <item x="2108"/>
        <item x="2049"/>
        <item x="2181"/>
        <item x="2708"/>
        <item x="405"/>
        <item x="1753"/>
        <item x="1642"/>
        <item x="2176"/>
        <item x="1852"/>
        <item x="2036"/>
        <item x="1302"/>
        <item x="2382"/>
        <item x="2061"/>
        <item x="1354"/>
        <item x="2201"/>
        <item x="508"/>
        <item x="2087"/>
        <item x="2665"/>
        <item x="411"/>
        <item x="666"/>
        <item x="1886"/>
        <item x="1714"/>
        <item x="2334"/>
        <item x="1003"/>
        <item x="77"/>
        <item x="866"/>
        <item x="2462"/>
        <item x="436"/>
        <item x="1129"/>
        <item x="714"/>
        <item x="2357"/>
        <item x="1200"/>
        <item x="1981"/>
        <item x="2673"/>
        <item x="1540"/>
        <item x="1962"/>
        <item x="1502"/>
        <item x="1139"/>
        <item x="501"/>
        <item x="1660"/>
        <item x="1589"/>
        <item x="974"/>
        <item x="2085"/>
        <item x="875"/>
        <item x="887"/>
        <item x="1903"/>
        <item x="2560"/>
        <item x="1604"/>
        <item x="2143"/>
        <item x="73"/>
        <item x="1839"/>
        <item x="332"/>
        <item x="2047"/>
        <item x="87"/>
        <item x="891"/>
        <item x="228"/>
        <item x="1385"/>
        <item x="1371"/>
        <item x="897"/>
        <item x="812"/>
        <item x="2423"/>
        <item x="851"/>
        <item x="736"/>
        <item x="1637"/>
        <item x="341"/>
        <item x="375"/>
        <item x="748"/>
        <item x="1849"/>
        <item x="2091"/>
        <item x="2359"/>
        <item x="820"/>
        <item x="768"/>
        <item x="470"/>
        <item x="2776"/>
        <item x="807"/>
        <item x="675"/>
        <item x="2631"/>
        <item x="2912"/>
        <item x="29"/>
        <item x="682"/>
        <item x="802"/>
        <item x="7"/>
        <item x="1572"/>
        <item x="2761"/>
        <item x="2004"/>
        <item x="1588"/>
        <item x="1696"/>
        <item x="2862"/>
        <item x="2916"/>
        <item x="2796"/>
        <item x="1684"/>
        <item x="965"/>
        <item x="382"/>
        <item x="2587"/>
        <item x="2483"/>
        <item x="2522"/>
        <item x="709"/>
        <item x="2683"/>
        <item x="2622"/>
        <item x="474"/>
        <item x="391"/>
        <item x="2687"/>
        <item x="181"/>
        <item x="2319"/>
        <item x="1357"/>
        <item x="262"/>
        <item x="908"/>
        <item x="1664"/>
        <item x="1691"/>
        <item x="476"/>
        <item x="547"/>
        <item x="2330"/>
        <item x="1339"/>
        <item x="2591"/>
        <item x="1234"/>
        <item x="310"/>
        <item x="217"/>
        <item x="2866"/>
        <item x="1673"/>
        <item x="2618"/>
        <item x="680"/>
        <item x="2812"/>
        <item x="1037"/>
        <item x="913"/>
        <item x="593"/>
        <item x="1154"/>
        <item x="2732"/>
        <item x="1166"/>
        <item x="1537"/>
        <item x="819"/>
        <item x="2472"/>
        <item x="2777"/>
        <item x="2733"/>
        <item x="2859"/>
        <item x="1966"/>
        <item x="1338"/>
        <item x="604"/>
        <item x="1138"/>
        <item x="2521"/>
        <item x="2833"/>
        <item x="879"/>
        <item x="786"/>
        <item x="2644"/>
        <item x="847"/>
        <item x="2594"/>
        <item x="1053"/>
        <item x="1541"/>
        <item x="1318"/>
        <item x="5"/>
        <item x="979"/>
        <item x="1585"/>
        <item x="2034"/>
        <item x="1678"/>
        <item x="1643"/>
        <item x="2180"/>
        <item x="1060"/>
        <item x="1336"/>
        <item x="1334"/>
        <item x="2438"/>
        <item x="338"/>
        <item x="2076"/>
        <item x="1396"/>
        <item x="388"/>
        <item x="408"/>
        <item x="2198"/>
        <item x="2774"/>
        <item x="1755"/>
        <item x="1804"/>
        <item x="459"/>
        <item x="1743"/>
        <item x="1679"/>
        <item x="462"/>
        <item x="1473"/>
        <item x="509"/>
        <item x="1930"/>
        <item x="2295"/>
        <item x="83"/>
        <item x="1216"/>
        <item x="2684"/>
        <item x="2736"/>
        <item x="746"/>
        <item x="203"/>
        <item x="2120"/>
        <item x="2139"/>
        <item x="2485"/>
        <item x="2102"/>
        <item x="1281"/>
        <item x="2838"/>
        <item x="96"/>
        <item x="1075"/>
        <item x="245"/>
        <item x="1485"/>
        <item x="2754"/>
        <item x="1110"/>
        <item x="210"/>
        <item x="491"/>
        <item x="441"/>
        <item x="1788"/>
        <item x="627"/>
        <item x="2567"/>
        <item x="720"/>
        <item x="343"/>
        <item x="55"/>
        <item x="410"/>
        <item x="1148"/>
        <item x="464"/>
        <item x="732"/>
        <item x="1625"/>
        <item x="2473"/>
        <item x="126"/>
        <item x="2784"/>
        <item x="2713"/>
        <item x="472"/>
        <item x="2642"/>
        <item x="1407"/>
        <item x="684"/>
        <item x="1532"/>
        <item x="1901"/>
        <item x="1412"/>
        <item x="2922"/>
        <item x="2310"/>
        <item x="2892"/>
        <item x="156"/>
        <item x="2771"/>
        <item x="2304"/>
        <item x="2530"/>
        <item x="1943"/>
        <item x="2242"/>
        <item x="643"/>
        <item x="1393"/>
        <item x="225"/>
        <item x="2395"/>
        <item x="2172"/>
        <item x="2542"/>
        <item x="1812"/>
        <item x="1061"/>
        <item x="2607"/>
        <item x="221"/>
        <item x="1747"/>
        <item x="2401"/>
        <item x="1767"/>
        <item x="1018"/>
        <item x="1386"/>
        <item x="1369"/>
        <item x="1381"/>
        <item x="743"/>
        <item x="2412"/>
        <item x="2593"/>
        <item x="592"/>
        <item x="1879"/>
        <item x="895"/>
        <item x="2760"/>
        <item x="1635"/>
        <item x="1277"/>
        <item x="2752"/>
        <item x="2042"/>
        <item x="1831"/>
        <item x="1024"/>
        <item x="1772"/>
        <item x="2000"/>
        <item x="2125"/>
        <item x="724"/>
        <item x="312"/>
        <item x="2232"/>
        <item x="2691"/>
        <item x="815"/>
        <item x="213"/>
        <item x="2625"/>
        <item x="218"/>
        <item x="2106"/>
        <item x="1808"/>
        <item x="422"/>
        <item x="760"/>
        <item x="2471"/>
        <item x="771"/>
        <item x="2659"/>
        <item x="679"/>
        <item x="1528"/>
        <item x="1452"/>
        <item x="2080"/>
        <item x="72"/>
        <item x="2565"/>
        <item x="651"/>
        <item x="793"/>
        <item x="20"/>
        <item x="1500"/>
        <item x="1835"/>
        <item x="2855"/>
        <item x="2213"/>
        <item x="702"/>
        <item x="2276"/>
        <item x="1309"/>
        <item x="2696"/>
        <item x="2609"/>
        <item x="418"/>
        <item x="2429"/>
        <item x="548"/>
        <item x="1045"/>
        <item x="560"/>
        <item x="2353"/>
        <item x="2236"/>
        <item x="808"/>
        <item x="1096"/>
        <item x="871"/>
        <item x="612"/>
        <item x="1276"/>
        <item x="657"/>
        <item x="1810"/>
        <item x="2396"/>
        <item x="1289"/>
        <item x="101"/>
        <item x="1230"/>
        <item x="551"/>
        <item x="2674"/>
        <item x="1844"/>
        <item x="251"/>
        <item x="1333"/>
        <item x="823"/>
        <item x="694"/>
        <item x="873"/>
        <item x="2350"/>
        <item x="2695"/>
        <item x="373"/>
        <item x="451"/>
        <item x="2470"/>
        <item x="2"/>
        <item x="1580"/>
        <item x="2119"/>
        <item x="1023"/>
        <item x="697"/>
        <item x="1496"/>
        <item x="2142"/>
        <item x="1824"/>
        <item x="764"/>
        <item x="1058"/>
        <item x="1570"/>
        <item x="862"/>
        <item x="1967"/>
        <item x="901"/>
        <item x="191"/>
        <item x="2264"/>
        <item x="2308"/>
        <item x="67"/>
        <item x="540"/>
        <item x="463"/>
        <item x="950"/>
        <item x="1341"/>
        <item x="31"/>
        <item x="2524"/>
        <item x="1527"/>
        <item x="1108"/>
        <item x="348"/>
        <item x="1910"/>
        <item x="1443"/>
        <item x="976"/>
        <item x="1598"/>
        <item x="2490"/>
        <item x="531"/>
        <item x="1699"/>
        <item x="1430"/>
        <item x="1259"/>
        <item x="2356"/>
        <item x="2152"/>
        <item x="2861"/>
        <item x="991"/>
        <item x="1513"/>
        <item x="1890"/>
        <item x="1112"/>
        <item x="271"/>
        <item x="2899"/>
        <item x="1358"/>
        <item x="12"/>
        <item x="2128"/>
        <item x="2389"/>
        <item x="452"/>
        <item x="110"/>
        <item x="424"/>
        <item x="886"/>
        <item x="1298"/>
        <item x="1051"/>
        <item x="1853"/>
        <item x="2920"/>
        <item x="360"/>
        <item x="231"/>
        <item x="2573"/>
        <item x="306"/>
        <item x="1690"/>
        <item x="2023"/>
        <item x="770"/>
        <item x="1718"/>
        <item x="2813"/>
        <item x="2001"/>
        <item x="2257"/>
        <item x="2660"/>
        <item x="1769"/>
        <item x="2905"/>
        <item x="2873"/>
        <item x="2749"/>
        <item x="2178"/>
        <item x="2321"/>
        <item x="1488"/>
        <item x="2425"/>
        <item x="2116"/>
        <item x="750"/>
        <item x="234"/>
        <item x="1693"/>
        <item x="1550"/>
        <item x="698"/>
        <item x="409"/>
        <item x="2224"/>
        <item x="2019"/>
        <item x="1937"/>
        <item x="1478"/>
        <item x="2024"/>
        <item x="635"/>
        <item x="526"/>
        <item x="647"/>
        <item x="2475"/>
        <item x="2480"/>
        <item x="1063"/>
        <item x="935"/>
        <item x="2702"/>
        <item x="2204"/>
        <item x="1566"/>
        <item x="1536"/>
        <item x="2913"/>
        <item x="57"/>
        <item x="610"/>
        <item x="982"/>
        <item x="407"/>
        <item x="1740"/>
        <item x="331"/>
        <item x="1410"/>
        <item x="2372"/>
        <item x="1735"/>
        <item x="17"/>
        <item x="1161"/>
        <item x="253"/>
        <item x="619"/>
        <item x="2541"/>
        <item x="2427"/>
        <item x="1197"/>
        <item x="2371"/>
        <item x="577"/>
        <item x="2611"/>
        <item x="2824"/>
        <item x="1052"/>
        <item x="574"/>
        <item x="1248"/>
        <item x="1104"/>
        <item x="447"/>
        <item x="2711"/>
        <item x="690"/>
        <item x="739"/>
        <item x="2546"/>
        <item x="1952"/>
        <item x="1823"/>
        <item x="1477"/>
        <item x="2636"/>
        <item x="227"/>
        <item x="1086"/>
        <item x="614"/>
        <item x="1057"/>
        <item x="2115"/>
        <item x="256"/>
        <item x="342"/>
        <item x="359"/>
        <item x="2003"/>
        <item x="617"/>
        <item x="1914"/>
        <item x="1146"/>
        <item x="2597"/>
        <item x="2620"/>
        <item x="2259"/>
        <item x="2323"/>
        <item x="1925"/>
        <item x="814"/>
        <item x="1847"/>
        <item x="573"/>
        <item x="689"/>
        <item x="1858"/>
        <item x="2656"/>
        <item x="1682"/>
        <item x="502"/>
        <item x="537"/>
        <item x="2783"/>
        <item x="2500"/>
        <item x="1035"/>
        <item x="235"/>
        <item x="641"/>
        <item x="2688"/>
        <item x="32"/>
        <item x="2746"/>
        <item x="1906"/>
        <item x="2884"/>
        <item x="1607"/>
        <item x="1787"/>
        <item x="520"/>
        <item x="2773"/>
        <item x="1558"/>
        <item x="206"/>
        <item x="1619"/>
        <item x="1603"/>
        <item x="1257"/>
        <item x="2431"/>
        <item x="94"/>
        <item x="2296"/>
        <item x="2555"/>
        <item x="2025"/>
        <item x="523"/>
        <item x="2098"/>
        <item x="2020"/>
        <item x="790"/>
        <item x="2092"/>
        <item x="1634"/>
        <item x="263"/>
        <item x="1290"/>
        <item x="1265"/>
        <item x="323"/>
        <item x="931"/>
        <item x="1821"/>
        <item x="396"/>
        <item x="2290"/>
        <item x="659"/>
        <item x="2690"/>
        <item x="1475"/>
        <item x="1394"/>
        <item x="1790"/>
        <item x="261"/>
        <item x="630"/>
        <item x="1654"/>
        <item x="2850"/>
        <item x="940"/>
        <item x="853"/>
        <item x="259"/>
        <item x="2576"/>
        <item x="2488"/>
        <item x="1881"/>
        <item x="946"/>
        <item x="1872"/>
        <item x="1806"/>
        <item x="1484"/>
        <item x="953"/>
        <item x="2923"/>
        <item x="485"/>
        <item x="1954"/>
        <item x="1491"/>
        <item x="48"/>
        <item x="1602"/>
        <item x="1124"/>
        <item x="1157"/>
        <item x="494"/>
        <item x="766"/>
        <item x="932"/>
        <item x="1465"/>
        <item x="2535"/>
        <item x="47"/>
        <item x="194"/>
        <item x="668"/>
        <item x="1144"/>
        <item x="564"/>
        <item x="800"/>
        <item x="664"/>
        <item x="1461"/>
        <item x="2210"/>
        <item x="275"/>
        <item x="1099"/>
        <item x="34"/>
        <item x="2055"/>
        <item x="1837"/>
        <item x="1487"/>
        <item x="1482"/>
        <item x="2099"/>
        <item x="1709"/>
        <item x="1905"/>
        <item x="2507"/>
        <item x="134"/>
        <item x="2677"/>
        <item x="1662"/>
        <item x="1726"/>
        <item x="1520"/>
        <item x="543"/>
        <item x="286"/>
        <item x="962"/>
        <item x="51"/>
        <item x="2647"/>
        <item x="1456"/>
        <item x="1088"/>
        <item x="943"/>
        <item x="2675"/>
        <item x="2721"/>
        <item x="586"/>
        <item x="2376"/>
        <item x="1221"/>
        <item x="821"/>
        <item x="621"/>
        <item x="471"/>
        <item x="1043"/>
        <item x="1133"/>
        <item x="2544"/>
        <item x="1605"/>
        <item x="1782"/>
        <item x="2482"/>
        <item x="2661"/>
        <item x="2663"/>
        <item x="2821"/>
        <item x="1254"/>
        <item x="1261"/>
        <item x="1704"/>
        <item x="1869"/>
        <item x="2606"/>
        <item x="2006"/>
        <item x="1621"/>
        <item x="1968"/>
        <item x="2366"/>
        <item x="2131"/>
        <item x="512"/>
        <item x="532"/>
        <item x="2111"/>
        <item x="2174"/>
        <item x="528"/>
        <item x="1629"/>
        <item x="1893"/>
        <item x="1379"/>
        <item x="2442"/>
        <item x="1047"/>
        <item x="3"/>
        <item x="2316"/>
        <item x="2239"/>
        <item x="1457"/>
        <item x="1275"/>
        <item x="1436"/>
        <item x="2424"/>
        <item x="1300"/>
        <item x="477"/>
        <item x="1184"/>
        <item x="1918"/>
        <item x="1507"/>
        <item x="2260"/>
        <item x="995"/>
        <item x="2278"/>
        <item x="1728"/>
        <item x="1299"/>
        <item x="2757"/>
        <item x="479"/>
        <item x="1306"/>
        <item x="353"/>
        <item x="1078"/>
        <item x="2581"/>
        <item x="183"/>
        <item x="744"/>
        <item x="780"/>
        <item x="349"/>
        <item x="1875"/>
        <item x="187"/>
        <item x="1797"/>
        <item x="1162"/>
        <item x="2228"/>
        <item x="1694"/>
        <item x="273"/>
        <item x="1409"/>
        <item x="127"/>
        <item x="2466"/>
        <item x="801"/>
        <item x="858"/>
        <item x="2489"/>
        <item x="223"/>
        <item x="1794"/>
        <item x="1649"/>
        <item x="255"/>
        <item x="2664"/>
        <item x="1170"/>
        <item x="276"/>
        <item x="795"/>
        <item x="272"/>
        <item x="2846"/>
        <item x="1770"/>
        <item x="132"/>
        <item x="237"/>
        <item x="1364"/>
        <item x="889"/>
        <item x="2682"/>
        <item x="2849"/>
        <item x="1737"/>
        <item x="404"/>
        <item x="525"/>
        <item x="1036"/>
        <item x="2054"/>
        <item x="2145"/>
        <item x="2494"/>
        <item x="1545"/>
        <item x="699"/>
        <item x="33"/>
        <item x="1534"/>
        <item x="2527"/>
        <item x="1987"/>
        <item x="868"/>
        <item x="384"/>
        <item x="817"/>
        <item x="2613"/>
        <item x="1583"/>
        <item x="137"/>
        <item x="1313"/>
        <item x="1392"/>
        <item x="2770"/>
        <item x="1182"/>
        <item x="546"/>
        <item x="1395"/>
        <item x="846"/>
        <item x="2722"/>
        <item x="374"/>
        <item x="2639"/>
        <item x="778"/>
        <item x="2177"/>
        <item x="1176"/>
        <item x="677"/>
        <item x="1027"/>
        <item x="2640"/>
        <item x="2443"/>
        <item x="1926"/>
        <item t="default"/>
      </items>
    </pivotField>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pivotField dataField="1"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Bill_Amount" fld="10" baseField="0" baseItem="0" numFmtId="16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6EF34CB-E5FA-4048-9B2C-614FC62F057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0:K38" firstHeaderRow="1" firstDataRow="1" firstDataCol="1"/>
  <pivotFields count="15">
    <pivotField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8">
        <item x="0"/>
        <item x="1"/>
        <item x="2"/>
        <item x="3"/>
        <item x="4"/>
        <item x="5"/>
        <item x="6"/>
        <item t="default"/>
      </items>
    </pivotField>
    <pivotField showAll="0">
      <items count="3">
        <item x="1"/>
        <item x="0"/>
        <item t="default"/>
      </items>
    </pivotField>
    <pivotField axis="axisRow" showAll="0">
      <items count="8">
        <item x="5"/>
        <item x="1"/>
        <item x="6"/>
        <item x="4"/>
        <item x="3"/>
        <item x="2"/>
        <item x="0"/>
        <item t="default"/>
      </items>
    </pivotField>
    <pivotField showAll="0">
      <items count="2931">
        <item x="1083"/>
        <item x="152"/>
        <item x="28"/>
        <item x="1002"/>
        <item x="2652"/>
        <item x="939"/>
        <item x="2286"/>
        <item x="442"/>
        <item x="339"/>
        <item x="713"/>
        <item x="292"/>
        <item x="368"/>
        <item x="387"/>
        <item x="1442"/>
        <item x="2836"/>
        <item x="136"/>
        <item x="676"/>
        <item x="2407"/>
        <item x="453"/>
        <item x="1978"/>
        <item x="822"/>
        <item x="1031"/>
        <item x="2179"/>
        <item x="633"/>
        <item x="2486"/>
        <item x="892"/>
        <item x="511"/>
        <item x="1561"/>
        <item x="2818"/>
        <item x="2782"/>
        <item x="367"/>
        <item x="322"/>
        <item x="305"/>
        <item x="209"/>
        <item x="398"/>
        <item x="1187"/>
        <item x="2021"/>
        <item x="2755"/>
        <item x="1982"/>
        <item x="2766"/>
        <item x="2370"/>
        <item x="1758"/>
        <item x="1581"/>
        <item x="727"/>
        <item x="549"/>
        <item x="158"/>
        <item x="1062"/>
        <item x="1471"/>
        <item x="1270"/>
        <item x="2841"/>
        <item x="1717"/>
        <item x="2667"/>
        <item x="2657"/>
        <item x="1125"/>
        <item x="2159"/>
        <item x="968"/>
        <item x="2810"/>
        <item x="2737"/>
        <item x="2549"/>
        <item x="2404"/>
        <item x="1130"/>
        <item x="333"/>
        <item x="1626"/>
        <item x="927"/>
        <item x="947"/>
        <item x="1486"/>
        <item x="2918"/>
        <item x="855"/>
        <item x="857"/>
        <item x="1514"/>
        <item x="1778"/>
        <item x="2868"/>
        <item x="199"/>
        <item x="351"/>
        <item x="2002"/>
        <item x="488"/>
        <item x="1624"/>
        <item x="328"/>
        <item x="1343"/>
        <item x="515"/>
        <item x="2072"/>
        <item x="1250"/>
        <item x="1928"/>
        <item x="890"/>
        <item x="2834"/>
        <item x="622"/>
        <item x="2381"/>
        <item x="2492"/>
        <item x="845"/>
        <item x="2645"/>
        <item x="2734"/>
        <item x="2545"/>
        <item x="2074"/>
        <item x="347"/>
        <item x="2200"/>
        <item x="2355"/>
        <item x="377"/>
        <item x="2078"/>
        <item x="1188"/>
        <item x="1809"/>
        <item x="2418"/>
        <item x="1370"/>
        <item x="38"/>
        <item x="2780"/>
        <item x="1980"/>
        <item x="2534"/>
        <item x="1180"/>
        <item x="1286"/>
        <item x="2313"/>
        <item x="1786"/>
        <item x="1623"/>
        <item x="2797"/>
        <item x="2268"/>
        <item x="922"/>
        <item x="270"/>
        <item x="952"/>
        <item x="1115"/>
        <item x="30"/>
        <item x="177"/>
        <item x="2599"/>
        <item x="829"/>
        <item x="848"/>
        <item x="2173"/>
        <item x="2584"/>
        <item x="2185"/>
        <item x="1775"/>
        <item x="1648"/>
        <item x="2305"/>
        <item x="2271"/>
        <item x="88"/>
        <item x="205"/>
        <item x="755"/>
        <item x="184"/>
        <item x="475"/>
        <item x="2126"/>
        <item x="1590"/>
        <item x="2030"/>
        <item x="2151"/>
        <item x="1375"/>
        <item x="246"/>
        <item x="1223"/>
        <item x="753"/>
        <item x="2247"/>
        <item x="898"/>
        <item x="1916"/>
        <item x="2117"/>
        <item x="1168"/>
        <item x="1081"/>
        <item x="1411"/>
        <item x="1574"/>
        <item x="1109"/>
        <item x="2251"/>
        <item x="148"/>
        <item x="340"/>
        <item x="2641"/>
        <item x="226"/>
        <item x="129"/>
        <item x="157"/>
        <item x="1137"/>
        <item x="558"/>
        <item x="2768"/>
        <item x="831"/>
        <item x="1738"/>
        <item x="61"/>
        <item x="1957"/>
        <item x="1511"/>
        <item x="108"/>
        <item x="2009"/>
        <item x="274"/>
        <item x="164"/>
        <item x="295"/>
        <item x="1798"/>
        <item x="1887"/>
        <item x="930"/>
        <item x="1439"/>
        <item x="2191"/>
        <item x="1479"/>
        <item x="1175"/>
        <item x="1551"/>
        <item x="2921"/>
        <item x="1877"/>
        <item x="41"/>
        <item x="1032"/>
        <item x="400"/>
        <item x="2461"/>
        <item x="2621"/>
        <item x="2369"/>
        <item x="1368"/>
        <item x="2340"/>
        <item x="1432"/>
        <item x="2409"/>
        <item x="2548"/>
        <item x="784"/>
        <item x="1236"/>
        <item x="151"/>
        <item x="1562"/>
        <item x="544"/>
        <item x="738"/>
        <item x="489"/>
        <item x="1816"/>
        <item x="2223"/>
        <item x="2582"/>
        <item x="2378"/>
        <item x="870"/>
        <item x="2881"/>
        <item x="2197"/>
        <item x="998"/>
        <item x="578"/>
        <item x="1885"/>
        <item x="189"/>
        <item x="1719"/>
        <item x="2012"/>
        <item x="2014"/>
        <item x="155"/>
        <item x="1793"/>
        <item x="356"/>
        <item x="2604"/>
        <item x="1510"/>
        <item x="1084"/>
        <item x="1344"/>
        <item x="1575"/>
        <item x="145"/>
        <item x="2848"/>
        <item x="2387"/>
        <item x="1599"/>
        <item x="1203"/>
        <item x="1505"/>
        <item x="1016"/>
        <item x="2886"/>
        <item x="2820"/>
        <item x="1360"/>
        <item x="2220"/>
        <item x="1321"/>
        <item x="297"/>
        <item x="85"/>
        <item x="354"/>
        <item x="2390"/>
        <item x="1304"/>
        <item x="320"/>
        <item x="311"/>
        <item x="2045"/>
        <item x="2158"/>
        <item x="1151"/>
        <item x="1441"/>
        <item x="2005"/>
        <item x="2432"/>
        <item x="1559"/>
        <item x="500"/>
        <item x="884"/>
        <item x="2347"/>
        <item x="843"/>
        <item x="2410"/>
        <item x="458"/>
        <item x="1014"/>
        <item x="2328"/>
        <item x="2077"/>
        <item x="1194"/>
        <item x="186"/>
        <item x="1174"/>
        <item x="2008"/>
        <item x="2603"/>
        <item x="716"/>
        <item x="1711"/>
        <item x="603"/>
        <item x="1352"/>
        <item x="1267"/>
        <item x="656"/>
        <item x="1776"/>
        <item x="2666"/>
        <item x="2348"/>
        <item x="1754"/>
        <item x="1765"/>
        <item x="1427"/>
        <item x="667"/>
        <item x="636"/>
        <item x="1447"/>
        <item x="663"/>
        <item x="2441"/>
        <item x="2445"/>
        <item x="966"/>
        <item x="1331"/>
        <item x="1632"/>
        <item x="2284"/>
        <item x="2454"/>
        <item x="1142"/>
        <item x="810"/>
        <item x="1"/>
        <item x="637"/>
        <item x="2484"/>
        <item x="1734"/>
        <item x="1335"/>
        <item x="878"/>
        <item x="602"/>
        <item x="2700"/>
        <item x="1450"/>
        <item x="2497"/>
        <item x="1316"/>
        <item x="899"/>
        <item x="1305"/>
        <item x="609"/>
        <item x="2170"/>
        <item x="2583"/>
        <item x="1509"/>
        <item x="1073"/>
        <item x="1444"/>
        <item x="595"/>
        <item x="1525"/>
        <item x="1533"/>
        <item x="559"/>
        <item x="849"/>
        <item x="654"/>
        <item x="395"/>
        <item x="2716"/>
        <item x="792"/>
        <item x="1440"/>
        <item x="1106"/>
        <item x="2226"/>
        <item x="776"/>
        <item x="1373"/>
        <item x="2209"/>
        <item x="2349"/>
        <item x="2026"/>
        <item x="2022"/>
        <item x="638"/>
        <item x="535"/>
        <item x="240"/>
        <item x="2162"/>
        <item x="2274"/>
        <item x="115"/>
        <item x="167"/>
        <item x="2059"/>
        <item x="414"/>
        <item x="503"/>
        <item x="2590"/>
        <item x="2869"/>
        <item x="2827"/>
        <item x="2571"/>
        <item x="1225"/>
        <item x="2908"/>
        <item x="2217"/>
        <item x="1215"/>
        <item x="2018"/>
        <item x="1038"/>
        <item x="767"/>
        <item x="201"/>
        <item x="877"/>
        <item x="2144"/>
        <item x="1802"/>
        <item x="284"/>
        <item x="1948"/>
        <item x="642"/>
        <item x="758"/>
        <item x="1600"/>
        <item x="859"/>
        <item x="1628"/>
        <item x="232"/>
        <item x="2689"/>
        <item x="2779"/>
        <item x="785"/>
        <item x="1490"/>
        <item x="2807"/>
        <item x="449"/>
        <item x="1739"/>
        <item x="2856"/>
        <item x="2798"/>
        <item x="1332"/>
        <item x="2669"/>
        <item x="1950"/>
        <item x="876"/>
        <item x="2294"/>
        <item x="2799"/>
        <item x="1503"/>
        <item x="1268"/>
        <item x="198"/>
        <item x="1548"/>
        <item x="2449"/>
        <item x="580"/>
        <item x="2203"/>
        <item x="309"/>
        <item x="880"/>
        <item x="118"/>
        <item x="2900"/>
        <item x="2793"/>
        <item x="329"/>
        <item x="2122"/>
        <item x="839"/>
        <item x="1836"/>
        <item x="721"/>
        <item x="2384"/>
        <item x="1876"/>
        <item x="1219"/>
        <item x="2586"/>
        <item x="761"/>
        <item x="1752"/>
        <item x="330"/>
        <item x="435"/>
        <item x="318"/>
        <item x="1417"/>
        <item x="2589"/>
        <item x="787"/>
        <item x="552"/>
        <item x="481"/>
        <item x="1953"/>
        <item x="49"/>
        <item x="2476"/>
        <item x="1974"/>
        <item x="715"/>
        <item x="921"/>
        <item x="1515"/>
        <item x="1861"/>
        <item x="1272"/>
        <item x="934"/>
        <item x="1587"/>
        <item x="2148"/>
        <item x="2506"/>
        <item x="2364"/>
        <item x="2250"/>
        <item x="2843"/>
        <item x="1218"/>
        <item x="2428"/>
        <item x="125"/>
        <item x="2377"/>
        <item x="1543"/>
        <item x="1606"/>
        <item x="2764"/>
        <item x="2844"/>
        <item x="2632"/>
        <item x="1713"/>
        <item x="2715"/>
        <item x="336"/>
        <item x="2851"/>
        <item x="317"/>
        <item x="938"/>
        <item x="1204"/>
        <item x="2015"/>
        <item x="1938"/>
        <item x="1005"/>
        <item x="2188"/>
        <item x="513"/>
        <item x="534"/>
        <item x="1669"/>
        <item x="1426"/>
        <item x="1179"/>
        <item x="2380"/>
        <item x="389"/>
        <item x="1827"/>
        <item x="120"/>
        <item x="2600"/>
        <item x="1685"/>
        <item x="2289"/>
        <item x="1156"/>
        <item x="1934"/>
        <item x="154"/>
        <item x="2070"/>
        <item x="1118"/>
        <item x="1986"/>
        <item x="2531"/>
        <item x="1119"/>
        <item x="2853"/>
        <item x="1994"/>
        <item x="2499"/>
        <item x="629"/>
        <item x="2891"/>
        <item x="1402"/>
        <item x="36"/>
        <item x="419"/>
        <item x="1243"/>
        <item x="2753"/>
        <item x="1781"/>
        <item x="2832"/>
        <item x="869"/>
        <item x="2354"/>
        <item x="824"/>
        <item x="648"/>
        <item x="130"/>
        <item x="1007"/>
        <item x="955"/>
        <item x="2184"/>
        <item x="454"/>
        <item x="2149"/>
        <item x="160"/>
        <item x="74"/>
        <item x="912"/>
        <item x="2031"/>
        <item x="2124"/>
        <item x="69"/>
        <item x="1228"/>
        <item x="2333"/>
        <item x="168"/>
        <item x="2917"/>
        <item x="1854"/>
        <item x="1730"/>
        <item x="2662"/>
        <item x="2653"/>
        <item x="2169"/>
        <item x="1578"/>
        <item x="42"/>
        <item x="2502"/>
        <item x="834"/>
        <item x="2880"/>
        <item x="1297"/>
        <item x="370"/>
        <item x="2282"/>
        <item x="1365"/>
        <item x="2572"/>
        <item x="2291"/>
        <item x="2073"/>
        <item x="2701"/>
        <item x="772"/>
        <item x="1616"/>
        <item x="6"/>
        <item x="1202"/>
        <item x="1310"/>
        <item x="1001"/>
        <item x="803"/>
        <item x="1990"/>
        <item x="2262"/>
        <item x="2297"/>
        <item x="1688"/>
        <item x="2699"/>
        <item x="1865"/>
        <item x="1611"/>
        <item x="2202"/>
        <item x="2437"/>
        <item x="734"/>
        <item x="1495"/>
        <item x="791"/>
        <item x="1128"/>
        <item x="545"/>
        <item x="2136"/>
        <item x="2189"/>
        <item x="2043"/>
        <item x="1235"/>
        <item x="1025"/>
        <item x="541"/>
        <item x="933"/>
        <item x="945"/>
        <item x="1961"/>
        <item x="1090"/>
        <item x="243"/>
        <item x="437"/>
        <item x="2205"/>
        <item x="2161"/>
        <item x="2088"/>
        <item x="2487"/>
        <item x="1757"/>
        <item x="2133"/>
        <item x="1538"/>
        <item x="2182"/>
        <item x="1729"/>
        <item x="1764"/>
        <item x="555"/>
        <item x="71"/>
        <item x="242"/>
        <item x="468"/>
        <item x="415"/>
        <item x="1050"/>
        <item x="631"/>
        <item x="2103"/>
        <item x="907"/>
        <item x="711"/>
        <item x="1595"/>
        <item x="2680"/>
        <item x="2781"/>
        <item x="2717"/>
        <item x="658"/>
        <item x="2430"/>
        <item x="527"/>
        <item x="1983"/>
        <item x="2337"/>
        <item x="2712"/>
        <item x="1285"/>
        <item x="2805"/>
        <item x="1919"/>
        <item x="751"/>
        <item x="2373"/>
        <item x="2686"/>
        <item x="1692"/>
        <item x="1398"/>
        <item x="589"/>
        <item x="2195"/>
        <item x="681"/>
        <item x="369"/>
        <item x="13"/>
        <item x="2041"/>
        <item x="1811"/>
        <item x="281"/>
        <item x="2190"/>
        <item x="466"/>
        <item x="918"/>
        <item x="1359"/>
        <item x="455"/>
        <item x="378"/>
        <item x="2789"/>
        <item x="2411"/>
        <item x="1173"/>
        <item x="214"/>
        <item x="440"/>
        <item x="989"/>
        <item x="58"/>
        <item x="18"/>
        <item x="2901"/>
        <item x="1435"/>
        <item x="432"/>
        <item x="628"/>
        <item x="2927"/>
        <item x="1462"/>
        <item x="2564"/>
        <item x="1153"/>
        <item x="1609"/>
        <item x="2630"/>
        <item x="2458"/>
        <item x="1828"/>
        <item x="325"/>
        <item x="1565"/>
        <item x="745"/>
        <item x="2710"/>
        <item x="2068"/>
        <item x="2243"/>
        <item x="1564"/>
        <item x="1100"/>
        <item x="836"/>
        <item x="1210"/>
        <item x="1136"/>
        <item x="1805"/>
        <item x="473"/>
        <item x="674"/>
        <item x="2338"/>
        <item x="2672"/>
        <item x="971"/>
        <item x="1092"/>
        <item x="2279"/>
        <item x="2341"/>
        <item x="65"/>
        <item x="254"/>
        <item x="365"/>
        <item x="1324"/>
        <item x="482"/>
        <item x="2536"/>
        <item x="1287"/>
        <item x="173"/>
        <item x="293"/>
        <item x="2032"/>
        <item x="1801"/>
        <item x="2069"/>
        <item x="2193"/>
        <item x="2391"/>
        <item x="1650"/>
        <item x="1242"/>
        <item x="2520"/>
        <item x="1209"/>
        <item x="789"/>
        <item x="1448"/>
        <item x="1246"/>
        <item x="2785"/>
        <item x="394"/>
        <item x="427"/>
        <item x="1211"/>
        <item x="2887"/>
        <item x="1923"/>
        <item x="1091"/>
        <item x="2398"/>
        <item x="2325"/>
        <item x="2515"/>
        <item x="762"/>
        <item x="529"/>
        <item x="2028"/>
        <item x="25"/>
        <item x="2465"/>
        <item x="1618"/>
        <item x="572"/>
        <item x="613"/>
        <item x="1481"/>
        <item x="2426"/>
        <item x="2575"/>
        <item x="416"/>
        <item x="1041"/>
        <item x="1883"/>
        <item x="723"/>
        <item x="448"/>
        <item x="994"/>
        <item x="909"/>
        <item x="1896"/>
        <item x="2130"/>
        <item x="2071"/>
        <item x="1251"/>
        <item x="1483"/>
        <item x="319"/>
        <item x="1518"/>
        <item x="2164"/>
        <item x="1825"/>
        <item x="1399"/>
        <item x="15"/>
        <item x="114"/>
        <item x="2245"/>
        <item x="80"/>
        <item x="2479"/>
        <item x="1547"/>
        <item x="2808"/>
        <item x="2266"/>
        <item x="1059"/>
        <item x="2802"/>
        <item x="623"/>
        <item x="919"/>
        <item x="2383"/>
        <item x="1601"/>
        <item x="2141"/>
        <item x="2318"/>
        <item x="1418"/>
        <item x="1422"/>
        <item x="985"/>
        <item x="865"/>
        <item x="1859"/>
        <item x="2234"/>
        <item x="1911"/>
        <item x="2110"/>
        <item x="2693"/>
        <item x="649"/>
        <item x="1376"/>
        <item x="483"/>
        <item x="2650"/>
        <item x="611"/>
        <item x="2421"/>
        <item x="2882"/>
        <item x="1206"/>
        <item x="1065"/>
        <item x="163"/>
        <item x="2121"/>
        <item x="2800"/>
        <item x="2723"/>
        <item x="2877"/>
        <item x="986"/>
        <item x="316"/>
        <item x="691"/>
        <item x="169"/>
        <item x="2731"/>
        <item x="2051"/>
        <item x="1817"/>
        <item x="2538"/>
        <item x="2801"/>
        <item x="594"/>
        <item x="1610"/>
        <item x="788"/>
        <item x="825"/>
        <item x="816"/>
        <item x="1766"/>
        <item x="1933"/>
        <item x="1252"/>
        <item x="896"/>
        <item x="2763"/>
        <item x="620"/>
        <item x="590"/>
        <item x="2806"/>
        <item x="52"/>
        <item x="861"/>
        <item x="2551"/>
        <item x="2516"/>
        <item x="371"/>
        <item x="202"/>
        <item x="2643"/>
        <item x="381"/>
        <item x="571"/>
        <item x="2685"/>
        <item x="2878"/>
        <item x="1553"/>
        <item x="1245"/>
        <item x="1706"/>
        <item x="102"/>
        <item x="837"/>
        <item x="2365"/>
        <item x="731"/>
        <item x="1526"/>
        <item x="2248"/>
        <item x="914"/>
        <item x="344"/>
        <item x="1141"/>
        <item x="1653"/>
        <item x="1329"/>
        <item x="1613"/>
        <item x="1768"/>
        <item x="978"/>
        <item x="600"/>
        <item x="1670"/>
        <item x="2447"/>
        <item x="224"/>
        <item x="363"/>
        <item x="95"/>
        <item x="2273"/>
        <item x="673"/>
        <item x="1695"/>
        <item x="606"/>
        <item x="710"/>
        <item x="1326"/>
        <item x="63"/>
        <item x="1449"/>
        <item x="686"/>
        <item x="828"/>
        <item x="514"/>
        <item x="2267"/>
        <item x="1132"/>
        <item x="2588"/>
        <item x="2537"/>
        <item x="872"/>
        <item x="1955"/>
        <item x="480"/>
        <item x="1382"/>
        <item x="2510"/>
        <item x="954"/>
        <item x="2053"/>
        <item x="893"/>
        <item x="2547"/>
        <item x="539"/>
        <item x="2491"/>
        <item x="2035"/>
        <item x="2362"/>
        <item x="2140"/>
        <item x="172"/>
        <item x="1652"/>
        <item x="1959"/>
        <item x="153"/>
        <item x="1107"/>
        <item x="2896"/>
        <item x="904"/>
        <item x="1121"/>
        <item x="2829"/>
        <item x="1701"/>
        <item x="2697"/>
        <item x="2876"/>
        <item x="1822"/>
        <item x="79"/>
        <item x="1342"/>
        <item x="2561"/>
        <item x="2096"/>
        <item x="2444"/>
        <item x="1517"/>
        <item x="2792"/>
        <item x="796"/>
        <item x="988"/>
        <item x="1523"/>
        <item x="2819"/>
        <item x="1549"/>
        <item x="2255"/>
        <item x="2050"/>
        <item x="2814"/>
        <item x="798"/>
        <item x="2845"/>
        <item x="1929"/>
        <item x="346"/>
        <item x="1231"/>
        <item x="1253"/>
        <item x="2114"/>
        <item x="640"/>
        <item x="701"/>
        <item x="1105"/>
        <item x="1944"/>
        <item x="2086"/>
        <item x="238"/>
        <item x="1044"/>
        <item x="2865"/>
        <item x="315"/>
        <item x="1233"/>
        <item x="1744"/>
        <item x="569"/>
        <item x="1213"/>
        <item x="1069"/>
        <item x="992"/>
        <item x="314"/>
        <item x="1040"/>
        <item x="2726"/>
        <item x="1733"/>
        <item x="587"/>
        <item x="779"/>
        <item x="906"/>
        <item x="176"/>
        <item x="2864"/>
        <item x="91"/>
        <item x="1707"/>
        <item x="1350"/>
        <item x="1116"/>
        <item x="1807"/>
        <item x="179"/>
        <item x="1085"/>
        <item x="1833"/>
        <item x="1348"/>
        <item x="1748"/>
        <item x="1591"/>
        <item x="533"/>
        <item x="2543"/>
        <item x="1056"/>
        <item x="712"/>
        <item x="304"/>
        <item x="1655"/>
        <item x="2058"/>
        <item x="2512"/>
        <item x="260"/>
        <item x="392"/>
        <item x="1864"/>
        <item x="1284"/>
        <item x="257"/>
        <item x="2240"/>
        <item x="2397"/>
        <item x="925"/>
        <item x="1445"/>
        <item x="708"/>
        <item x="1856"/>
        <item x="350"/>
        <item x="1647"/>
        <item x="2214"/>
        <item x="1567"/>
        <item x="2610"/>
        <item x="1942"/>
        <item x="2728"/>
        <item x="2336"/>
        <item x="2097"/>
        <item x="2235"/>
        <item x="2601"/>
        <item x="1924"/>
        <item x="2803"/>
        <item x="644"/>
        <item x="1584"/>
        <item x="2730"/>
        <item x="811"/>
        <item x="2160"/>
        <item x="1945"/>
        <item x="1169"/>
        <item x="1227"/>
        <item x="1400"/>
        <item x="1867"/>
        <item x="2368"/>
        <item x="294"/>
        <item x="2750"/>
        <item x="1279"/>
        <item x="1384"/>
        <item x="1072"/>
        <item x="1871"/>
        <item x="2433"/>
        <item x="1723"/>
        <item x="2436"/>
        <item x="2393"/>
        <item x="352"/>
        <item x="165"/>
        <item x="119"/>
        <item x="993"/>
        <item x="2249"/>
        <item x="2739"/>
        <item x="1722"/>
        <item x="450"/>
        <item x="1742"/>
        <item x="2552"/>
        <item x="885"/>
        <item x="1237"/>
        <item x="1732"/>
        <item x="1293"/>
        <item x="990"/>
        <item x="867"/>
        <item x="1150"/>
        <item x="959"/>
        <item x="2010"/>
        <item x="2729"/>
        <item x="1996"/>
        <item x="2888"/>
        <item x="2528"/>
        <item x="175"/>
        <item x="277"/>
        <item x="2089"/>
        <item x="1160"/>
        <item x="1920"/>
        <item x="717"/>
        <item x="2676"/>
        <item x="2147"/>
        <item x="1668"/>
        <item x="1239"/>
        <item x="958"/>
        <item x="2375"/>
        <item x="882"/>
        <item x="1068"/>
        <item x="1971"/>
        <item x="1522"/>
        <item x="109"/>
        <item x="2253"/>
        <item x="1046"/>
        <item x="1975"/>
        <item x="505"/>
        <item x="1080"/>
        <item x="1512"/>
        <item x="1834"/>
        <item x="1405"/>
        <item x="326"/>
        <item x="949"/>
        <item x="2406"/>
        <item x="1163"/>
        <item x="923"/>
        <item x="2910"/>
        <item x="299"/>
        <item x="1415"/>
        <item x="929"/>
        <item x="2254"/>
        <item x="1878"/>
        <item x="2434"/>
        <item x="2265"/>
        <item x="2439"/>
        <item x="324"/>
        <item x="428"/>
        <item x="961"/>
        <item x="467"/>
        <item x="967"/>
        <item x="2386"/>
        <item x="2897"/>
        <item x="1205"/>
        <item x="722"/>
        <item x="2379"/>
        <item x="2518"/>
        <item x="2831"/>
        <item x="850"/>
        <item x="2342"/>
        <item x="1186"/>
        <item x="399"/>
        <item x="2703"/>
        <item x="1796"/>
        <item x="2367"/>
        <item x="498"/>
        <item x="279"/>
        <item x="159"/>
        <item x="1947"/>
        <item x="692"/>
        <item x="1870"/>
        <item x="972"/>
        <item x="1608"/>
        <item x="2007"/>
        <item x="1328"/>
        <item x="443"/>
        <item x="1159"/>
        <item x="1177"/>
        <item x="1425"/>
        <item x="1201"/>
        <item x="2469"/>
        <item x="1362"/>
        <item x="1004"/>
        <item x="2867"/>
        <item x="1686"/>
        <item x="2854"/>
        <item x="1571"/>
        <item x="1880"/>
        <item x="2460"/>
        <item x="2533"/>
        <item x="364"/>
        <item x="121"/>
        <item x="1784"/>
        <item x="1434"/>
        <item x="924"/>
        <item x="219"/>
        <item x="2374"/>
        <item x="2724"/>
        <item x="1446"/>
        <item x="1779"/>
        <item x="1217"/>
        <item x="596"/>
        <item x="1568"/>
        <item x="1917"/>
        <item x="1453"/>
        <item x="2315"/>
        <item x="2233"/>
        <item x="626"/>
        <item x="832"/>
        <item x="665"/>
        <item x="618"/>
        <item x="1855"/>
        <item x="653"/>
        <item x="775"/>
        <item x="507"/>
        <item x="2742"/>
        <item x="1915"/>
        <item x="1008"/>
        <item x="2635"/>
        <item x="2455"/>
        <item x="2744"/>
        <item x="2532"/>
        <item x="2044"/>
        <item x="70"/>
        <item x="2577"/>
        <item x="82"/>
        <item x="2637"/>
        <item x="1111"/>
        <item x="2082"/>
        <item x="1269"/>
        <item x="1122"/>
        <item x="2477"/>
        <item x="704"/>
        <item x="1193"/>
        <item x="747"/>
        <item x="632"/>
        <item x="1516"/>
        <item x="1070"/>
        <item x="1294"/>
        <item x="905"/>
        <item x="2440"/>
        <item x="212"/>
        <item x="1171"/>
        <item x="910"/>
        <item x="2748"/>
        <item x="1423"/>
        <item x="2743"/>
        <item x="1586"/>
        <item x="1424"/>
        <item x="2261"/>
        <item x="1840"/>
        <item x="557"/>
        <item x="1055"/>
        <item x="2230"/>
        <item x="19"/>
        <item x="1167"/>
        <item x="1627"/>
        <item x="1992"/>
        <item x="964"/>
        <item x="1421"/>
        <item x="1054"/>
        <item x="2842"/>
        <item x="917"/>
        <item x="827"/>
        <item x="2787"/>
        <item x="1378"/>
        <item x="161"/>
        <item x="695"/>
        <item x="568"/>
        <item x="2107"/>
        <item x="2335"/>
        <item x="830"/>
        <item x="1463"/>
        <item x="11"/>
        <item x="2762"/>
        <item x="190"/>
        <item x="1895"/>
        <item x="1198"/>
        <item x="1238"/>
        <item x="2826"/>
        <item x="2446"/>
        <item x="2911"/>
        <item x="1969"/>
        <item x="457"/>
        <item x="765"/>
        <item x="497"/>
        <item x="2772"/>
        <item x="2332"/>
        <item x="575"/>
        <item x="92"/>
        <item x="2745"/>
        <item x="1374"/>
        <item x="123"/>
        <item x="777"/>
        <item x="1697"/>
        <item x="1459"/>
        <item x="445"/>
        <item x="2150"/>
        <item x="313"/>
        <item x="2101"/>
        <item x="852"/>
        <item x="1451"/>
        <item x="2903"/>
        <item x="1094"/>
        <item x="2747"/>
        <item x="516"/>
        <item x="1736"/>
        <item x="2692"/>
        <item x="725"/>
        <item x="782"/>
        <item x="1414"/>
        <item x="652"/>
        <item x="2514"/>
        <item x="519"/>
        <item x="567"/>
        <item x="2300"/>
        <item x="688"/>
        <item x="1026"/>
        <item x="883"/>
        <item x="2709"/>
        <item x="200"/>
        <item x="1745"/>
        <item x="2229"/>
        <item x="1582"/>
        <item x="2244"/>
        <item x="1751"/>
        <item x="380"/>
        <item x="1071"/>
        <item x="556"/>
        <item x="236"/>
        <item x="1064"/>
        <item x="1666"/>
        <item x="2137"/>
        <item x="1556"/>
        <item x="117"/>
        <item x="2720"/>
        <item x="1135"/>
        <item x="2394"/>
        <item x="598"/>
        <item x="1687"/>
        <item x="1665"/>
        <item x="2104"/>
        <item x="1724"/>
        <item x="496"/>
        <item x="2093"/>
        <item x="1904"/>
        <item x="2277"/>
        <item x="258"/>
        <item x="854"/>
        <item x="840"/>
        <item x="2791"/>
        <item x="376"/>
        <item x="1474"/>
        <item x="2270"/>
        <item x="1577"/>
        <item x="248"/>
        <item x="2420"/>
        <item x="1480"/>
        <item x="308"/>
        <item x="1677"/>
        <item x="446"/>
        <item x="2402"/>
        <item x="1433"/>
        <item x="2196"/>
        <item x="763"/>
        <item x="1114"/>
        <item x="62"/>
        <item x="1894"/>
        <item x="1387"/>
        <item x="2419"/>
        <item x="1377"/>
        <item x="1615"/>
        <item x="1356"/>
        <item x="987"/>
        <item x="288"/>
        <item x="2596"/>
        <item x="420"/>
        <item x="1389"/>
        <item x="1636"/>
        <item x="2925"/>
        <item x="54"/>
        <item x="2435"/>
        <item x="250"/>
        <item x="1351"/>
        <item x="1560"/>
        <item x="222"/>
        <item x="597"/>
        <item x="2324"/>
        <item x="2655"/>
        <item x="2329"/>
        <item x="1101"/>
        <item x="2280"/>
        <item x="944"/>
        <item x="2875"/>
        <item x="39"/>
        <item x="1899"/>
        <item x="2740"/>
        <item x="247"/>
        <item x="1347"/>
        <item x="421"/>
        <item x="741"/>
        <item x="1145"/>
        <item x="1367"/>
        <item x="703"/>
        <item x="2735"/>
        <item x="230"/>
        <item x="1428"/>
        <item x="1638"/>
        <item x="1995"/>
        <item x="1406"/>
        <item x="562"/>
        <item x="2902"/>
        <item x="2646"/>
        <item x="2671"/>
        <item x="1472"/>
        <item x="1262"/>
        <item x="2360"/>
        <item x="2493"/>
        <item x="1785"/>
        <item x="1985"/>
        <item x="2171"/>
        <item x="2608"/>
        <item x="2100"/>
        <item x="45"/>
        <item x="1476"/>
        <item x="81"/>
        <item x="2451"/>
        <item x="1661"/>
        <item x="193"/>
        <item x="300"/>
        <item x="2415"/>
        <item x="1076"/>
        <item x="2146"/>
        <item x="607"/>
        <item x="696"/>
        <item x="1593"/>
        <item x="2468"/>
        <item x="171"/>
        <item x="1680"/>
        <item x="2459"/>
        <item x="881"/>
        <item x="2928"/>
        <item x="1283"/>
        <item x="103"/>
        <item x="1492"/>
        <item x="2626"/>
        <item x="285"/>
        <item x="1771"/>
        <item x="1117"/>
        <item x="1838"/>
        <item x="1256"/>
        <item x="2649"/>
        <item x="1296"/>
        <item x="2079"/>
        <item x="21"/>
        <item x="268"/>
        <item x="1401"/>
        <item x="1292"/>
        <item x="1716"/>
        <item x="518"/>
        <item x="2870"/>
        <item x="1244"/>
        <item x="1391"/>
        <item x="431"/>
        <item x="941"/>
        <item x="1941"/>
        <item x="133"/>
        <item x="1264"/>
        <item x="1388"/>
        <item x="385"/>
        <item x="1573"/>
        <item x="1542"/>
        <item x="1196"/>
        <item x="140"/>
        <item x="774"/>
        <item x="1873"/>
        <item x="146"/>
        <item x="2889"/>
        <item x="874"/>
        <item x="2727"/>
        <item x="650"/>
        <item x="1355"/>
        <item x="737"/>
        <item x="588"/>
        <item x="2033"/>
        <item x="1017"/>
        <item x="2135"/>
        <item x="2065"/>
        <item x="1907"/>
        <item x="1935"/>
        <item x="2638"/>
        <item x="2562"/>
        <item x="142"/>
        <item x="426"/>
        <item x="980"/>
        <item x="244"/>
        <item x="1882"/>
        <item x="521"/>
        <item x="1620"/>
        <item x="2698"/>
        <item x="2212"/>
        <item x="296"/>
        <item x="1258"/>
        <item x="2790"/>
        <item x="2915"/>
        <item x="100"/>
        <item x="2893"/>
        <item x="671"/>
        <item x="1800"/>
        <item x="1841"/>
        <item x="1506"/>
        <item x="2326"/>
        <item x="806"/>
        <item x="860"/>
        <item x="1721"/>
        <item x="211"/>
        <item x="282"/>
        <item x="1077"/>
        <item x="2464"/>
        <item x="2563"/>
        <item x="50"/>
        <item x="143"/>
        <item x="1529"/>
        <item x="2526"/>
        <item x="2134"/>
        <item x="1317"/>
        <item x="264"/>
        <item x="239"/>
        <item x="1312"/>
        <item x="616"/>
        <item x="1508"/>
        <item x="1596"/>
        <item x="2595"/>
        <item x="2062"/>
        <item x="76"/>
        <item x="1972"/>
        <item x="207"/>
        <item x="2339"/>
        <item x="783"/>
        <item x="1644"/>
        <item x="1419"/>
        <item x="683"/>
        <item x="1939"/>
        <item x="2580"/>
        <item x="2358"/>
        <item x="35"/>
        <item x="1991"/>
        <item x="2225"/>
        <item x="283"/>
        <item x="2361"/>
        <item x="1999"/>
        <item x="1074"/>
        <item x="1413"/>
        <item x="805"/>
        <item x="1783"/>
        <item x="2057"/>
        <item x="2450"/>
        <item x="1501"/>
        <item x="506"/>
        <item x="1095"/>
        <item x="2811"/>
        <item x="2287"/>
        <item x="2816"/>
        <item x="2628"/>
        <item x="26"/>
        <item x="1089"/>
        <item x="757"/>
        <item x="1789"/>
        <item x="1970"/>
        <item x="1097"/>
        <item x="1143"/>
        <item x="583"/>
        <item x="2839"/>
        <item x="460"/>
        <item x="888"/>
        <item x="2822"/>
        <item x="2529"/>
        <item x="1731"/>
        <item x="149"/>
        <item x="1973"/>
        <item x="1020"/>
        <item x="362"/>
        <item x="973"/>
        <item x="2256"/>
        <item x="2219"/>
        <item x="2168"/>
        <item x="2890"/>
        <item x="517"/>
        <item x="2211"/>
        <item x="2165"/>
        <item x="166"/>
        <item x="1576"/>
        <item x="2283"/>
        <item x="1278"/>
        <item x="147"/>
        <item x="2467"/>
        <item x="1988"/>
        <item x="1956"/>
        <item x="2540"/>
        <item x="2860"/>
        <item x="2241"/>
        <item x="799"/>
        <item x="265"/>
        <item x="2759"/>
        <item x="413"/>
        <item x="2269"/>
        <item x="719"/>
        <item x="2414"/>
        <item x="40"/>
        <item x="1103"/>
        <item x="1667"/>
        <item x="1260"/>
        <item x="1185"/>
        <item x="2478"/>
        <item x="754"/>
        <item x="2113"/>
        <item x="2513"/>
        <item x="2616"/>
        <item x="1630"/>
        <item x="1795"/>
        <item x="2619"/>
        <item x="916"/>
        <item x="417"/>
        <item x="661"/>
        <item x="735"/>
        <item x="1535"/>
        <item x="957"/>
        <item x="2495"/>
        <item x="948"/>
        <item x="174"/>
        <item x="2725"/>
        <item x="1622"/>
        <item x="983"/>
        <item x="585"/>
        <item x="2496"/>
        <item x="1366"/>
        <item x="2895"/>
        <item x="728"/>
        <item x="2037"/>
        <item x="307"/>
        <item x="1845"/>
        <item x="430"/>
        <item x="1438"/>
        <item x="2554"/>
        <item x="2416"/>
        <item x="2123"/>
        <item x="2118"/>
        <item x="2408"/>
        <item x="1165"/>
        <item x="1127"/>
        <item x="2011"/>
        <item x="1226"/>
        <item x="487"/>
        <item x="1977"/>
        <item x="1140"/>
        <item x="1814"/>
        <item x="1345"/>
        <item x="1663"/>
        <item x="1727"/>
        <item x="1657"/>
        <item x="1191"/>
        <item x="2413"/>
        <item x="1749"/>
        <item x="1826"/>
        <item x="601"/>
        <item x="2063"/>
        <item x="204"/>
        <item x="818"/>
        <item x="1093"/>
        <item x="1936"/>
        <item x="2894"/>
        <item x="2155"/>
        <item x="144"/>
        <item x="2306"/>
        <item x="2926"/>
        <item x="23"/>
        <item x="582"/>
        <item x="1308"/>
        <item x="996"/>
        <item x="1703"/>
        <item x="1288"/>
        <item x="2186"/>
        <item x="2898"/>
        <item x="1019"/>
        <item x="220"/>
        <item x="104"/>
        <item x="1229"/>
        <item x="2048"/>
        <item x="2207"/>
        <item x="1640"/>
        <item x="2574"/>
        <item x="2231"/>
        <item x="1951"/>
        <item x="2557"/>
        <item x="216"/>
        <item x="493"/>
        <item x="1079"/>
        <item x="2314"/>
        <item x="141"/>
        <item x="584"/>
        <item x="1273"/>
        <item x="1940"/>
        <item x="1049"/>
        <item x="1322"/>
        <item x="1774"/>
        <item x="1363"/>
        <item x="2553"/>
        <item x="1530"/>
        <item x="1922"/>
        <item x="2769"/>
        <item x="2579"/>
        <item x="2109"/>
        <item x="2624"/>
        <item x="1641"/>
        <item x="2852"/>
        <item x="1301"/>
        <item x="2924"/>
        <item x="43"/>
        <item x="759"/>
        <item x="842"/>
        <item x="2830"/>
        <item x="605"/>
        <item x="894"/>
        <item x="2858"/>
        <item x="970"/>
        <item x="2658"/>
        <item x="2351"/>
        <item x="705"/>
        <item x="624"/>
        <item x="2183"/>
        <item x="337"/>
        <item x="510"/>
        <item x="1862"/>
        <item x="1455"/>
        <item x="2345"/>
        <item x="495"/>
        <item x="2678"/>
        <item x="2403"/>
        <item x="1460"/>
        <item x="1158"/>
        <item x="915"/>
        <item x="1791"/>
        <item x="89"/>
        <item x="2081"/>
        <item x="2448"/>
        <item x="1946"/>
        <item x="2694"/>
        <item x="402"/>
        <item x="490"/>
        <item x="2809"/>
        <item x="1397"/>
        <item x="2215"/>
        <item x="366"/>
        <item x="75"/>
        <item x="937"/>
        <item x="2216"/>
        <item x="1494"/>
        <item x="1997"/>
        <item x="1761"/>
        <item x="122"/>
        <item x="1323"/>
        <item x="14"/>
        <item x="2578"/>
        <item x="241"/>
        <item x="1039"/>
        <item x="797"/>
        <item x="863"/>
        <item x="536"/>
        <item x="334"/>
        <item x="2823"/>
        <item x="1762"/>
        <item x="2463"/>
        <item x="2474"/>
        <item x="2199"/>
        <item x="465"/>
        <item x="1557"/>
        <item x="2157"/>
        <item x="1746"/>
        <item x="2872"/>
        <item x="579"/>
        <item x="499"/>
        <item x="1126"/>
        <item x="1232"/>
        <item x="1320"/>
        <item x="280"/>
        <item x="1102"/>
        <item x="1544"/>
        <item x="2788"/>
        <item x="4"/>
        <item x="1898"/>
        <item x="2258"/>
        <item x="1563"/>
        <item x="2679"/>
        <item x="1082"/>
        <item x="1220"/>
        <item x="645"/>
        <item x="1403"/>
        <item x="2112"/>
        <item x="372"/>
        <item x="1340"/>
        <item x="188"/>
        <item x="1464"/>
        <item x="2293"/>
        <item x="2281"/>
        <item x="1280"/>
        <item x="1134"/>
        <item x="1984"/>
        <item x="10"/>
        <item x="2525"/>
        <item x="2615"/>
        <item x="2863"/>
        <item x="730"/>
        <item x="185"/>
        <item x="423"/>
        <item x="1361"/>
        <item x="2627"/>
        <item x="2060"/>
        <item x="781"/>
        <item x="902"/>
        <item x="1676"/>
        <item x="2388"/>
        <item x="335"/>
        <item x="116"/>
        <item x="756"/>
        <item x="2227"/>
        <item x="1303"/>
        <item x="1656"/>
        <item x="625"/>
        <item x="22"/>
        <item x="773"/>
        <item x="355"/>
        <item x="2654"/>
        <item x="2238"/>
        <item x="956"/>
        <item x="1646"/>
        <item x="662"/>
        <item x="2056"/>
        <item x="1850"/>
        <item x="2681"/>
        <item x="1311"/>
        <item x="1949"/>
        <item x="2570"/>
        <item x="2718"/>
        <item x="1164"/>
        <item x="615"/>
        <item x="1927"/>
        <item x="1965"/>
        <item x="86"/>
        <item x="2668"/>
        <item x="1958"/>
        <item x="655"/>
        <item x="1884"/>
        <item x="2714"/>
        <item x="302"/>
        <item x="2084"/>
        <item x="478"/>
        <item x="1149"/>
        <item x="2320"/>
        <item x="327"/>
        <item x="2307"/>
        <item x="591"/>
        <item x="1307"/>
        <item x="1868"/>
        <item x="105"/>
        <item x="1087"/>
        <item x="2914"/>
        <item x="1979"/>
        <item x="2794"/>
        <item x="565"/>
        <item x="1633"/>
        <item x="2758"/>
        <item x="434"/>
        <item x="124"/>
        <item x="1892"/>
        <item x="1539"/>
        <item x="1006"/>
        <item x="345"/>
        <item x="2883"/>
        <item x="1552"/>
        <item x="660"/>
        <item x="2153"/>
        <item x="2167"/>
        <item x="1780"/>
        <item x="1489"/>
        <item x="469"/>
        <item x="1383"/>
        <item x="1048"/>
        <item x="1454"/>
        <item x="1493"/>
        <item x="1330"/>
        <item x="2786"/>
        <item x="504"/>
        <item x="553"/>
        <item x="749"/>
        <item x="1172"/>
        <item x="2206"/>
        <item x="1034"/>
        <item x="1993"/>
        <item x="844"/>
        <item x="2417"/>
        <item x="1013"/>
        <item x="1155"/>
        <item x="1147"/>
        <item x="1291"/>
        <item x="2385"/>
        <item x="740"/>
        <item x="112"/>
        <item x="1897"/>
        <item x="2568"/>
        <item x="0"/>
        <item x="303"/>
        <item x="826"/>
        <item x="2550"/>
        <item x="1431"/>
        <item x="1192"/>
        <item x="2501"/>
        <item x="1199"/>
        <item x="2400"/>
        <item x="1614"/>
        <item x="1178"/>
        <item x="1813"/>
        <item x="1466"/>
        <item x="2904"/>
        <item x="1212"/>
        <item x="1066"/>
        <item x="2343"/>
        <item x="60"/>
        <item x="1208"/>
        <item x="2614"/>
        <item x="2288"/>
        <item x="1012"/>
        <item x="1777"/>
        <item x="1337"/>
        <item x="634"/>
        <item x="2517"/>
        <item x="2825"/>
        <item x="1325"/>
        <item x="2775"/>
        <item x="1555"/>
        <item x="2208"/>
        <item x="2064"/>
        <item x="2605"/>
        <item x="1314"/>
        <item x="2029"/>
        <item x="486"/>
        <item x="93"/>
        <item x="1222"/>
        <item x="444"/>
        <item x="2312"/>
        <item x="936"/>
        <item x="1521"/>
        <item x="1843"/>
        <item x="2871"/>
        <item x="1888"/>
        <item x="2909"/>
        <item x="2558"/>
        <item x="669"/>
        <item x="2874"/>
        <item x="769"/>
        <item x="1497"/>
        <item x="2218"/>
        <item x="726"/>
        <item x="2585"/>
        <item x="1639"/>
        <item x="383"/>
        <item x="78"/>
        <item x="492"/>
        <item x="2617"/>
        <item x="1820"/>
        <item x="162"/>
        <item x="1931"/>
        <item x="1467"/>
        <item x="1597"/>
        <item x="1353"/>
        <item x="1989"/>
        <item x="197"/>
        <item x="1964"/>
        <item x="2027"/>
        <item x="1247"/>
        <item x="433"/>
        <item x="2765"/>
        <item x="1000"/>
        <item x="1214"/>
        <item x="1763"/>
        <item x="1612"/>
        <item x="576"/>
        <item x="1671"/>
        <item x="215"/>
        <item x="2392"/>
        <item x="1249"/>
        <item x="208"/>
        <item x="1902"/>
        <item x="999"/>
        <item x="2847"/>
        <item x="2840"/>
        <item x="2040"/>
        <item x="2154"/>
        <item x="2163"/>
        <item x="1750"/>
        <item x="107"/>
        <item x="1429"/>
        <item x="37"/>
        <item x="1659"/>
        <item x="1021"/>
        <item x="2598"/>
        <item x="379"/>
        <item x="1832"/>
        <item x="1372"/>
        <item x="1932"/>
        <item x="2706"/>
        <item x="2804"/>
        <item x="2592"/>
        <item x="1842"/>
        <item x="412"/>
        <item x="249"/>
        <item x="2556"/>
        <item x="670"/>
        <item x="2166"/>
        <item x="977"/>
        <item x="1029"/>
        <item x="1675"/>
        <item x="2194"/>
        <item x="2298"/>
        <item x="1554"/>
        <item x="2634"/>
        <item x="301"/>
        <item x="1531"/>
        <item x="1741"/>
        <item x="2322"/>
        <item x="550"/>
        <item x="2132"/>
        <item x="833"/>
        <item x="1224"/>
        <item x="2456"/>
        <item x="229"/>
        <item x="1207"/>
        <item x="1829"/>
        <item x="1710"/>
        <item x="1240"/>
        <item x="561"/>
        <item x="1773"/>
        <item x="456"/>
        <item x="1594"/>
        <item x="1030"/>
        <item x="267"/>
        <item x="2623"/>
        <item x="401"/>
        <item x="599"/>
        <item x="111"/>
        <item x="1866"/>
        <item x="1416"/>
        <item x="2504"/>
        <item x="2352"/>
        <item x="2252"/>
        <item x="566"/>
        <item x="2344"/>
        <item x="1705"/>
        <item x="1913"/>
        <item x="1846"/>
        <item x="1874"/>
        <item x="2651"/>
        <item x="2481"/>
        <item x="2503"/>
        <item x="2422"/>
        <item x="403"/>
        <item x="2399"/>
        <item x="2039"/>
        <item x="2509"/>
        <item x="969"/>
        <item x="1908"/>
        <item x="1683"/>
        <item x="1963"/>
        <item x="1241"/>
        <item x="1912"/>
        <item x="252"/>
        <item x="1799"/>
        <item x="1546"/>
        <item x="97"/>
        <item x="1504"/>
        <item x="1010"/>
        <item x="1113"/>
        <item x="530"/>
        <item x="1271"/>
        <item x="920"/>
        <item x="1033"/>
        <item x="357"/>
        <item x="2046"/>
        <item x="911"/>
        <item x="2175"/>
        <item x="864"/>
        <item x="1470"/>
        <item x="2090"/>
        <item x="1909"/>
        <item x="2707"/>
        <item x="1617"/>
        <item x="570"/>
        <item x="84"/>
        <item x="639"/>
        <item x="928"/>
        <item x="1998"/>
        <item x="2222"/>
        <item x="2075"/>
        <item x="406"/>
        <item x="1380"/>
        <item x="942"/>
        <item x="1263"/>
        <item x="813"/>
        <item x="397"/>
        <item x="2187"/>
        <item x="287"/>
        <item x="687"/>
        <item x="2767"/>
        <item x="2633"/>
        <item x="2498"/>
        <item x="951"/>
        <item x="1420"/>
        <item x="1672"/>
        <item x="429"/>
        <item x="269"/>
        <item x="2275"/>
        <item x="1725"/>
        <item x="1760"/>
        <item x="1803"/>
        <item x="2405"/>
        <item x="64"/>
        <item x="106"/>
        <item x="2741"/>
        <item x="1976"/>
        <item x="150"/>
        <item x="139"/>
        <item x="1181"/>
        <item x="196"/>
        <item x="563"/>
        <item x="9"/>
        <item x="1408"/>
        <item x="856"/>
        <item x="2299"/>
        <item x="1645"/>
        <item x="56"/>
        <item x="1860"/>
        <item x="1524"/>
        <item x="542"/>
        <item x="1282"/>
        <item x="926"/>
        <item x="2817"/>
        <item x="46"/>
        <item x="1569"/>
        <item x="538"/>
        <item x="53"/>
        <item x="99"/>
        <item x="16"/>
        <item x="2907"/>
        <item x="1674"/>
        <item x="2094"/>
        <item x="2751"/>
        <item x="1067"/>
        <item x="2192"/>
        <item x="2828"/>
        <item x="1295"/>
        <item x="1189"/>
        <item x="963"/>
        <item x="1960"/>
        <item x="733"/>
        <item x="44"/>
        <item x="2612"/>
        <item x="2670"/>
        <item x="2016"/>
        <item x="841"/>
        <item x="2453"/>
        <item x="1900"/>
        <item x="1848"/>
        <item x="90"/>
        <item x="2237"/>
        <item x="2539"/>
        <item x="2083"/>
        <item x="975"/>
        <item x="2906"/>
        <item x="1818"/>
        <item x="2559"/>
        <item x="2327"/>
        <item x="1651"/>
        <item x="524"/>
        <item x="1098"/>
        <item x="2795"/>
        <item x="900"/>
        <item x="1437"/>
        <item x="461"/>
        <item x="27"/>
        <item x="192"/>
        <item x="2857"/>
        <item x="2704"/>
        <item x="672"/>
        <item x="1042"/>
        <item x="1712"/>
        <item x="1183"/>
        <item x="804"/>
        <item x="1009"/>
        <item x="2095"/>
        <item x="1319"/>
        <item x="2246"/>
        <item x="390"/>
        <item x="135"/>
        <item x="608"/>
        <item x="2815"/>
        <item x="2066"/>
        <item x="554"/>
        <item x="2523"/>
        <item x="2138"/>
        <item x="2052"/>
        <item x="1190"/>
        <item x="1889"/>
        <item x="2129"/>
        <item x="113"/>
        <item x="960"/>
        <item x="178"/>
        <item x="718"/>
        <item x="2919"/>
        <item x="290"/>
        <item x="2835"/>
        <item x="1458"/>
        <item x="180"/>
        <item x="1274"/>
        <item x="2566"/>
        <item x="2778"/>
        <item x="981"/>
        <item x="997"/>
        <item x="2452"/>
        <item x="2929"/>
        <item x="838"/>
        <item x="1123"/>
        <item x="1715"/>
        <item x="1658"/>
        <item x="2127"/>
        <item x="1857"/>
        <item x="2719"/>
        <item x="2508"/>
        <item x="439"/>
        <item x="2505"/>
        <item x="1819"/>
        <item x="484"/>
        <item x="438"/>
        <item x="131"/>
        <item x="1921"/>
        <item x="1702"/>
        <item x="1266"/>
        <item x="1759"/>
        <item x="1028"/>
        <item x="1469"/>
        <item x="1756"/>
        <item x="195"/>
        <item x="2519"/>
        <item x="2346"/>
        <item x="984"/>
        <item x="1022"/>
        <item x="24"/>
        <item x="678"/>
        <item x="278"/>
        <item x="1689"/>
        <item x="182"/>
        <item x="1830"/>
        <item x="128"/>
        <item x="1349"/>
        <item x="2311"/>
        <item x="646"/>
        <item x="1468"/>
        <item x="742"/>
        <item x="289"/>
        <item x="2302"/>
        <item x="903"/>
        <item x="2756"/>
        <item x="2885"/>
        <item x="98"/>
        <item x="835"/>
        <item x="1681"/>
        <item x="266"/>
        <item x="170"/>
        <item x="68"/>
        <item x="1315"/>
        <item x="706"/>
        <item x="2292"/>
        <item x="752"/>
        <item x="2331"/>
        <item x="1631"/>
        <item x="2602"/>
        <item x="700"/>
        <item x="2156"/>
        <item x="1815"/>
        <item x="1015"/>
        <item x="1891"/>
        <item x="2263"/>
        <item x="1498"/>
        <item x="2067"/>
        <item x="138"/>
        <item x="1698"/>
        <item x="2879"/>
        <item x="291"/>
        <item x="298"/>
        <item x="1579"/>
        <item x="2457"/>
        <item x="2301"/>
        <item x="1346"/>
        <item x="809"/>
        <item x="2105"/>
        <item x="1327"/>
        <item x="425"/>
        <item x="522"/>
        <item x="1519"/>
        <item x="1863"/>
        <item x="2017"/>
        <item x="1851"/>
        <item x="1255"/>
        <item x="2363"/>
        <item x="581"/>
        <item x="1792"/>
        <item x="1390"/>
        <item x="2738"/>
        <item x="2038"/>
        <item x="2013"/>
        <item x="2511"/>
        <item x="361"/>
        <item x="1011"/>
        <item x="2221"/>
        <item x="2272"/>
        <item x="386"/>
        <item x="1720"/>
        <item x="794"/>
        <item x="2837"/>
        <item x="1152"/>
        <item x="321"/>
        <item x="1708"/>
        <item x="729"/>
        <item x="66"/>
        <item x="1700"/>
        <item x="685"/>
        <item x="59"/>
        <item x="707"/>
        <item x="2629"/>
        <item x="2317"/>
        <item x="2303"/>
        <item x="358"/>
        <item x="8"/>
        <item x="2648"/>
        <item x="2705"/>
        <item x="1120"/>
        <item x="233"/>
        <item x="1131"/>
        <item x="1195"/>
        <item x="693"/>
        <item x="1499"/>
        <item x="2569"/>
        <item x="2285"/>
        <item x="2309"/>
        <item x="393"/>
        <item x="1404"/>
        <item x="1592"/>
        <item x="2108"/>
        <item x="2049"/>
        <item x="2181"/>
        <item x="2708"/>
        <item x="405"/>
        <item x="1753"/>
        <item x="1642"/>
        <item x="2176"/>
        <item x="1852"/>
        <item x="2036"/>
        <item x="1302"/>
        <item x="2382"/>
        <item x="2061"/>
        <item x="1354"/>
        <item x="2201"/>
        <item x="508"/>
        <item x="2087"/>
        <item x="2665"/>
        <item x="411"/>
        <item x="666"/>
        <item x="1886"/>
        <item x="1714"/>
        <item x="2334"/>
        <item x="1003"/>
        <item x="77"/>
        <item x="866"/>
        <item x="2462"/>
        <item x="436"/>
        <item x="1129"/>
        <item x="714"/>
        <item x="2357"/>
        <item x="1200"/>
        <item x="1981"/>
        <item x="2673"/>
        <item x="1540"/>
        <item x="1962"/>
        <item x="1502"/>
        <item x="1139"/>
        <item x="501"/>
        <item x="1660"/>
        <item x="1589"/>
        <item x="974"/>
        <item x="2085"/>
        <item x="875"/>
        <item x="887"/>
        <item x="1903"/>
        <item x="2560"/>
        <item x="1604"/>
        <item x="2143"/>
        <item x="73"/>
        <item x="1839"/>
        <item x="332"/>
        <item x="2047"/>
        <item x="87"/>
        <item x="891"/>
        <item x="228"/>
        <item x="1385"/>
        <item x="1371"/>
        <item x="897"/>
        <item x="812"/>
        <item x="2423"/>
        <item x="851"/>
        <item x="736"/>
        <item x="1637"/>
        <item x="341"/>
        <item x="375"/>
        <item x="748"/>
        <item x="1849"/>
        <item x="2091"/>
        <item x="2359"/>
        <item x="820"/>
        <item x="768"/>
        <item x="470"/>
        <item x="2776"/>
        <item x="807"/>
        <item x="675"/>
        <item x="2631"/>
        <item x="2912"/>
        <item x="29"/>
        <item x="682"/>
        <item x="802"/>
        <item x="7"/>
        <item x="1572"/>
        <item x="2761"/>
        <item x="2004"/>
        <item x="1588"/>
        <item x="1696"/>
        <item x="2862"/>
        <item x="2916"/>
        <item x="2796"/>
        <item x="1684"/>
        <item x="965"/>
        <item x="382"/>
        <item x="2587"/>
        <item x="2483"/>
        <item x="2522"/>
        <item x="709"/>
        <item x="2683"/>
        <item x="2622"/>
        <item x="474"/>
        <item x="391"/>
        <item x="2687"/>
        <item x="181"/>
        <item x="2319"/>
        <item x="1357"/>
        <item x="262"/>
        <item x="908"/>
        <item x="1664"/>
        <item x="1691"/>
        <item x="476"/>
        <item x="547"/>
        <item x="2330"/>
        <item x="1339"/>
        <item x="2591"/>
        <item x="1234"/>
        <item x="310"/>
        <item x="217"/>
        <item x="2866"/>
        <item x="1673"/>
        <item x="2618"/>
        <item x="680"/>
        <item x="2812"/>
        <item x="1037"/>
        <item x="913"/>
        <item x="593"/>
        <item x="1154"/>
        <item x="2732"/>
        <item x="1166"/>
        <item x="1537"/>
        <item x="819"/>
        <item x="2472"/>
        <item x="2777"/>
        <item x="2733"/>
        <item x="2859"/>
        <item x="1966"/>
        <item x="1338"/>
        <item x="604"/>
        <item x="1138"/>
        <item x="2521"/>
        <item x="2833"/>
        <item x="879"/>
        <item x="786"/>
        <item x="2644"/>
        <item x="847"/>
        <item x="2594"/>
        <item x="1053"/>
        <item x="1541"/>
        <item x="1318"/>
        <item x="5"/>
        <item x="979"/>
        <item x="1585"/>
        <item x="2034"/>
        <item x="1678"/>
        <item x="1643"/>
        <item x="2180"/>
        <item x="1060"/>
        <item x="1336"/>
        <item x="1334"/>
        <item x="2438"/>
        <item x="338"/>
        <item x="2076"/>
        <item x="1396"/>
        <item x="388"/>
        <item x="408"/>
        <item x="2198"/>
        <item x="2774"/>
        <item x="1755"/>
        <item x="1804"/>
        <item x="459"/>
        <item x="1743"/>
        <item x="1679"/>
        <item x="462"/>
        <item x="1473"/>
        <item x="509"/>
        <item x="1930"/>
        <item x="2295"/>
        <item x="83"/>
        <item x="1216"/>
        <item x="2684"/>
        <item x="2736"/>
        <item x="746"/>
        <item x="203"/>
        <item x="2120"/>
        <item x="2139"/>
        <item x="2485"/>
        <item x="2102"/>
        <item x="1281"/>
        <item x="2838"/>
        <item x="96"/>
        <item x="1075"/>
        <item x="245"/>
        <item x="1485"/>
        <item x="2754"/>
        <item x="1110"/>
        <item x="210"/>
        <item x="491"/>
        <item x="441"/>
        <item x="1788"/>
        <item x="627"/>
        <item x="2567"/>
        <item x="720"/>
        <item x="343"/>
        <item x="55"/>
        <item x="410"/>
        <item x="1148"/>
        <item x="464"/>
        <item x="732"/>
        <item x="1625"/>
        <item x="2473"/>
        <item x="126"/>
        <item x="2784"/>
        <item x="2713"/>
        <item x="472"/>
        <item x="2642"/>
        <item x="1407"/>
        <item x="684"/>
        <item x="1532"/>
        <item x="1901"/>
        <item x="1412"/>
        <item x="2922"/>
        <item x="2310"/>
        <item x="2892"/>
        <item x="156"/>
        <item x="2771"/>
        <item x="2304"/>
        <item x="2530"/>
        <item x="1943"/>
        <item x="2242"/>
        <item x="643"/>
        <item x="1393"/>
        <item x="225"/>
        <item x="2395"/>
        <item x="2172"/>
        <item x="2542"/>
        <item x="1812"/>
        <item x="1061"/>
        <item x="2607"/>
        <item x="221"/>
        <item x="1747"/>
        <item x="2401"/>
        <item x="1767"/>
        <item x="1018"/>
        <item x="1386"/>
        <item x="1369"/>
        <item x="1381"/>
        <item x="743"/>
        <item x="2412"/>
        <item x="2593"/>
        <item x="592"/>
        <item x="1879"/>
        <item x="895"/>
        <item x="2760"/>
        <item x="1635"/>
        <item x="1277"/>
        <item x="2752"/>
        <item x="2042"/>
        <item x="1831"/>
        <item x="1024"/>
        <item x="1772"/>
        <item x="2000"/>
        <item x="2125"/>
        <item x="724"/>
        <item x="312"/>
        <item x="2232"/>
        <item x="2691"/>
        <item x="815"/>
        <item x="213"/>
        <item x="2625"/>
        <item x="218"/>
        <item x="2106"/>
        <item x="1808"/>
        <item x="422"/>
        <item x="760"/>
        <item x="2471"/>
        <item x="771"/>
        <item x="2659"/>
        <item x="679"/>
        <item x="1528"/>
        <item x="1452"/>
        <item x="2080"/>
        <item x="72"/>
        <item x="2565"/>
        <item x="651"/>
        <item x="793"/>
        <item x="20"/>
        <item x="1500"/>
        <item x="1835"/>
        <item x="2855"/>
        <item x="2213"/>
        <item x="702"/>
        <item x="2276"/>
        <item x="1309"/>
        <item x="2696"/>
        <item x="2609"/>
        <item x="418"/>
        <item x="2429"/>
        <item x="548"/>
        <item x="1045"/>
        <item x="560"/>
        <item x="2353"/>
        <item x="2236"/>
        <item x="808"/>
        <item x="1096"/>
        <item x="871"/>
        <item x="612"/>
        <item x="1276"/>
        <item x="657"/>
        <item x="1810"/>
        <item x="2396"/>
        <item x="1289"/>
        <item x="101"/>
        <item x="1230"/>
        <item x="551"/>
        <item x="2674"/>
        <item x="1844"/>
        <item x="251"/>
        <item x="1333"/>
        <item x="823"/>
        <item x="694"/>
        <item x="873"/>
        <item x="2350"/>
        <item x="2695"/>
        <item x="373"/>
        <item x="451"/>
        <item x="2470"/>
        <item x="2"/>
        <item x="1580"/>
        <item x="2119"/>
        <item x="1023"/>
        <item x="697"/>
        <item x="1496"/>
        <item x="2142"/>
        <item x="1824"/>
        <item x="764"/>
        <item x="1058"/>
        <item x="1570"/>
        <item x="862"/>
        <item x="1967"/>
        <item x="901"/>
        <item x="191"/>
        <item x="2264"/>
        <item x="2308"/>
        <item x="67"/>
        <item x="540"/>
        <item x="463"/>
        <item x="950"/>
        <item x="1341"/>
        <item x="31"/>
        <item x="2524"/>
        <item x="1527"/>
        <item x="1108"/>
        <item x="348"/>
        <item x="1910"/>
        <item x="1443"/>
        <item x="976"/>
        <item x="1598"/>
        <item x="2490"/>
        <item x="531"/>
        <item x="1699"/>
        <item x="1430"/>
        <item x="1259"/>
        <item x="2356"/>
        <item x="2152"/>
        <item x="2861"/>
        <item x="991"/>
        <item x="1513"/>
        <item x="1890"/>
        <item x="1112"/>
        <item x="271"/>
        <item x="2899"/>
        <item x="1358"/>
        <item x="12"/>
        <item x="2128"/>
        <item x="2389"/>
        <item x="452"/>
        <item x="110"/>
        <item x="424"/>
        <item x="886"/>
        <item x="1298"/>
        <item x="1051"/>
        <item x="1853"/>
        <item x="2920"/>
        <item x="360"/>
        <item x="231"/>
        <item x="2573"/>
        <item x="306"/>
        <item x="1690"/>
        <item x="2023"/>
        <item x="770"/>
        <item x="1718"/>
        <item x="2813"/>
        <item x="2001"/>
        <item x="2257"/>
        <item x="2660"/>
        <item x="1769"/>
        <item x="2905"/>
        <item x="2873"/>
        <item x="2749"/>
        <item x="2178"/>
        <item x="2321"/>
        <item x="1488"/>
        <item x="2425"/>
        <item x="2116"/>
        <item x="750"/>
        <item x="234"/>
        <item x="1693"/>
        <item x="1550"/>
        <item x="698"/>
        <item x="409"/>
        <item x="2224"/>
        <item x="2019"/>
        <item x="1937"/>
        <item x="1478"/>
        <item x="2024"/>
        <item x="635"/>
        <item x="526"/>
        <item x="647"/>
        <item x="2475"/>
        <item x="2480"/>
        <item x="1063"/>
        <item x="935"/>
        <item x="2702"/>
        <item x="2204"/>
        <item x="1566"/>
        <item x="1536"/>
        <item x="2913"/>
        <item x="57"/>
        <item x="610"/>
        <item x="982"/>
        <item x="407"/>
        <item x="1740"/>
        <item x="331"/>
        <item x="1410"/>
        <item x="2372"/>
        <item x="1735"/>
        <item x="17"/>
        <item x="1161"/>
        <item x="253"/>
        <item x="619"/>
        <item x="2541"/>
        <item x="2427"/>
        <item x="1197"/>
        <item x="2371"/>
        <item x="577"/>
        <item x="2611"/>
        <item x="2824"/>
        <item x="1052"/>
        <item x="574"/>
        <item x="1248"/>
        <item x="1104"/>
        <item x="447"/>
        <item x="2711"/>
        <item x="690"/>
        <item x="739"/>
        <item x="2546"/>
        <item x="1952"/>
        <item x="1823"/>
        <item x="1477"/>
        <item x="2636"/>
        <item x="227"/>
        <item x="1086"/>
        <item x="614"/>
        <item x="1057"/>
        <item x="2115"/>
        <item x="256"/>
        <item x="342"/>
        <item x="359"/>
        <item x="2003"/>
        <item x="617"/>
        <item x="1914"/>
        <item x="1146"/>
        <item x="2597"/>
        <item x="2620"/>
        <item x="2259"/>
        <item x="2323"/>
        <item x="1925"/>
        <item x="814"/>
        <item x="1847"/>
        <item x="573"/>
        <item x="689"/>
        <item x="1858"/>
        <item x="2656"/>
        <item x="1682"/>
        <item x="502"/>
        <item x="537"/>
        <item x="2783"/>
        <item x="2500"/>
        <item x="1035"/>
        <item x="235"/>
        <item x="641"/>
        <item x="2688"/>
        <item x="32"/>
        <item x="2746"/>
        <item x="1906"/>
        <item x="2884"/>
        <item x="1607"/>
        <item x="1787"/>
        <item x="520"/>
        <item x="2773"/>
        <item x="1558"/>
        <item x="206"/>
        <item x="1619"/>
        <item x="1603"/>
        <item x="1257"/>
        <item x="2431"/>
        <item x="94"/>
        <item x="2296"/>
        <item x="2555"/>
        <item x="2025"/>
        <item x="523"/>
        <item x="2098"/>
        <item x="2020"/>
        <item x="790"/>
        <item x="2092"/>
        <item x="1634"/>
        <item x="263"/>
        <item x="1290"/>
        <item x="1265"/>
        <item x="323"/>
        <item x="931"/>
        <item x="1821"/>
        <item x="396"/>
        <item x="2290"/>
        <item x="659"/>
        <item x="2690"/>
        <item x="1475"/>
        <item x="1394"/>
        <item x="1790"/>
        <item x="261"/>
        <item x="630"/>
        <item x="1654"/>
        <item x="2850"/>
        <item x="940"/>
        <item x="853"/>
        <item x="259"/>
        <item x="2576"/>
        <item x="2488"/>
        <item x="1881"/>
        <item x="946"/>
        <item x="1872"/>
        <item x="1806"/>
        <item x="1484"/>
        <item x="953"/>
        <item x="2923"/>
        <item x="485"/>
        <item x="1954"/>
        <item x="1491"/>
        <item x="48"/>
        <item x="1602"/>
        <item x="1124"/>
        <item x="1157"/>
        <item x="494"/>
        <item x="766"/>
        <item x="932"/>
        <item x="1465"/>
        <item x="2535"/>
        <item x="47"/>
        <item x="194"/>
        <item x="668"/>
        <item x="1144"/>
        <item x="564"/>
        <item x="800"/>
        <item x="664"/>
        <item x="1461"/>
        <item x="2210"/>
        <item x="275"/>
        <item x="1099"/>
        <item x="34"/>
        <item x="2055"/>
        <item x="1837"/>
        <item x="1487"/>
        <item x="1482"/>
        <item x="2099"/>
        <item x="1709"/>
        <item x="1905"/>
        <item x="2507"/>
        <item x="134"/>
        <item x="2677"/>
        <item x="1662"/>
        <item x="1726"/>
        <item x="1520"/>
        <item x="543"/>
        <item x="286"/>
        <item x="962"/>
        <item x="51"/>
        <item x="2647"/>
        <item x="1456"/>
        <item x="1088"/>
        <item x="943"/>
        <item x="2675"/>
        <item x="2721"/>
        <item x="586"/>
        <item x="2376"/>
        <item x="1221"/>
        <item x="821"/>
        <item x="621"/>
        <item x="471"/>
        <item x="1043"/>
        <item x="1133"/>
        <item x="2544"/>
        <item x="1605"/>
        <item x="1782"/>
        <item x="2482"/>
        <item x="2661"/>
        <item x="2663"/>
        <item x="2821"/>
        <item x="1254"/>
        <item x="1261"/>
        <item x="1704"/>
        <item x="1869"/>
        <item x="2606"/>
        <item x="2006"/>
        <item x="1621"/>
        <item x="1968"/>
        <item x="2366"/>
        <item x="2131"/>
        <item x="512"/>
        <item x="532"/>
        <item x="2111"/>
        <item x="2174"/>
        <item x="528"/>
        <item x="1629"/>
        <item x="1893"/>
        <item x="1379"/>
        <item x="2442"/>
        <item x="1047"/>
        <item x="3"/>
        <item x="2316"/>
        <item x="2239"/>
        <item x="1457"/>
        <item x="1275"/>
        <item x="1436"/>
        <item x="2424"/>
        <item x="1300"/>
        <item x="477"/>
        <item x="1184"/>
        <item x="1918"/>
        <item x="1507"/>
        <item x="2260"/>
        <item x="995"/>
        <item x="2278"/>
        <item x="1728"/>
        <item x="1299"/>
        <item x="2757"/>
        <item x="479"/>
        <item x="1306"/>
        <item x="353"/>
        <item x="1078"/>
        <item x="2581"/>
        <item x="183"/>
        <item x="744"/>
        <item x="780"/>
        <item x="349"/>
        <item x="1875"/>
        <item x="187"/>
        <item x="1797"/>
        <item x="1162"/>
        <item x="2228"/>
        <item x="1694"/>
        <item x="273"/>
        <item x="1409"/>
        <item x="127"/>
        <item x="2466"/>
        <item x="801"/>
        <item x="858"/>
        <item x="2489"/>
        <item x="223"/>
        <item x="1794"/>
        <item x="1649"/>
        <item x="255"/>
        <item x="2664"/>
        <item x="1170"/>
        <item x="276"/>
        <item x="795"/>
        <item x="272"/>
        <item x="2846"/>
        <item x="1770"/>
        <item x="132"/>
        <item x="237"/>
        <item x="1364"/>
        <item x="889"/>
        <item x="2682"/>
        <item x="2849"/>
        <item x="1737"/>
        <item x="404"/>
        <item x="525"/>
        <item x="1036"/>
        <item x="2054"/>
        <item x="2145"/>
        <item x="2494"/>
        <item x="1545"/>
        <item x="699"/>
        <item x="33"/>
        <item x="1534"/>
        <item x="2527"/>
        <item x="1987"/>
        <item x="868"/>
        <item x="384"/>
        <item x="817"/>
        <item x="2613"/>
        <item x="1583"/>
        <item x="137"/>
        <item x="1313"/>
        <item x="1392"/>
        <item x="2770"/>
        <item x="1182"/>
        <item x="546"/>
        <item x="1395"/>
        <item x="846"/>
        <item x="2722"/>
        <item x="374"/>
        <item x="2639"/>
        <item x="778"/>
        <item x="2177"/>
        <item x="1176"/>
        <item x="677"/>
        <item x="1027"/>
        <item x="2640"/>
        <item x="2443"/>
        <item x="1926"/>
        <item t="default"/>
      </items>
    </pivotField>
    <pivotField numFmtId="164" showAll="0">
      <items count="367">
        <item x="178"/>
        <item x="125"/>
        <item x="57"/>
        <item x="284"/>
        <item x="181"/>
        <item x="319"/>
        <item x="49"/>
        <item x="288"/>
        <item x="257"/>
        <item x="244"/>
        <item x="347"/>
        <item x="194"/>
        <item x="85"/>
        <item x="335"/>
        <item x="37"/>
        <item x="361"/>
        <item x="316"/>
        <item x="17"/>
        <item x="169"/>
        <item x="149"/>
        <item x="123"/>
        <item x="44"/>
        <item x="81"/>
        <item x="223"/>
        <item x="42"/>
        <item x="167"/>
        <item x="275"/>
        <item x="221"/>
        <item x="206"/>
        <item x="200"/>
        <item x="202"/>
        <item x="92"/>
        <item x="100"/>
        <item x="95"/>
        <item x="90"/>
        <item x="184"/>
        <item x="136"/>
        <item x="228"/>
        <item x="209"/>
        <item x="336"/>
        <item x="330"/>
        <item x="47"/>
        <item x="22"/>
        <item x="10"/>
        <item x="135"/>
        <item x="52"/>
        <item x="302"/>
        <item x="337"/>
        <item x="120"/>
        <item x="363"/>
        <item x="258"/>
        <item x="145"/>
        <item x="122"/>
        <item x="220"/>
        <item x="5"/>
        <item x="147"/>
        <item x="285"/>
        <item x="346"/>
        <item x="295"/>
        <item x="67"/>
        <item x="14"/>
        <item x="168"/>
        <item x="224"/>
        <item x="99"/>
        <item x="80"/>
        <item x="358"/>
        <item x="108"/>
        <item x="119"/>
        <item x="19"/>
        <item x="298"/>
        <item x="365"/>
        <item x="126"/>
        <item x="217"/>
        <item x="96"/>
        <item x="304"/>
        <item x="70"/>
        <item x="282"/>
        <item x="48"/>
        <item x="287"/>
        <item x="271"/>
        <item x="264"/>
        <item x="191"/>
        <item x="56"/>
        <item x="164"/>
        <item x="29"/>
        <item x="269"/>
        <item x="312"/>
        <item x="11"/>
        <item x="94"/>
        <item x="150"/>
        <item x="252"/>
        <item x="325"/>
        <item x="253"/>
        <item x="64"/>
        <item x="222"/>
        <item x="210"/>
        <item x="344"/>
        <item x="246"/>
        <item x="176"/>
        <item x="334"/>
        <item x="55"/>
        <item x="260"/>
        <item x="105"/>
        <item x="173"/>
        <item x="71"/>
        <item x="155"/>
        <item x="114"/>
        <item x="140"/>
        <item x="277"/>
        <item x="115"/>
        <item x="20"/>
        <item x="86"/>
        <item x="256"/>
        <item x="84"/>
        <item x="38"/>
        <item x="331"/>
        <item x="218"/>
        <item x="151"/>
        <item x="6"/>
        <item x="24"/>
        <item x="345"/>
        <item x="163"/>
        <item x="352"/>
        <item x="292"/>
        <item x="309"/>
        <item x="170"/>
        <item x="329"/>
        <item x="353"/>
        <item x="39"/>
        <item x="117"/>
        <item x="171"/>
        <item x="250"/>
        <item x="294"/>
        <item x="332"/>
        <item x="214"/>
        <item x="36"/>
        <item x="270"/>
        <item x="317"/>
        <item x="357"/>
        <item x="106"/>
        <item x="267"/>
        <item x="333"/>
        <item x="311"/>
        <item x="32"/>
        <item x="291"/>
        <item x="127"/>
        <item x="207"/>
        <item x="219"/>
        <item x="73"/>
        <item x="355"/>
        <item x="75"/>
        <item x="180"/>
        <item x="28"/>
        <item x="350"/>
        <item x="255"/>
        <item x="236"/>
        <item x="177"/>
        <item x="30"/>
        <item x="241"/>
        <item x="18"/>
        <item x="153"/>
        <item x="233"/>
        <item x="112"/>
        <item x="156"/>
        <item x="341"/>
        <item x="25"/>
        <item x="160"/>
        <item x="305"/>
        <item x="348"/>
        <item x="338"/>
        <item x="318"/>
        <item x="213"/>
        <item x="208"/>
        <item x="197"/>
        <item x="227"/>
        <item x="15"/>
        <item x="107"/>
        <item x="281"/>
        <item x="364"/>
        <item x="321"/>
        <item x="87"/>
        <item x="72"/>
        <item x="12"/>
        <item x="130"/>
        <item x="273"/>
        <item x="342"/>
        <item x="103"/>
        <item x="230"/>
        <item x="306"/>
        <item x="41"/>
        <item x="146"/>
        <item x="320"/>
        <item x="139"/>
        <item x="76"/>
        <item x="58"/>
        <item x="239"/>
        <item x="62"/>
        <item x="182"/>
        <item x="35"/>
        <item x="143"/>
        <item x="262"/>
        <item x="188"/>
        <item x="303"/>
        <item x="137"/>
        <item x="251"/>
        <item x="276"/>
        <item x="235"/>
        <item x="27"/>
        <item x="231"/>
        <item x="69"/>
        <item x="274"/>
        <item x="109"/>
        <item x="308"/>
        <item x="261"/>
        <item x="124"/>
        <item x="249"/>
        <item x="129"/>
        <item x="157"/>
        <item x="199"/>
        <item x="63"/>
        <item x="307"/>
        <item x="245"/>
        <item x="324"/>
        <item x="133"/>
        <item x="248"/>
        <item x="2"/>
        <item x="225"/>
        <item x="186"/>
        <item x="46"/>
        <item x="110"/>
        <item x="131"/>
        <item x="83"/>
        <item x="297"/>
        <item x="314"/>
        <item x="101"/>
        <item x="43"/>
        <item x="259"/>
        <item x="79"/>
        <item x="289"/>
        <item x="190"/>
        <item x="174"/>
        <item x="310"/>
        <item x="82"/>
        <item x="65"/>
        <item x="51"/>
        <item x="13"/>
        <item x="98"/>
        <item x="142"/>
        <item x="229"/>
        <item x="265"/>
        <item x="263"/>
        <item x="238"/>
        <item x="162"/>
        <item x="54"/>
        <item x="211"/>
        <item x="354"/>
        <item x="226"/>
        <item x="9"/>
        <item x="141"/>
        <item x="242"/>
        <item x="31"/>
        <item x="91"/>
        <item x="61"/>
        <item x="205"/>
        <item x="296"/>
        <item x="116"/>
        <item x="89"/>
        <item x="351"/>
        <item x="144"/>
        <item x="343"/>
        <item x="272"/>
        <item x="280"/>
        <item x="134"/>
        <item x="216"/>
        <item x="34"/>
        <item x="78"/>
        <item x="175"/>
        <item x="8"/>
        <item x="102"/>
        <item x="212"/>
        <item x="159"/>
        <item x="266"/>
        <item x="0"/>
        <item x="349"/>
        <item x="189"/>
        <item x="362"/>
        <item x="187"/>
        <item x="161"/>
        <item x="128"/>
        <item x="293"/>
        <item x="26"/>
        <item x="121"/>
        <item x="68"/>
        <item x="323"/>
        <item x="59"/>
        <item x="322"/>
        <item x="183"/>
        <item x="138"/>
        <item x="201"/>
        <item x="339"/>
        <item x="50"/>
        <item x="286"/>
        <item x="16"/>
        <item x="113"/>
        <item x="4"/>
        <item x="198"/>
        <item x="360"/>
        <item x="313"/>
        <item x="243"/>
        <item x="185"/>
        <item x="97"/>
        <item x="195"/>
        <item x="148"/>
        <item x="196"/>
        <item x="40"/>
        <item x="359"/>
        <item x="215"/>
        <item x="93"/>
        <item x="1"/>
        <item x="7"/>
        <item x="3"/>
        <item x="179"/>
        <item x="118"/>
        <item x="88"/>
        <item x="152"/>
        <item x="204"/>
        <item x="77"/>
        <item x="60"/>
        <item x="166"/>
        <item x="240"/>
        <item x="326"/>
        <item x="268"/>
        <item x="290"/>
        <item x="315"/>
        <item x="234"/>
        <item x="254"/>
        <item x="23"/>
        <item x="237"/>
        <item x="21"/>
        <item x="356"/>
        <item x="279"/>
        <item x="340"/>
        <item x="154"/>
        <item x="33"/>
        <item x="104"/>
        <item x="66"/>
        <item x="45"/>
        <item x="165"/>
        <item x="232"/>
        <item x="299"/>
        <item x="301"/>
        <item x="74"/>
        <item x="203"/>
        <item x="111"/>
        <item x="300"/>
        <item x="328"/>
        <item x="247"/>
        <item x="158"/>
        <item x="192"/>
        <item x="193"/>
        <item x="172"/>
        <item x="53"/>
        <item x="278"/>
        <item x="132"/>
        <item x="327"/>
        <item x="283"/>
        <item t="default"/>
      </items>
    </pivotField>
    <pivotField numFmtId="164" showAll="0">
      <items count="378">
        <item x="205"/>
        <item x="93"/>
        <item x="181"/>
        <item x="183"/>
        <item x="136"/>
        <item x="328"/>
        <item x="286"/>
        <item x="281"/>
        <item x="61"/>
        <item x="229"/>
        <item x="51"/>
        <item x="270"/>
        <item x="260"/>
        <item x="343"/>
        <item x="323"/>
        <item x="325"/>
        <item x="117"/>
        <item x="217"/>
        <item x="88"/>
        <item x="278"/>
        <item x="280"/>
        <item x="182"/>
        <item x="196"/>
        <item x="60"/>
        <item x="18"/>
        <item x="172"/>
        <item x="251"/>
        <item x="40"/>
        <item x="130"/>
        <item x="45"/>
        <item x="212"/>
        <item x="84"/>
        <item x="98"/>
        <item x="204"/>
        <item x="94"/>
        <item x="234"/>
        <item x="351"/>
        <item x="101"/>
        <item x="219"/>
        <item x="108"/>
        <item x="187"/>
        <item x="23"/>
        <item x="346"/>
        <item x="154"/>
        <item x="71"/>
        <item x="312"/>
        <item x="122"/>
        <item x="184"/>
        <item x="49"/>
        <item x="238"/>
        <item x="345"/>
        <item x="300"/>
        <item x="211"/>
        <item x="191"/>
        <item x="54"/>
        <item x="225"/>
        <item x="10"/>
        <item x="129"/>
        <item x="257"/>
        <item x="247"/>
        <item x="282"/>
        <item x="127"/>
        <item x="363"/>
        <item x="14"/>
        <item x="5"/>
        <item x="83"/>
        <item x="293"/>
        <item x="116"/>
        <item x="305"/>
        <item x="310"/>
        <item x="134"/>
        <item x="369"/>
        <item x="264"/>
        <item x="357"/>
        <item x="360"/>
        <item x="126"/>
        <item x="107"/>
        <item x="348"/>
        <item x="220"/>
        <item x="166"/>
        <item x="20"/>
        <item x="73"/>
        <item x="318"/>
        <item x="275"/>
        <item x="167"/>
        <item x="50"/>
        <item x="102"/>
        <item x="97"/>
        <item x="307"/>
        <item x="268"/>
        <item x="347"/>
        <item x="242"/>
        <item x="100"/>
        <item x="201"/>
        <item x="133"/>
        <item x="31"/>
        <item x="206"/>
        <item x="221"/>
        <item x="178"/>
        <item x="11"/>
        <item x="362"/>
        <item x="105"/>
        <item x="197"/>
        <item x="67"/>
        <item x="342"/>
        <item x="159"/>
        <item x="150"/>
        <item x="146"/>
        <item x="121"/>
        <item x="21"/>
        <item x="365"/>
        <item x="59"/>
        <item x="74"/>
        <item x="188"/>
        <item x="89"/>
        <item x="246"/>
        <item x="341"/>
        <item x="209"/>
        <item x="6"/>
        <item x="87"/>
        <item x="91"/>
        <item x="25"/>
        <item x="352"/>
        <item x="41"/>
        <item x="374"/>
        <item x="324"/>
        <item x="255"/>
        <item x="58"/>
        <item x="333"/>
        <item x="243"/>
        <item x="79"/>
        <item x="367"/>
        <item x="303"/>
        <item x="295"/>
        <item x="244"/>
        <item x="254"/>
        <item x="42"/>
        <item x="213"/>
        <item x="124"/>
        <item x="289"/>
        <item x="315"/>
        <item x="239"/>
        <item x="290"/>
        <item x="35"/>
        <item x="259"/>
        <item x="39"/>
        <item x="233"/>
        <item x="263"/>
        <item x="319"/>
        <item x="336"/>
        <item x="114"/>
        <item x="370"/>
        <item x="78"/>
        <item x="321"/>
        <item x="147"/>
        <item x="135"/>
        <item x="376"/>
        <item x="76"/>
        <item x="335"/>
        <item x="30"/>
        <item x="157"/>
        <item x="19"/>
        <item x="173"/>
        <item x="313"/>
        <item x="271"/>
        <item x="161"/>
        <item x="164"/>
        <item x="33"/>
        <item x="320"/>
        <item x="179"/>
        <item x="151"/>
        <item x="250"/>
        <item x="322"/>
        <item x="27"/>
        <item x="198"/>
        <item x="308"/>
        <item x="340"/>
        <item x="273"/>
        <item x="218"/>
        <item x="356"/>
        <item x="90"/>
        <item x="15"/>
        <item x="235"/>
        <item x="115"/>
        <item x="162"/>
        <item x="266"/>
        <item x="344"/>
        <item x="75"/>
        <item x="316"/>
        <item x="12"/>
        <item x="287"/>
        <item x="210"/>
        <item x="144"/>
        <item x="80"/>
        <item x="249"/>
        <item x="44"/>
        <item x="262"/>
        <item x="38"/>
        <item x="65"/>
        <item x="112"/>
        <item x="145"/>
        <item x="291"/>
        <item x="142"/>
        <item x="228"/>
        <item x="253"/>
        <item x="153"/>
        <item x="110"/>
        <item x="285"/>
        <item x="292"/>
        <item x="95"/>
        <item x="240"/>
        <item x="279"/>
        <item x="137"/>
        <item x="193"/>
        <item x="72"/>
        <item x="224"/>
        <item x="29"/>
        <item x="118"/>
        <item x="297"/>
        <item x="311"/>
        <item x="267"/>
        <item x="132"/>
        <item x="299"/>
        <item x="258"/>
        <item x="236"/>
        <item x="317"/>
        <item x="66"/>
        <item x="141"/>
        <item x="190"/>
        <item x="168"/>
        <item x="180"/>
        <item x="241"/>
        <item x="296"/>
        <item x="48"/>
        <item x="2"/>
        <item x="368"/>
        <item x="46"/>
        <item x="202"/>
        <item x="195"/>
        <item x="109"/>
        <item x="140"/>
        <item x="215"/>
        <item x="274"/>
        <item x="86"/>
        <item x="359"/>
        <item x="53"/>
        <item x="332"/>
        <item x="176"/>
        <item x="200"/>
        <item x="82"/>
        <item x="13"/>
        <item x="149"/>
        <item x="68"/>
        <item x="32"/>
        <item x="85"/>
        <item x="106"/>
        <item x="139"/>
        <item x="256"/>
        <item x="189"/>
        <item x="207"/>
        <item x="373"/>
        <item x="64"/>
        <item x="34"/>
        <item x="148"/>
        <item x="56"/>
        <item x="9"/>
        <item x="269"/>
        <item x="152"/>
        <item x="208"/>
        <item x="284"/>
        <item x="222"/>
        <item x="104"/>
        <item x="226"/>
        <item x="232"/>
        <item x="272"/>
        <item x="355"/>
        <item x="237"/>
        <item x="177"/>
        <item x="123"/>
        <item x="92"/>
        <item x="329"/>
        <item x="8"/>
        <item x="350"/>
        <item x="185"/>
        <item x="294"/>
        <item x="358"/>
        <item x="175"/>
        <item x="37"/>
        <item x="111"/>
        <item x="192"/>
        <item x="138"/>
        <item x="28"/>
        <item x="0"/>
        <item x="186"/>
        <item x="128"/>
        <item x="214"/>
        <item x="361"/>
        <item x="165"/>
        <item x="70"/>
        <item x="364"/>
        <item x="301"/>
        <item x="62"/>
        <item x="170"/>
        <item x="120"/>
        <item x="199"/>
        <item x="276"/>
        <item x="160"/>
        <item x="16"/>
        <item x="331"/>
        <item x="4"/>
        <item x="143"/>
        <item x="283"/>
        <item x="52"/>
        <item x="261"/>
        <item x="304"/>
        <item x="43"/>
        <item x="338"/>
        <item x="1"/>
        <item x="327"/>
        <item x="131"/>
        <item x="99"/>
        <item x="96"/>
        <item x="103"/>
        <item x="7"/>
        <item x="3"/>
        <item x="354"/>
        <item x="155"/>
        <item x="156"/>
        <item x="17"/>
        <item x="203"/>
        <item x="171"/>
        <item x="26"/>
        <item x="81"/>
        <item x="125"/>
        <item x="245"/>
        <item x="314"/>
        <item x="371"/>
        <item x="63"/>
        <item x="231"/>
        <item x="216"/>
        <item x="298"/>
        <item x="158"/>
        <item x="24"/>
        <item x="366"/>
        <item x="227"/>
        <item x="230"/>
        <item x="288"/>
        <item x="69"/>
        <item x="337"/>
        <item x="22"/>
        <item x="309"/>
        <item x="57"/>
        <item x="36"/>
        <item x="349"/>
        <item x="77"/>
        <item x="169"/>
        <item x="163"/>
        <item x="119"/>
        <item x="47"/>
        <item x="194"/>
        <item x="339"/>
        <item x="113"/>
        <item x="55"/>
        <item x="248"/>
        <item x="306"/>
        <item x="334"/>
        <item x="277"/>
        <item x="375"/>
        <item x="302"/>
        <item x="252"/>
        <item x="330"/>
        <item x="223"/>
        <item x="174"/>
        <item x="353"/>
        <item x="265"/>
        <item x="326"/>
        <item x="372"/>
        <item t="default"/>
      </items>
    </pivotField>
    <pivotField showAll="0">
      <items count="11">
        <item x="0"/>
        <item x="2"/>
        <item x="8"/>
        <item x="7"/>
        <item x="3"/>
        <item x="6"/>
        <item x="5"/>
        <item x="9"/>
        <item x="1"/>
        <item x="4"/>
        <item t="default"/>
      </items>
    </pivotField>
    <pivotField showAll="0">
      <items count="7">
        <item x="5"/>
        <item x="4"/>
        <item x="1"/>
        <item x="3"/>
        <item x="0"/>
        <item x="2"/>
        <item t="default"/>
      </items>
    </pivotField>
    <pivotField dataField="1" showAll="0"/>
    <pivotField showAll="0">
      <items count="4">
        <item x="1"/>
        <item x="0"/>
        <item x="2"/>
        <item t="default"/>
      </items>
    </pivotField>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i>
    <i>
      <x v="1"/>
    </i>
    <i>
      <x v="2"/>
    </i>
    <i>
      <x v="3"/>
    </i>
    <i>
      <x v="4"/>
    </i>
    <i>
      <x v="5"/>
    </i>
    <i>
      <x v="6"/>
    </i>
    <i t="grand">
      <x/>
    </i>
  </rowItems>
  <colItems count="1">
    <i/>
  </colItems>
  <dataFields count="1">
    <dataField name="Sum of Bill_Amount" fld="10" baseField="0"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E08ACA7E-428E-4E9F-B6CE-4B5D4E3B23C1}" sourceName="Age">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4"/>
    <pivotTable tabId="2" name="PivotTable5"/>
    <pivotTable tabId="2" name="PivotTable6"/>
    <pivotTable tabId="2" name="PivotTable7"/>
    <pivotTable tabId="2" name="PivotTable8"/>
    <pivotTable tabId="2" name="PivotTable9"/>
  </pivotTables>
  <data>
    <tabular pivotCacheId="1214511700">
      <items count="7">
        <i x="1" s="1"/>
        <i x="2" s="1"/>
        <i x="3" s="1"/>
        <i x="4" s="1"/>
        <i x="5"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46F3425A-86C6-4B22-BC8F-67C0B47811A9}" cache="Slicer_Age" caption="Age"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0B556C-ECA5-4897-854C-132503E9A27A}" name="Table1" displayName="Table1" ref="C1:M3001" totalsRowShown="0" headerRowDxfId="4" headerRowBorderDxfId="3" tableBorderDxfId="2">
  <autoFilter ref="C1:M3001" xr:uid="{A50B556C-ECA5-4897-854C-132503E9A27A}"/>
  <tableColumns count="11">
    <tableColumn id="1" xr3:uid="{2F2458B6-B7A2-4AAF-B97F-8CEBEDE0EEA7}" name="Age"/>
    <tableColumn id="2" xr3:uid="{37A7382F-A2C1-47BF-A740-0FFF7CC1A330}" name="Gender"/>
    <tableColumn id="3" xr3:uid="{321B3245-0AA3-48B0-B165-EC0711D9C2F1}" name="Department"/>
    <tableColumn id="4" xr3:uid="{7E334673-9682-45F1-A5D8-35BB4260ED5D}" name="Doctor_Name"/>
    <tableColumn id="5" xr3:uid="{AAC071CC-F215-4B06-B0C4-72AC14AB95CD}" name="Admission_Date" dataDxfId="1"/>
    <tableColumn id="6" xr3:uid="{CF45DDEA-644A-413C-8871-05AEF83AE5F2}" name="Discharge_Date" dataDxfId="0"/>
    <tableColumn id="7" xr3:uid="{23607A19-5C47-41F7-8634-C07EAD191E59}" name="Diagnosis"/>
    <tableColumn id="8" xr3:uid="{33D39570-C62A-404A-98AF-DAC48B9DEFB1}" name="Treatment"/>
    <tableColumn id="9" xr3:uid="{24FC4CCC-A6D0-447A-BF50-7ED20D4ADA6D}" name="Bill_Amount"/>
    <tableColumn id="10" xr3:uid="{95DE6C74-F815-4405-A9A9-5003B9CFEDC5}" name="Payment_Status"/>
    <tableColumn id="11" xr3:uid="{73E4A564-2053-481B-A496-6D27F7AD517C}" name="Length_of_Stay"/>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7FAD-2105-4366-983D-E7B0A2270719}">
  <dimension ref="A3:L52"/>
  <sheetViews>
    <sheetView workbookViewId="0">
      <selection activeCell="G11" sqref="G11"/>
    </sheetView>
  </sheetViews>
  <sheetFormatPr defaultRowHeight="15" x14ac:dyDescent="0.25"/>
  <cols>
    <col min="1" max="1" width="13.140625" bestFit="1" customWidth="1"/>
    <col min="2" max="2" width="18.5703125" bestFit="1" customWidth="1"/>
    <col min="3" max="4" width="13.140625" bestFit="1" customWidth="1"/>
    <col min="5" max="5" width="18.5703125" bestFit="1" customWidth="1"/>
    <col min="6" max="6" width="13.140625" bestFit="1" customWidth="1"/>
    <col min="7" max="7" width="16.85546875" bestFit="1" customWidth="1"/>
    <col min="8" max="8" width="18.5703125" bestFit="1" customWidth="1"/>
    <col min="9" max="9" width="16.85546875" bestFit="1" customWidth="1"/>
    <col min="10" max="10" width="13.140625" bestFit="1" customWidth="1"/>
    <col min="11" max="11" width="18.5703125" bestFit="1" customWidth="1"/>
    <col min="12" max="12" width="8" customWidth="1"/>
    <col min="13" max="13" width="2" bestFit="1" customWidth="1"/>
    <col min="14" max="103" width="3" bestFit="1" customWidth="1"/>
    <col min="104" max="1003" width="4" bestFit="1" customWidth="1"/>
    <col min="1004" max="3004" width="5" bestFit="1" customWidth="1"/>
    <col min="3005" max="3005" width="11.28515625" bestFit="1" customWidth="1"/>
  </cols>
  <sheetData>
    <row r="3" spans="1:11" x14ac:dyDescent="0.25">
      <c r="A3" t="s">
        <v>5776</v>
      </c>
      <c r="C3" s="3" t="s">
        <v>5777</v>
      </c>
      <c r="D3" t="s">
        <v>5776</v>
      </c>
      <c r="F3" s="3" t="s">
        <v>5777</v>
      </c>
      <c r="G3" t="s">
        <v>5776</v>
      </c>
      <c r="I3" s="3" t="s">
        <v>5777</v>
      </c>
      <c r="J3" t="s">
        <v>5776</v>
      </c>
    </row>
    <row r="4" spans="1:11" x14ac:dyDescent="0.25">
      <c r="A4">
        <v>3000</v>
      </c>
      <c r="C4" s="4" t="s">
        <v>5783</v>
      </c>
      <c r="D4">
        <v>321</v>
      </c>
      <c r="F4" s="4" t="s">
        <v>2948</v>
      </c>
      <c r="G4">
        <v>1503</v>
      </c>
      <c r="H4" s="9">
        <f>GETPIVOTDATA("Patient_ID",$F$3,"Gender",F4)/GETPIVOTDATA("Patient_ID",$F$3)</f>
        <v>0.501</v>
      </c>
      <c r="I4" s="4" t="s">
        <v>2954</v>
      </c>
      <c r="J4">
        <v>434</v>
      </c>
    </row>
    <row r="5" spans="1:11" x14ac:dyDescent="0.25">
      <c r="C5" s="4" t="s">
        <v>5781</v>
      </c>
      <c r="D5">
        <v>642</v>
      </c>
      <c r="F5" s="4" t="s">
        <v>2947</v>
      </c>
      <c r="G5">
        <v>1497</v>
      </c>
      <c r="H5" s="9">
        <f>GETPIVOTDATA("Patient_ID",$F$3,"Gender",F5)/GETPIVOTDATA("Patient_ID",$F$3)</f>
        <v>0.499</v>
      </c>
      <c r="I5" s="4" t="s">
        <v>2950</v>
      </c>
      <c r="J5">
        <v>407</v>
      </c>
    </row>
    <row r="6" spans="1:11" x14ac:dyDescent="0.25">
      <c r="C6" s="4" t="s">
        <v>5782</v>
      </c>
      <c r="D6">
        <v>647</v>
      </c>
      <c r="F6" s="4" t="s">
        <v>5778</v>
      </c>
      <c r="G6">
        <v>3000</v>
      </c>
      <c r="I6" s="4" t="s">
        <v>2955</v>
      </c>
      <c r="J6">
        <v>422</v>
      </c>
    </row>
    <row r="7" spans="1:11" x14ac:dyDescent="0.25">
      <c r="C7" s="4" t="s">
        <v>5779</v>
      </c>
      <c r="D7">
        <v>691</v>
      </c>
      <c r="I7" s="4" t="s">
        <v>2953</v>
      </c>
      <c r="J7">
        <v>426</v>
      </c>
    </row>
    <row r="8" spans="1:11" x14ac:dyDescent="0.25">
      <c r="C8" s="4" t="s">
        <v>5780</v>
      </c>
      <c r="D8">
        <v>699</v>
      </c>
      <c r="I8" s="4" t="s">
        <v>2952</v>
      </c>
      <c r="J8">
        <v>415</v>
      </c>
    </row>
    <row r="9" spans="1:11" x14ac:dyDescent="0.25">
      <c r="C9" s="4" t="s">
        <v>5778</v>
      </c>
      <c r="D9">
        <v>3000</v>
      </c>
      <c r="I9" s="4" t="s">
        <v>2951</v>
      </c>
      <c r="J9">
        <v>464</v>
      </c>
    </row>
    <row r="10" spans="1:11" x14ac:dyDescent="0.25">
      <c r="I10" s="4" t="s">
        <v>2949</v>
      </c>
      <c r="J10">
        <v>432</v>
      </c>
    </row>
    <row r="11" spans="1:11" x14ac:dyDescent="0.25">
      <c r="I11" s="4" t="s">
        <v>5778</v>
      </c>
      <c r="J11">
        <v>3000</v>
      </c>
    </row>
    <row r="13" spans="1:11" x14ac:dyDescent="0.25">
      <c r="A13" s="3" t="s">
        <v>5777</v>
      </c>
      <c r="B13" t="s">
        <v>5776</v>
      </c>
      <c r="D13" s="3" t="s">
        <v>5777</v>
      </c>
      <c r="E13" t="s">
        <v>5776</v>
      </c>
      <c r="G13" s="3" t="s">
        <v>5777</v>
      </c>
      <c r="H13" t="s">
        <v>5776</v>
      </c>
      <c r="J13" s="3" t="s">
        <v>5777</v>
      </c>
      <c r="K13" t="s">
        <v>5776</v>
      </c>
    </row>
    <row r="14" spans="1:11" x14ac:dyDescent="0.25">
      <c r="A14" s="4" t="s">
        <v>5761</v>
      </c>
      <c r="B14">
        <v>278</v>
      </c>
      <c r="D14" s="4" t="s">
        <v>5784</v>
      </c>
      <c r="E14">
        <v>453</v>
      </c>
      <c r="G14" s="4" t="s">
        <v>2950</v>
      </c>
      <c r="H14">
        <v>407</v>
      </c>
      <c r="J14" s="4" t="s">
        <v>5794</v>
      </c>
      <c r="K14">
        <v>209</v>
      </c>
    </row>
    <row r="15" spans="1:11" x14ac:dyDescent="0.25">
      <c r="A15" s="4" t="s">
        <v>5767</v>
      </c>
      <c r="B15">
        <v>285</v>
      </c>
      <c r="D15" s="4" t="s">
        <v>5789</v>
      </c>
      <c r="E15">
        <v>415</v>
      </c>
      <c r="G15" s="4" t="s">
        <v>2952</v>
      </c>
      <c r="H15">
        <v>415</v>
      </c>
      <c r="J15" s="4" t="s">
        <v>5795</v>
      </c>
      <c r="K15">
        <v>221</v>
      </c>
    </row>
    <row r="16" spans="1:11" x14ac:dyDescent="0.25">
      <c r="A16" s="4" t="s">
        <v>5764</v>
      </c>
      <c r="B16">
        <v>286</v>
      </c>
      <c r="D16" s="4" t="s">
        <v>5787</v>
      </c>
      <c r="E16">
        <v>415</v>
      </c>
      <c r="G16" s="4" t="s">
        <v>2955</v>
      </c>
      <c r="H16">
        <v>422</v>
      </c>
      <c r="J16" s="4" t="s">
        <v>5796</v>
      </c>
      <c r="K16">
        <v>259</v>
      </c>
    </row>
    <row r="17" spans="1:11" x14ac:dyDescent="0.25">
      <c r="A17" s="4" t="s">
        <v>5763</v>
      </c>
      <c r="B17">
        <v>289</v>
      </c>
      <c r="D17" s="4" t="s">
        <v>5804</v>
      </c>
      <c r="E17">
        <v>390</v>
      </c>
      <c r="G17" s="4" t="s">
        <v>2953</v>
      </c>
      <c r="H17">
        <v>426</v>
      </c>
      <c r="J17" s="4" t="s">
        <v>5797</v>
      </c>
      <c r="K17">
        <v>241</v>
      </c>
    </row>
    <row r="18" spans="1:11" x14ac:dyDescent="0.25">
      <c r="A18" s="4" t="s">
        <v>5766</v>
      </c>
      <c r="B18">
        <v>295</v>
      </c>
      <c r="D18" s="4" t="s">
        <v>5786</v>
      </c>
      <c r="E18">
        <v>383</v>
      </c>
      <c r="G18" s="4" t="s">
        <v>2949</v>
      </c>
      <c r="H18">
        <v>432</v>
      </c>
      <c r="J18" s="4" t="s">
        <v>5798</v>
      </c>
      <c r="K18">
        <v>268</v>
      </c>
    </row>
    <row r="19" spans="1:11" x14ac:dyDescent="0.25">
      <c r="A19" s="4" t="s">
        <v>5765</v>
      </c>
      <c r="B19">
        <v>308</v>
      </c>
      <c r="D19" s="4" t="s">
        <v>5785</v>
      </c>
      <c r="E19">
        <v>374</v>
      </c>
      <c r="G19" s="4" t="s">
        <v>2954</v>
      </c>
      <c r="H19">
        <v>434</v>
      </c>
      <c r="J19" s="4" t="s">
        <v>5799</v>
      </c>
      <c r="K19">
        <v>256</v>
      </c>
    </row>
    <row r="20" spans="1:11" x14ac:dyDescent="0.25">
      <c r="A20" s="4" t="s">
        <v>5759</v>
      </c>
      <c r="B20">
        <v>310</v>
      </c>
      <c r="D20" s="4" t="s">
        <v>5788</v>
      </c>
      <c r="E20">
        <v>371</v>
      </c>
      <c r="G20" s="4" t="s">
        <v>2951</v>
      </c>
      <c r="H20">
        <v>464</v>
      </c>
      <c r="J20" s="4" t="s">
        <v>5800</v>
      </c>
      <c r="K20">
        <v>261</v>
      </c>
    </row>
    <row r="21" spans="1:11" x14ac:dyDescent="0.25">
      <c r="A21" s="4" t="s">
        <v>5762</v>
      </c>
      <c r="B21">
        <v>313</v>
      </c>
      <c r="D21" s="4" t="s">
        <v>5805</v>
      </c>
      <c r="E21">
        <v>199</v>
      </c>
      <c r="G21" s="4" t="s">
        <v>5778</v>
      </c>
      <c r="H21">
        <v>3000</v>
      </c>
      <c r="J21" s="4" t="s">
        <v>5801</v>
      </c>
      <c r="K21">
        <v>256</v>
      </c>
    </row>
    <row r="22" spans="1:11" x14ac:dyDescent="0.25">
      <c r="A22" s="4" t="s">
        <v>5758</v>
      </c>
      <c r="B22">
        <v>315</v>
      </c>
      <c r="D22" s="4" t="s">
        <v>5778</v>
      </c>
      <c r="E22">
        <v>3000</v>
      </c>
      <c r="J22" s="4" t="s">
        <v>5790</v>
      </c>
      <c r="K22">
        <v>266</v>
      </c>
    </row>
    <row r="23" spans="1:11" x14ac:dyDescent="0.25">
      <c r="A23" s="4" t="s">
        <v>5760</v>
      </c>
      <c r="B23">
        <v>321</v>
      </c>
      <c r="J23" s="4" t="s">
        <v>5791</v>
      </c>
      <c r="K23">
        <v>262</v>
      </c>
    </row>
    <row r="24" spans="1:11" x14ac:dyDescent="0.25">
      <c r="A24" s="4" t="s">
        <v>5778</v>
      </c>
      <c r="B24">
        <v>3000</v>
      </c>
      <c r="J24" s="4" t="s">
        <v>5792</v>
      </c>
      <c r="K24">
        <v>255</v>
      </c>
    </row>
    <row r="25" spans="1:11" x14ac:dyDescent="0.25">
      <c r="J25" s="4" t="s">
        <v>5793</v>
      </c>
      <c r="K25">
        <v>246</v>
      </c>
    </row>
    <row r="26" spans="1:11" x14ac:dyDescent="0.25">
      <c r="J26" s="4" t="s">
        <v>5778</v>
      </c>
      <c r="K26">
        <v>3000</v>
      </c>
    </row>
    <row r="27" spans="1:11" x14ac:dyDescent="0.25">
      <c r="A27" s="3" t="s">
        <v>5777</v>
      </c>
      <c r="B27" t="s">
        <v>5776</v>
      </c>
      <c r="D27" t="s">
        <v>5802</v>
      </c>
      <c r="F27" t="s">
        <v>5803</v>
      </c>
    </row>
    <row r="28" spans="1:11" x14ac:dyDescent="0.25">
      <c r="A28" s="4" t="s">
        <v>5794</v>
      </c>
      <c r="B28">
        <v>214</v>
      </c>
      <c r="D28" s="6">
        <v>766155172.24000156</v>
      </c>
      <c r="E28" s="6">
        <f>GETPIVOTDATA("Bill_Amount",$D$27)</f>
        <v>766155172.24000156</v>
      </c>
      <c r="F28" s="7">
        <v>7.9116666666666671</v>
      </c>
    </row>
    <row r="29" spans="1:11" x14ac:dyDescent="0.25">
      <c r="A29" s="4" t="s">
        <v>5795</v>
      </c>
      <c r="B29">
        <v>203</v>
      </c>
    </row>
    <row r="30" spans="1:11" x14ac:dyDescent="0.25">
      <c r="A30" s="4" t="s">
        <v>5796</v>
      </c>
      <c r="B30">
        <v>270</v>
      </c>
      <c r="D30" s="3" t="s">
        <v>5777</v>
      </c>
      <c r="E30" t="s">
        <v>5776</v>
      </c>
      <c r="G30" s="3" t="s">
        <v>5777</v>
      </c>
      <c r="H30" t="s">
        <v>5776</v>
      </c>
      <c r="J30" s="3" t="s">
        <v>5777</v>
      </c>
      <c r="K30" t="s">
        <v>5802</v>
      </c>
    </row>
    <row r="31" spans="1:11" x14ac:dyDescent="0.25">
      <c r="A31" s="4" t="s">
        <v>5797</v>
      </c>
      <c r="B31">
        <v>246</v>
      </c>
      <c r="D31" s="4" t="s">
        <v>5774</v>
      </c>
      <c r="E31" s="7">
        <v>1018</v>
      </c>
      <c r="F31" s="8">
        <f>GETPIVOTDATA("Patient_ID",$D$30,"Payment_Status",D31)/GETPIVOTDATA("Patient_ID",$D$30)</f>
        <v>0.33933333333333332</v>
      </c>
      <c r="G31" s="4" t="s">
        <v>5772</v>
      </c>
      <c r="H31" s="7">
        <v>517</v>
      </c>
      <c r="J31" s="4" t="s">
        <v>2954</v>
      </c>
      <c r="K31" s="6">
        <v>115198524.19999999</v>
      </c>
    </row>
    <row r="32" spans="1:11" x14ac:dyDescent="0.25">
      <c r="A32" s="4" t="s">
        <v>5798</v>
      </c>
      <c r="B32">
        <v>268</v>
      </c>
      <c r="D32" s="4" t="s">
        <v>5773</v>
      </c>
      <c r="E32" s="7">
        <v>970</v>
      </c>
      <c r="F32" s="8">
        <f t="shared" ref="F32:F33" si="0">GETPIVOTDATA("Patient_ID",$D$30,"Payment_Status",D32)/GETPIVOTDATA("Patient_ID",$D$30)</f>
        <v>0.32333333333333331</v>
      </c>
      <c r="G32" s="4" t="s">
        <v>5771</v>
      </c>
      <c r="H32" s="7">
        <v>493</v>
      </c>
      <c r="J32" s="4" t="s">
        <v>2950</v>
      </c>
      <c r="K32" s="6">
        <v>99203801.039999947</v>
      </c>
    </row>
    <row r="33" spans="1:12" x14ac:dyDescent="0.25">
      <c r="A33" s="4" t="s">
        <v>5799</v>
      </c>
      <c r="B33">
        <v>251</v>
      </c>
      <c r="D33" s="4" t="s">
        <v>5775</v>
      </c>
      <c r="E33" s="7">
        <v>1012</v>
      </c>
      <c r="F33" s="8">
        <f t="shared" si="0"/>
        <v>0.33733333333333332</v>
      </c>
      <c r="G33" s="4" t="s">
        <v>5769</v>
      </c>
      <c r="H33" s="7">
        <v>548</v>
      </c>
      <c r="J33" s="4" t="s">
        <v>2955</v>
      </c>
      <c r="K33" s="6">
        <v>107101493.33999996</v>
      </c>
    </row>
    <row r="34" spans="1:12" x14ac:dyDescent="0.25">
      <c r="A34" s="4" t="s">
        <v>5800</v>
      </c>
      <c r="B34">
        <v>250</v>
      </c>
      <c r="D34" s="4" t="s">
        <v>5778</v>
      </c>
      <c r="E34" s="7">
        <v>3000</v>
      </c>
      <c r="F34" s="8"/>
      <c r="G34" s="4" t="s">
        <v>5770</v>
      </c>
      <c r="H34" s="7">
        <v>495</v>
      </c>
      <c r="J34" s="4" t="s">
        <v>2953</v>
      </c>
      <c r="K34" s="6">
        <v>110155196.80999996</v>
      </c>
    </row>
    <row r="35" spans="1:12" x14ac:dyDescent="0.25">
      <c r="A35" s="4" t="s">
        <v>5801</v>
      </c>
      <c r="B35">
        <v>252</v>
      </c>
      <c r="G35" s="4" t="s">
        <v>5768</v>
      </c>
      <c r="H35" s="7">
        <v>461</v>
      </c>
      <c r="J35" s="4" t="s">
        <v>2952</v>
      </c>
      <c r="K35" s="6">
        <v>111606493.56000014</v>
      </c>
    </row>
    <row r="36" spans="1:12" x14ac:dyDescent="0.25">
      <c r="A36" s="4" t="s">
        <v>5790</v>
      </c>
      <c r="B36">
        <v>286</v>
      </c>
      <c r="G36" s="4" t="s">
        <v>2949</v>
      </c>
      <c r="H36" s="7">
        <v>486</v>
      </c>
      <c r="J36" s="4" t="s">
        <v>2951</v>
      </c>
      <c r="K36" s="6">
        <v>119027644.99999999</v>
      </c>
    </row>
    <row r="37" spans="1:12" x14ac:dyDescent="0.25">
      <c r="A37" s="4" t="s">
        <v>5791</v>
      </c>
      <c r="B37">
        <v>247</v>
      </c>
      <c r="G37" s="4" t="s">
        <v>5778</v>
      </c>
      <c r="H37" s="7">
        <v>3000</v>
      </c>
      <c r="J37" s="4" t="s">
        <v>2949</v>
      </c>
      <c r="K37" s="6">
        <v>103862018.29000011</v>
      </c>
    </row>
    <row r="38" spans="1:12" x14ac:dyDescent="0.25">
      <c r="A38" s="4" t="s">
        <v>5792</v>
      </c>
      <c r="B38">
        <v>252</v>
      </c>
      <c r="J38" s="4" t="s">
        <v>5778</v>
      </c>
      <c r="K38" s="6">
        <v>766155172.24000013</v>
      </c>
    </row>
    <row r="39" spans="1:12" x14ac:dyDescent="0.25">
      <c r="A39" s="4" t="s">
        <v>5793</v>
      </c>
      <c r="B39">
        <v>261</v>
      </c>
      <c r="D39" s="3" t="s">
        <v>5777</v>
      </c>
      <c r="E39" t="s">
        <v>5802</v>
      </c>
    </row>
    <row r="40" spans="1:12" x14ac:dyDescent="0.25">
      <c r="A40" s="4" t="s">
        <v>5778</v>
      </c>
      <c r="B40">
        <v>3000</v>
      </c>
      <c r="D40" s="4" t="s">
        <v>5794</v>
      </c>
      <c r="E40" s="6">
        <v>53364879.149999976</v>
      </c>
      <c r="G40" s="3" t="s">
        <v>5777</v>
      </c>
      <c r="H40" t="s">
        <v>5776</v>
      </c>
      <c r="J40" t="str">
        <f>G41</f>
        <v>Flu</v>
      </c>
      <c r="K40">
        <f>GETPIVOTDATA("Patient_ID",$G$40,"Diagnosis",G41)</f>
        <v>278</v>
      </c>
      <c r="L40" s="8">
        <f>GETPIVOTDATA("Patient_ID",$G$40,"Diagnosis",G41)/GETPIVOTDATA("Patient_ID",$G$40)</f>
        <v>9.2666666666666661E-2</v>
      </c>
    </row>
    <row r="41" spans="1:12" x14ac:dyDescent="0.25">
      <c r="D41" s="4" t="s">
        <v>5795</v>
      </c>
      <c r="E41" s="6">
        <v>54581318.509999968</v>
      </c>
      <c r="G41" s="4" t="s">
        <v>5761</v>
      </c>
      <c r="H41">
        <v>278</v>
      </c>
      <c r="J41" t="str">
        <f>G42</f>
        <v>Malaria</v>
      </c>
      <c r="K41">
        <f t="shared" ref="K41:K49" si="1">GETPIVOTDATA("Patient_ID",$G$40,"Diagnosis",G42)</f>
        <v>285</v>
      </c>
      <c r="L41" s="8">
        <f t="shared" ref="L41:L49" si="2">GETPIVOTDATA("Patient_ID",$G$40,"Diagnosis",G42)/GETPIVOTDATA("Patient_ID",$G$40)</f>
        <v>9.5000000000000001E-2</v>
      </c>
    </row>
    <row r="42" spans="1:12" x14ac:dyDescent="0.25">
      <c r="D42" s="4" t="s">
        <v>5796</v>
      </c>
      <c r="E42" s="6">
        <v>68208577.039999992</v>
      </c>
      <c r="G42" s="4" t="s">
        <v>5767</v>
      </c>
      <c r="H42">
        <v>285</v>
      </c>
      <c r="J42" t="str">
        <f t="shared" ref="J42:J49" si="3">G43</f>
        <v>Fracture</v>
      </c>
      <c r="K42">
        <f t="shared" si="1"/>
        <v>286</v>
      </c>
      <c r="L42" s="8">
        <f t="shared" si="2"/>
        <v>9.5333333333333339E-2</v>
      </c>
    </row>
    <row r="43" spans="1:12" x14ac:dyDescent="0.25">
      <c r="D43" s="4" t="s">
        <v>5797</v>
      </c>
      <c r="E43" s="6">
        <v>61290667.980000019</v>
      </c>
      <c r="G43" s="4" t="s">
        <v>5764</v>
      </c>
      <c r="H43">
        <v>286</v>
      </c>
      <c r="J43" t="str">
        <f t="shared" si="3"/>
        <v>Hypertension</v>
      </c>
      <c r="K43">
        <f t="shared" si="1"/>
        <v>289</v>
      </c>
      <c r="L43" s="8">
        <f t="shared" si="2"/>
        <v>9.633333333333334E-2</v>
      </c>
    </row>
    <row r="44" spans="1:12" x14ac:dyDescent="0.25">
      <c r="D44" s="4" t="s">
        <v>5798</v>
      </c>
      <c r="E44" s="6">
        <v>66438712.840000041</v>
      </c>
      <c r="G44" s="4" t="s">
        <v>5763</v>
      </c>
      <c r="H44">
        <v>289</v>
      </c>
      <c r="J44" t="str">
        <f t="shared" si="3"/>
        <v>Covid-19</v>
      </c>
      <c r="K44">
        <f t="shared" si="1"/>
        <v>295</v>
      </c>
      <c r="L44" s="8">
        <f t="shared" si="2"/>
        <v>9.8333333333333328E-2</v>
      </c>
    </row>
    <row r="45" spans="1:12" x14ac:dyDescent="0.25">
      <c r="D45" s="4" t="s">
        <v>5799</v>
      </c>
      <c r="E45" s="6">
        <v>68068797.590000018</v>
      </c>
      <c r="G45" s="4" t="s">
        <v>5766</v>
      </c>
      <c r="H45">
        <v>295</v>
      </c>
      <c r="J45" t="str">
        <f t="shared" si="3"/>
        <v>Diabetes</v>
      </c>
      <c r="K45">
        <f t="shared" si="1"/>
        <v>308</v>
      </c>
      <c r="L45" s="8">
        <f t="shared" si="2"/>
        <v>0.10266666666666667</v>
      </c>
    </row>
    <row r="46" spans="1:12" x14ac:dyDescent="0.25">
      <c r="D46" s="4" t="s">
        <v>5800</v>
      </c>
      <c r="E46" s="6">
        <v>63704041.590000004</v>
      </c>
      <c r="G46" s="4" t="s">
        <v>5765</v>
      </c>
      <c r="H46">
        <v>308</v>
      </c>
      <c r="J46" t="str">
        <f t="shared" si="3"/>
        <v>Migraine</v>
      </c>
      <c r="K46">
        <f t="shared" si="1"/>
        <v>310</v>
      </c>
      <c r="L46" s="8">
        <f t="shared" si="2"/>
        <v>0.10333333333333333</v>
      </c>
    </row>
    <row r="47" spans="1:12" x14ac:dyDescent="0.25">
      <c r="D47" s="4" t="s">
        <v>5801</v>
      </c>
      <c r="E47" s="6">
        <v>68289792.110000014</v>
      </c>
      <c r="G47" s="4" t="s">
        <v>5759</v>
      </c>
      <c r="H47">
        <v>310</v>
      </c>
      <c r="J47" t="str">
        <f t="shared" si="3"/>
        <v>Stroke</v>
      </c>
      <c r="K47">
        <f t="shared" si="1"/>
        <v>313</v>
      </c>
      <c r="L47" s="8">
        <f t="shared" si="2"/>
        <v>0.10433333333333333</v>
      </c>
    </row>
    <row r="48" spans="1:12" x14ac:dyDescent="0.25">
      <c r="D48" s="4" t="s">
        <v>5790</v>
      </c>
      <c r="E48" s="6">
        <v>67182864.600000009</v>
      </c>
      <c r="G48" s="4" t="s">
        <v>5762</v>
      </c>
      <c r="H48">
        <v>313</v>
      </c>
      <c r="J48" t="str">
        <f t="shared" si="3"/>
        <v>Asthma</v>
      </c>
      <c r="K48">
        <f t="shared" si="1"/>
        <v>315</v>
      </c>
      <c r="L48" s="8">
        <f t="shared" si="2"/>
        <v>0.105</v>
      </c>
    </row>
    <row r="49" spans="4:12" x14ac:dyDescent="0.25">
      <c r="D49" s="4" t="s">
        <v>5791</v>
      </c>
      <c r="E49" s="6">
        <v>64752967.399999976</v>
      </c>
      <c r="G49" s="4" t="s">
        <v>5758</v>
      </c>
      <c r="H49">
        <v>315</v>
      </c>
      <c r="J49" t="str">
        <f t="shared" si="3"/>
        <v>Cancer</v>
      </c>
      <c r="K49">
        <f t="shared" si="1"/>
        <v>321</v>
      </c>
      <c r="L49" s="8">
        <f t="shared" si="2"/>
        <v>0.107</v>
      </c>
    </row>
    <row r="50" spans="4:12" x14ac:dyDescent="0.25">
      <c r="D50" s="4" t="s">
        <v>5792</v>
      </c>
      <c r="E50" s="6">
        <v>65446841.719999969</v>
      </c>
      <c r="G50" s="4" t="s">
        <v>5760</v>
      </c>
      <c r="H50">
        <v>321</v>
      </c>
    </row>
    <row r="51" spans="4:12" x14ac:dyDescent="0.25">
      <c r="D51" s="4" t="s">
        <v>5793</v>
      </c>
      <c r="E51" s="6">
        <v>64825711.709999979</v>
      </c>
      <c r="G51" s="4" t="s">
        <v>5778</v>
      </c>
      <c r="H51">
        <v>3000</v>
      </c>
    </row>
    <row r="52" spans="4:12" x14ac:dyDescent="0.25">
      <c r="D52" s="4" t="s">
        <v>5778</v>
      </c>
      <c r="E52" s="6">
        <v>766155172.24000001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36C31-7A0B-4F52-8658-6E5433BA116D}">
  <sheetPr>
    <pageSetUpPr fitToPage="1"/>
  </sheetPr>
  <dimension ref="A1"/>
  <sheetViews>
    <sheetView showGridLines="0" tabSelected="1" topLeftCell="E1" zoomScaleNormal="100" workbookViewId="0">
      <selection activeCell="N35" sqref="N35"/>
    </sheetView>
  </sheetViews>
  <sheetFormatPr defaultRowHeight="15" x14ac:dyDescent="0.25"/>
  <cols>
    <col min="1" max="16384" width="9.140625" style="10"/>
  </cols>
  <sheetData/>
  <pageMargins left="0.7" right="0.7" top="0.75" bottom="0.75" header="0.3" footer="0.3"/>
  <pageSetup scale="38"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01"/>
  <sheetViews>
    <sheetView topLeftCell="C1" workbookViewId="0">
      <selection activeCell="N6" sqref="N6"/>
    </sheetView>
  </sheetViews>
  <sheetFormatPr defaultRowHeight="15" x14ac:dyDescent="0.25"/>
  <cols>
    <col min="1" max="1" width="10.28515625" bestFit="1" customWidth="1"/>
    <col min="2" max="2" width="26.85546875" bestFit="1" customWidth="1"/>
    <col min="3" max="3" width="6.5703125" customWidth="1"/>
    <col min="4" max="4" width="9.85546875" customWidth="1"/>
    <col min="5" max="5" width="16.85546875" bestFit="1" customWidth="1"/>
    <col min="6" max="6" width="24.7109375" bestFit="1" customWidth="1"/>
    <col min="7" max="7" width="17.5703125" customWidth="1"/>
    <col min="8" max="8" width="16.85546875" customWidth="1"/>
    <col min="9" max="9" width="13.140625" bestFit="1" customWidth="1"/>
    <col min="10" max="10" width="14.28515625" bestFit="1" customWidth="1"/>
    <col min="11" max="11" width="14.140625" customWidth="1"/>
    <col min="12" max="12" width="17.42578125" customWidth="1"/>
    <col min="13" max="13" width="16.7109375" customWidth="1"/>
  </cols>
  <sheetData>
    <row r="1" spans="1:13" x14ac:dyDescent="0.25">
      <c r="A1" s="1" t="s">
        <v>0</v>
      </c>
      <c r="B1" s="1" t="s">
        <v>1</v>
      </c>
      <c r="C1" s="5" t="s">
        <v>2</v>
      </c>
      <c r="D1" s="5" t="s">
        <v>3</v>
      </c>
      <c r="E1" s="5" t="s">
        <v>4</v>
      </c>
      <c r="F1" s="5" t="s">
        <v>5</v>
      </c>
      <c r="G1" s="5" t="s">
        <v>6</v>
      </c>
      <c r="H1" s="5" t="s">
        <v>7</v>
      </c>
      <c r="I1" s="5" t="s">
        <v>8</v>
      </c>
      <c r="J1" s="5" t="s">
        <v>9</v>
      </c>
      <c r="K1" s="5" t="s">
        <v>10</v>
      </c>
      <c r="L1" s="5" t="s">
        <v>11</v>
      </c>
      <c r="M1" s="5" t="s">
        <v>12</v>
      </c>
    </row>
    <row r="2" spans="1:13" x14ac:dyDescent="0.25">
      <c r="A2">
        <v>1</v>
      </c>
      <c r="B2" t="s">
        <v>13</v>
      </c>
      <c r="C2">
        <v>87</v>
      </c>
      <c r="D2" t="s">
        <v>2947</v>
      </c>
      <c r="E2" t="s">
        <v>2949</v>
      </c>
      <c r="F2" t="s">
        <v>2956</v>
      </c>
      <c r="G2" s="2">
        <v>45831</v>
      </c>
      <c r="H2" s="2">
        <v>45843</v>
      </c>
      <c r="I2" t="s">
        <v>5758</v>
      </c>
      <c r="J2" t="s">
        <v>5768</v>
      </c>
      <c r="K2">
        <v>391359.55</v>
      </c>
      <c r="L2" t="s">
        <v>5773</v>
      </c>
      <c r="M2">
        <v>12</v>
      </c>
    </row>
    <row r="3" spans="1:13" x14ac:dyDescent="0.25">
      <c r="A3">
        <v>2</v>
      </c>
      <c r="B3" t="s">
        <v>14</v>
      </c>
      <c r="C3">
        <v>51</v>
      </c>
      <c r="D3" t="s">
        <v>2947</v>
      </c>
      <c r="E3" t="s">
        <v>2949</v>
      </c>
      <c r="F3" t="s">
        <v>2957</v>
      </c>
      <c r="G3" s="2">
        <v>45867</v>
      </c>
      <c r="H3" s="2">
        <v>45868</v>
      </c>
      <c r="I3" t="s">
        <v>5759</v>
      </c>
      <c r="J3" t="s">
        <v>5769</v>
      </c>
      <c r="K3">
        <v>62401.25</v>
      </c>
      <c r="L3" t="s">
        <v>5774</v>
      </c>
      <c r="M3">
        <v>1</v>
      </c>
    </row>
    <row r="4" spans="1:13" x14ac:dyDescent="0.25">
      <c r="A4">
        <v>3</v>
      </c>
      <c r="B4" t="s">
        <v>15</v>
      </c>
      <c r="C4">
        <v>35</v>
      </c>
      <c r="D4" t="s">
        <v>2947</v>
      </c>
      <c r="E4" t="s">
        <v>2950</v>
      </c>
      <c r="F4" t="s">
        <v>2958</v>
      </c>
      <c r="G4" s="2">
        <v>45774</v>
      </c>
      <c r="H4" s="2">
        <v>45785</v>
      </c>
      <c r="I4" t="s">
        <v>5759</v>
      </c>
      <c r="J4" t="s">
        <v>2949</v>
      </c>
      <c r="K4">
        <v>464172.86</v>
      </c>
      <c r="L4" t="s">
        <v>5775</v>
      </c>
      <c r="M4">
        <v>11</v>
      </c>
    </row>
    <row r="5" spans="1:13" x14ac:dyDescent="0.25">
      <c r="A5">
        <v>4</v>
      </c>
      <c r="B5" t="s">
        <v>16</v>
      </c>
      <c r="C5">
        <v>52</v>
      </c>
      <c r="D5" t="s">
        <v>2948</v>
      </c>
      <c r="E5" t="s">
        <v>2950</v>
      </c>
      <c r="F5" t="s">
        <v>2959</v>
      </c>
      <c r="G5" s="2">
        <v>45869</v>
      </c>
      <c r="H5" s="2">
        <v>45875</v>
      </c>
      <c r="I5" t="s">
        <v>5760</v>
      </c>
      <c r="J5" t="s">
        <v>5770</v>
      </c>
      <c r="K5">
        <v>140999.76999999999</v>
      </c>
      <c r="L5" t="s">
        <v>5774</v>
      </c>
      <c r="M5">
        <v>6</v>
      </c>
    </row>
    <row r="6" spans="1:13" x14ac:dyDescent="0.25">
      <c r="A6">
        <v>5</v>
      </c>
      <c r="B6" t="s">
        <v>17</v>
      </c>
      <c r="C6">
        <v>27</v>
      </c>
      <c r="D6" t="s">
        <v>2948</v>
      </c>
      <c r="E6" t="s">
        <v>2950</v>
      </c>
      <c r="F6" t="s">
        <v>2960</v>
      </c>
      <c r="G6" s="2">
        <v>45853</v>
      </c>
      <c r="H6" s="2">
        <v>45860</v>
      </c>
      <c r="I6" t="s">
        <v>5758</v>
      </c>
      <c r="J6" t="s">
        <v>5769</v>
      </c>
      <c r="K6">
        <v>89242.72</v>
      </c>
      <c r="L6" t="s">
        <v>5773</v>
      </c>
      <c r="M6">
        <v>7</v>
      </c>
    </row>
    <row r="7" spans="1:13" x14ac:dyDescent="0.25">
      <c r="A7">
        <v>6</v>
      </c>
      <c r="B7" t="s">
        <v>18</v>
      </c>
      <c r="C7">
        <v>32</v>
      </c>
      <c r="D7" t="s">
        <v>2948</v>
      </c>
      <c r="E7" t="s">
        <v>2949</v>
      </c>
      <c r="F7" t="s">
        <v>2961</v>
      </c>
      <c r="G7" s="2">
        <v>45603</v>
      </c>
      <c r="H7" s="2">
        <v>45615</v>
      </c>
      <c r="I7" t="s">
        <v>5761</v>
      </c>
      <c r="J7" t="s">
        <v>2949</v>
      </c>
      <c r="K7">
        <v>29612.02</v>
      </c>
      <c r="L7" t="s">
        <v>5775</v>
      </c>
      <c r="M7">
        <v>12</v>
      </c>
    </row>
    <row r="8" spans="1:13" x14ac:dyDescent="0.25">
      <c r="A8">
        <v>7</v>
      </c>
      <c r="B8" t="s">
        <v>19</v>
      </c>
      <c r="C8">
        <v>29</v>
      </c>
      <c r="D8" t="s">
        <v>2947</v>
      </c>
      <c r="E8" t="s">
        <v>2951</v>
      </c>
      <c r="F8" t="s">
        <v>2962</v>
      </c>
      <c r="G8" s="2">
        <v>45667</v>
      </c>
      <c r="H8" s="2">
        <v>45669</v>
      </c>
      <c r="I8" t="s">
        <v>5762</v>
      </c>
      <c r="J8" t="s">
        <v>5771</v>
      </c>
      <c r="K8">
        <v>298851.08</v>
      </c>
      <c r="L8" t="s">
        <v>5773</v>
      </c>
      <c r="M8">
        <v>2</v>
      </c>
    </row>
    <row r="9" spans="1:13" x14ac:dyDescent="0.25">
      <c r="A9">
        <v>8</v>
      </c>
      <c r="B9" t="s">
        <v>20</v>
      </c>
      <c r="C9">
        <v>26</v>
      </c>
      <c r="D9" t="s">
        <v>2948</v>
      </c>
      <c r="E9" t="s">
        <v>2952</v>
      </c>
      <c r="F9" t="s">
        <v>2963</v>
      </c>
      <c r="G9" s="2">
        <v>45868</v>
      </c>
      <c r="H9" s="2">
        <v>45874</v>
      </c>
      <c r="I9" t="s">
        <v>5760</v>
      </c>
      <c r="J9" t="s">
        <v>5770</v>
      </c>
      <c r="K9">
        <v>32697.65</v>
      </c>
      <c r="L9" t="s">
        <v>5775</v>
      </c>
      <c r="M9">
        <v>6</v>
      </c>
    </row>
    <row r="10" spans="1:13" x14ac:dyDescent="0.25">
      <c r="A10">
        <v>9</v>
      </c>
      <c r="B10" t="s">
        <v>21</v>
      </c>
      <c r="C10">
        <v>5</v>
      </c>
      <c r="D10" t="s">
        <v>2948</v>
      </c>
      <c r="E10" t="s">
        <v>2953</v>
      </c>
      <c r="F10" t="s">
        <v>2964</v>
      </c>
      <c r="G10" s="2">
        <v>45826</v>
      </c>
      <c r="H10" s="2">
        <v>45832</v>
      </c>
      <c r="I10" t="s">
        <v>5758</v>
      </c>
      <c r="J10" t="s">
        <v>2949</v>
      </c>
      <c r="K10">
        <v>234153.95</v>
      </c>
      <c r="L10" t="s">
        <v>5773</v>
      </c>
      <c r="M10">
        <v>6</v>
      </c>
    </row>
    <row r="11" spans="1:13" x14ac:dyDescent="0.25">
      <c r="A11">
        <v>10</v>
      </c>
      <c r="B11" t="s">
        <v>22</v>
      </c>
      <c r="C11">
        <v>11</v>
      </c>
      <c r="D11" t="s">
        <v>2947</v>
      </c>
      <c r="E11" t="s">
        <v>2953</v>
      </c>
      <c r="F11" t="s">
        <v>2965</v>
      </c>
      <c r="G11" s="2">
        <v>45806</v>
      </c>
      <c r="H11" s="2">
        <v>45816</v>
      </c>
      <c r="I11" t="s">
        <v>5759</v>
      </c>
      <c r="J11" t="s">
        <v>5769</v>
      </c>
      <c r="K11">
        <v>8441.2199999999993</v>
      </c>
      <c r="L11" t="s">
        <v>5773</v>
      </c>
      <c r="M11">
        <v>10</v>
      </c>
    </row>
    <row r="12" spans="1:13" x14ac:dyDescent="0.25">
      <c r="A12">
        <v>11</v>
      </c>
      <c r="B12" t="s">
        <v>23</v>
      </c>
      <c r="C12">
        <v>21</v>
      </c>
      <c r="D12" t="s">
        <v>2947</v>
      </c>
      <c r="E12" t="s">
        <v>2952</v>
      </c>
      <c r="F12" t="s">
        <v>2966</v>
      </c>
      <c r="G12" s="2">
        <v>45592</v>
      </c>
      <c r="H12" s="2">
        <v>45607</v>
      </c>
      <c r="I12" t="s">
        <v>5763</v>
      </c>
      <c r="J12" t="s">
        <v>5770</v>
      </c>
      <c r="K12">
        <v>336204.86</v>
      </c>
      <c r="L12" t="s">
        <v>5775</v>
      </c>
      <c r="M12">
        <v>15</v>
      </c>
    </row>
    <row r="13" spans="1:13" x14ac:dyDescent="0.25">
      <c r="A13">
        <v>12</v>
      </c>
      <c r="B13" t="s">
        <v>24</v>
      </c>
      <c r="C13">
        <v>85</v>
      </c>
      <c r="D13" t="s">
        <v>2947</v>
      </c>
      <c r="E13" t="s">
        <v>2953</v>
      </c>
      <c r="F13" t="s">
        <v>2967</v>
      </c>
      <c r="G13" s="2">
        <v>45636</v>
      </c>
      <c r="H13" s="2">
        <v>45650</v>
      </c>
      <c r="I13" t="s">
        <v>5764</v>
      </c>
      <c r="J13" t="s">
        <v>5769</v>
      </c>
      <c r="K13">
        <v>29746.07</v>
      </c>
      <c r="L13" t="s">
        <v>5774</v>
      </c>
      <c r="M13">
        <v>14</v>
      </c>
    </row>
    <row r="14" spans="1:13" x14ac:dyDescent="0.25">
      <c r="A14">
        <v>13</v>
      </c>
      <c r="B14" t="s">
        <v>25</v>
      </c>
      <c r="C14">
        <v>81</v>
      </c>
      <c r="D14" t="s">
        <v>2947</v>
      </c>
      <c r="E14" t="s">
        <v>2954</v>
      </c>
      <c r="F14" t="s">
        <v>2968</v>
      </c>
      <c r="G14" s="2">
        <v>45731</v>
      </c>
      <c r="H14" s="2">
        <v>45740</v>
      </c>
      <c r="I14" t="s">
        <v>5765</v>
      </c>
      <c r="J14" t="s">
        <v>5770</v>
      </c>
      <c r="K14">
        <v>224156.39</v>
      </c>
      <c r="L14" t="s">
        <v>5775</v>
      </c>
      <c r="M14">
        <v>9</v>
      </c>
    </row>
    <row r="15" spans="1:13" x14ac:dyDescent="0.25">
      <c r="A15">
        <v>14</v>
      </c>
      <c r="B15" t="s">
        <v>26</v>
      </c>
      <c r="C15">
        <v>8</v>
      </c>
      <c r="D15" t="s">
        <v>2947</v>
      </c>
      <c r="E15" t="s">
        <v>2949</v>
      </c>
      <c r="F15" t="s">
        <v>2969</v>
      </c>
      <c r="G15" s="2">
        <v>45794</v>
      </c>
      <c r="H15" s="2">
        <v>45801</v>
      </c>
      <c r="I15" t="s">
        <v>5766</v>
      </c>
      <c r="J15" t="s">
        <v>5769</v>
      </c>
      <c r="K15">
        <v>32735.4</v>
      </c>
      <c r="L15" t="s">
        <v>5775</v>
      </c>
      <c r="M15">
        <v>7</v>
      </c>
    </row>
    <row r="16" spans="1:13" x14ac:dyDescent="0.25">
      <c r="A16">
        <v>15</v>
      </c>
      <c r="B16" t="s">
        <v>27</v>
      </c>
      <c r="C16">
        <v>43</v>
      </c>
      <c r="D16" t="s">
        <v>2948</v>
      </c>
      <c r="E16" t="s">
        <v>2954</v>
      </c>
      <c r="F16" t="s">
        <v>2970</v>
      </c>
      <c r="G16" s="2">
        <v>45609</v>
      </c>
      <c r="H16" s="2">
        <v>45614</v>
      </c>
      <c r="I16" t="s">
        <v>5766</v>
      </c>
      <c r="J16" t="s">
        <v>5769</v>
      </c>
      <c r="K16">
        <v>333045.59000000003</v>
      </c>
      <c r="L16" t="s">
        <v>5774</v>
      </c>
      <c r="M16">
        <v>5</v>
      </c>
    </row>
    <row r="17" spans="1:13" x14ac:dyDescent="0.25">
      <c r="A17">
        <v>16</v>
      </c>
      <c r="B17" t="s">
        <v>28</v>
      </c>
      <c r="C17">
        <v>44</v>
      </c>
      <c r="D17" t="s">
        <v>2947</v>
      </c>
      <c r="E17" t="s">
        <v>2953</v>
      </c>
      <c r="F17" t="s">
        <v>2971</v>
      </c>
      <c r="G17" s="2">
        <v>45724</v>
      </c>
      <c r="H17" s="2">
        <v>45732</v>
      </c>
      <c r="I17" t="s">
        <v>5758</v>
      </c>
      <c r="J17" t="s">
        <v>5772</v>
      </c>
      <c r="K17">
        <v>37663.839999999997</v>
      </c>
      <c r="L17" t="s">
        <v>5774</v>
      </c>
      <c r="M17">
        <v>8</v>
      </c>
    </row>
    <row r="18" spans="1:13" x14ac:dyDescent="0.25">
      <c r="A18">
        <v>17</v>
      </c>
      <c r="B18" t="s">
        <v>29</v>
      </c>
      <c r="C18">
        <v>64</v>
      </c>
      <c r="D18" t="s">
        <v>2947</v>
      </c>
      <c r="E18" t="s">
        <v>2955</v>
      </c>
      <c r="F18" t="s">
        <v>2972</v>
      </c>
      <c r="G18" s="2">
        <v>45851</v>
      </c>
      <c r="H18" s="2">
        <v>45858</v>
      </c>
      <c r="I18" t="s">
        <v>5764</v>
      </c>
      <c r="J18" t="s">
        <v>5770</v>
      </c>
      <c r="K18">
        <v>55221.440000000002</v>
      </c>
      <c r="L18" t="s">
        <v>5775</v>
      </c>
      <c r="M18">
        <v>7</v>
      </c>
    </row>
    <row r="19" spans="1:13" x14ac:dyDescent="0.25">
      <c r="A19">
        <v>18</v>
      </c>
      <c r="B19" t="s">
        <v>30</v>
      </c>
      <c r="C19">
        <v>18</v>
      </c>
      <c r="D19" t="s">
        <v>2947</v>
      </c>
      <c r="E19" t="s">
        <v>2952</v>
      </c>
      <c r="F19" t="s">
        <v>2973</v>
      </c>
      <c r="G19" s="2">
        <v>45868</v>
      </c>
      <c r="H19" s="2">
        <v>45879</v>
      </c>
      <c r="I19" t="s">
        <v>5763</v>
      </c>
      <c r="J19" t="s">
        <v>5770</v>
      </c>
      <c r="K19">
        <v>384255.35</v>
      </c>
      <c r="L19" t="s">
        <v>5775</v>
      </c>
      <c r="M19">
        <v>11</v>
      </c>
    </row>
    <row r="20" spans="1:13" x14ac:dyDescent="0.25">
      <c r="A20">
        <v>19</v>
      </c>
      <c r="B20" t="s">
        <v>31</v>
      </c>
      <c r="C20">
        <v>75</v>
      </c>
      <c r="D20" t="s">
        <v>2948</v>
      </c>
      <c r="E20" t="s">
        <v>2950</v>
      </c>
      <c r="F20" t="s">
        <v>2974</v>
      </c>
      <c r="G20" s="2">
        <v>45566</v>
      </c>
      <c r="H20" s="2">
        <v>45575</v>
      </c>
      <c r="I20" t="s">
        <v>5766</v>
      </c>
      <c r="J20" t="s">
        <v>5768</v>
      </c>
      <c r="K20">
        <v>369114.44</v>
      </c>
      <c r="L20" t="s">
        <v>5773</v>
      </c>
      <c r="M20">
        <v>9</v>
      </c>
    </row>
    <row r="21" spans="1:13" x14ac:dyDescent="0.25">
      <c r="A21">
        <v>20</v>
      </c>
      <c r="B21" t="s">
        <v>32</v>
      </c>
      <c r="C21">
        <v>65</v>
      </c>
      <c r="D21" t="s">
        <v>2948</v>
      </c>
      <c r="E21" t="s">
        <v>2950</v>
      </c>
      <c r="F21" t="s">
        <v>2975</v>
      </c>
      <c r="G21" s="2">
        <v>45708</v>
      </c>
      <c r="H21" s="2">
        <v>45712</v>
      </c>
      <c r="I21" t="s">
        <v>5764</v>
      </c>
      <c r="J21" t="s">
        <v>5772</v>
      </c>
      <c r="K21">
        <v>406631.04</v>
      </c>
      <c r="L21" t="s">
        <v>5774</v>
      </c>
      <c r="M21">
        <v>4</v>
      </c>
    </row>
    <row r="22" spans="1:13" x14ac:dyDescent="0.25">
      <c r="A22">
        <v>21</v>
      </c>
      <c r="B22" t="s">
        <v>33</v>
      </c>
      <c r="C22">
        <v>21</v>
      </c>
      <c r="D22" t="s">
        <v>2948</v>
      </c>
      <c r="E22" t="s">
        <v>2950</v>
      </c>
      <c r="F22" t="s">
        <v>2976</v>
      </c>
      <c r="G22" s="2">
        <v>45617</v>
      </c>
      <c r="H22" s="2">
        <v>45631</v>
      </c>
      <c r="I22" t="s">
        <v>5765</v>
      </c>
      <c r="J22" t="s">
        <v>5770</v>
      </c>
      <c r="K22">
        <v>237925.9</v>
      </c>
      <c r="L22" t="s">
        <v>5774</v>
      </c>
      <c r="M22">
        <v>14</v>
      </c>
    </row>
    <row r="23" spans="1:13" x14ac:dyDescent="0.25">
      <c r="A23">
        <v>22</v>
      </c>
      <c r="B23" t="s">
        <v>34</v>
      </c>
      <c r="C23">
        <v>47</v>
      </c>
      <c r="D23" t="s">
        <v>2947</v>
      </c>
      <c r="E23" t="s">
        <v>2953</v>
      </c>
      <c r="F23" t="s">
        <v>2977</v>
      </c>
      <c r="G23" s="2">
        <v>45659</v>
      </c>
      <c r="H23" s="2">
        <v>45660</v>
      </c>
      <c r="I23" t="s">
        <v>5758</v>
      </c>
      <c r="J23" t="s">
        <v>5772</v>
      </c>
      <c r="K23">
        <v>369743.31</v>
      </c>
      <c r="L23" t="s">
        <v>5774</v>
      </c>
      <c r="M23">
        <v>1</v>
      </c>
    </row>
    <row r="24" spans="1:13" x14ac:dyDescent="0.25">
      <c r="A24">
        <v>23</v>
      </c>
      <c r="B24" t="s">
        <v>35</v>
      </c>
      <c r="C24">
        <v>8</v>
      </c>
      <c r="D24" t="s">
        <v>2947</v>
      </c>
      <c r="E24" t="s">
        <v>2950</v>
      </c>
      <c r="F24" t="s">
        <v>2978</v>
      </c>
      <c r="G24" s="2">
        <v>45887</v>
      </c>
      <c r="H24" s="2">
        <v>45900</v>
      </c>
      <c r="I24" t="s">
        <v>5764</v>
      </c>
      <c r="J24" t="s">
        <v>2949</v>
      </c>
      <c r="K24">
        <v>334976.87</v>
      </c>
      <c r="L24" t="s">
        <v>5773</v>
      </c>
      <c r="M24">
        <v>13</v>
      </c>
    </row>
    <row r="25" spans="1:13" x14ac:dyDescent="0.25">
      <c r="A25">
        <v>24</v>
      </c>
      <c r="B25" t="s">
        <v>36</v>
      </c>
      <c r="C25">
        <v>14</v>
      </c>
      <c r="D25" t="s">
        <v>2947</v>
      </c>
      <c r="E25" t="s">
        <v>2953</v>
      </c>
      <c r="F25" t="s">
        <v>2979</v>
      </c>
      <c r="G25" s="2">
        <v>45591</v>
      </c>
      <c r="H25" s="2">
        <v>45592</v>
      </c>
      <c r="I25" t="s">
        <v>5762</v>
      </c>
      <c r="J25" t="s">
        <v>5772</v>
      </c>
      <c r="K25">
        <v>221203.53</v>
      </c>
      <c r="L25" t="s">
        <v>5775</v>
      </c>
      <c r="M25">
        <v>1</v>
      </c>
    </row>
    <row r="26" spans="1:13" x14ac:dyDescent="0.25">
      <c r="A26">
        <v>25</v>
      </c>
      <c r="B26" t="s">
        <v>37</v>
      </c>
      <c r="C26">
        <v>56</v>
      </c>
      <c r="D26" t="s">
        <v>2947</v>
      </c>
      <c r="E26" t="s">
        <v>2953</v>
      </c>
      <c r="F26" t="s">
        <v>2980</v>
      </c>
      <c r="G26" s="2">
        <v>45885</v>
      </c>
      <c r="H26" s="2">
        <v>45893</v>
      </c>
      <c r="I26" t="s">
        <v>5765</v>
      </c>
      <c r="J26" t="s">
        <v>2949</v>
      </c>
      <c r="K26">
        <v>229994.72</v>
      </c>
      <c r="L26" t="s">
        <v>5774</v>
      </c>
      <c r="M26">
        <v>8</v>
      </c>
    </row>
    <row r="27" spans="1:13" x14ac:dyDescent="0.25">
      <c r="A27">
        <v>26</v>
      </c>
      <c r="B27" t="s">
        <v>38</v>
      </c>
      <c r="C27">
        <v>36</v>
      </c>
      <c r="D27" t="s">
        <v>2948</v>
      </c>
      <c r="E27" t="s">
        <v>2951</v>
      </c>
      <c r="F27" t="s">
        <v>2981</v>
      </c>
      <c r="G27" s="2">
        <v>45668</v>
      </c>
      <c r="H27" s="2">
        <v>45672</v>
      </c>
      <c r="I27" t="s">
        <v>5766</v>
      </c>
      <c r="J27" t="s">
        <v>5768</v>
      </c>
      <c r="K27">
        <v>261258.02</v>
      </c>
      <c r="L27" t="s">
        <v>5774</v>
      </c>
      <c r="M27">
        <v>4</v>
      </c>
    </row>
    <row r="28" spans="1:13" x14ac:dyDescent="0.25">
      <c r="A28">
        <v>27</v>
      </c>
      <c r="B28" t="s">
        <v>39</v>
      </c>
      <c r="C28">
        <v>45</v>
      </c>
      <c r="D28" t="s">
        <v>2947</v>
      </c>
      <c r="E28" t="s">
        <v>2949</v>
      </c>
      <c r="F28" t="s">
        <v>2982</v>
      </c>
      <c r="G28" s="2">
        <v>45867</v>
      </c>
      <c r="H28" s="2">
        <v>45882</v>
      </c>
      <c r="I28" t="s">
        <v>5764</v>
      </c>
      <c r="J28" t="s">
        <v>5771</v>
      </c>
      <c r="K28">
        <v>129845.48</v>
      </c>
      <c r="L28" t="s">
        <v>5773</v>
      </c>
      <c r="M28">
        <v>15</v>
      </c>
    </row>
    <row r="29" spans="1:13" x14ac:dyDescent="0.25">
      <c r="A29">
        <v>28</v>
      </c>
      <c r="B29" t="s">
        <v>40</v>
      </c>
      <c r="C29">
        <v>36</v>
      </c>
      <c r="D29" t="s">
        <v>2947</v>
      </c>
      <c r="E29" t="s">
        <v>2951</v>
      </c>
      <c r="F29" t="s">
        <v>2983</v>
      </c>
      <c r="G29" s="2">
        <v>45714</v>
      </c>
      <c r="H29" s="2">
        <v>45724</v>
      </c>
      <c r="I29" t="s">
        <v>5766</v>
      </c>
      <c r="J29" t="s">
        <v>2949</v>
      </c>
      <c r="K29">
        <v>281235.59999999998</v>
      </c>
      <c r="L29" t="s">
        <v>5775</v>
      </c>
      <c r="M29">
        <v>10</v>
      </c>
    </row>
    <row r="30" spans="1:13" x14ac:dyDescent="0.25">
      <c r="A30">
        <v>29</v>
      </c>
      <c r="B30" t="s">
        <v>41</v>
      </c>
      <c r="C30">
        <v>52</v>
      </c>
      <c r="D30" t="s">
        <v>2947</v>
      </c>
      <c r="E30" t="s">
        <v>2953</v>
      </c>
      <c r="F30" t="s">
        <v>2984</v>
      </c>
      <c r="G30" s="2">
        <v>45839</v>
      </c>
      <c r="H30" s="2">
        <v>45842</v>
      </c>
      <c r="I30" t="s">
        <v>5762</v>
      </c>
      <c r="J30" t="s">
        <v>5771</v>
      </c>
      <c r="K30">
        <v>353514.59</v>
      </c>
      <c r="L30" t="s">
        <v>5775</v>
      </c>
      <c r="M30">
        <v>3</v>
      </c>
    </row>
    <row r="31" spans="1:13" x14ac:dyDescent="0.25">
      <c r="A31">
        <v>30</v>
      </c>
      <c r="B31" t="s">
        <v>42</v>
      </c>
      <c r="C31">
        <v>30</v>
      </c>
      <c r="D31" t="s">
        <v>2948</v>
      </c>
      <c r="E31" t="s">
        <v>2950</v>
      </c>
      <c r="F31" t="s">
        <v>2985</v>
      </c>
      <c r="G31" s="2">
        <v>45756</v>
      </c>
      <c r="H31" s="2">
        <v>45767</v>
      </c>
      <c r="I31" t="s">
        <v>5758</v>
      </c>
      <c r="J31" t="s">
        <v>5770</v>
      </c>
      <c r="K31">
        <v>293367.93</v>
      </c>
      <c r="L31" t="s">
        <v>5775</v>
      </c>
      <c r="M31">
        <v>11</v>
      </c>
    </row>
    <row r="32" spans="1:13" x14ac:dyDescent="0.25">
      <c r="A32">
        <v>31</v>
      </c>
      <c r="B32" t="s">
        <v>43</v>
      </c>
      <c r="C32">
        <v>53</v>
      </c>
      <c r="D32" t="s">
        <v>2947</v>
      </c>
      <c r="E32" t="s">
        <v>2953</v>
      </c>
      <c r="F32" t="s">
        <v>2986</v>
      </c>
      <c r="G32" s="2">
        <v>45701</v>
      </c>
      <c r="H32" s="2">
        <v>45710</v>
      </c>
      <c r="I32" t="s">
        <v>5762</v>
      </c>
      <c r="J32" t="s">
        <v>5770</v>
      </c>
      <c r="K32">
        <v>230219.64</v>
      </c>
      <c r="L32" t="s">
        <v>5774</v>
      </c>
      <c r="M32">
        <v>9</v>
      </c>
    </row>
    <row r="33" spans="1:13" x14ac:dyDescent="0.25">
      <c r="A33">
        <v>32</v>
      </c>
      <c r="B33" t="s">
        <v>44</v>
      </c>
      <c r="C33">
        <v>80</v>
      </c>
      <c r="D33" t="s">
        <v>2948</v>
      </c>
      <c r="E33" t="s">
        <v>2951</v>
      </c>
      <c r="F33" t="s">
        <v>2987</v>
      </c>
      <c r="G33" s="2">
        <v>45633</v>
      </c>
      <c r="H33" s="2">
        <v>45646</v>
      </c>
      <c r="I33" t="s">
        <v>5762</v>
      </c>
      <c r="J33" t="s">
        <v>5772</v>
      </c>
      <c r="K33">
        <v>9622.42</v>
      </c>
      <c r="L33" t="s">
        <v>5775</v>
      </c>
      <c r="M33">
        <v>13</v>
      </c>
    </row>
    <row r="34" spans="1:13" x14ac:dyDescent="0.25">
      <c r="A34">
        <v>33</v>
      </c>
      <c r="B34" t="s">
        <v>45</v>
      </c>
      <c r="C34">
        <v>43</v>
      </c>
      <c r="D34" t="s">
        <v>2948</v>
      </c>
      <c r="E34" t="s">
        <v>2953</v>
      </c>
      <c r="F34" t="s">
        <v>2988</v>
      </c>
      <c r="G34" s="2">
        <v>45794</v>
      </c>
      <c r="H34" s="2">
        <v>45804</v>
      </c>
      <c r="I34" t="s">
        <v>5758</v>
      </c>
      <c r="J34" t="s">
        <v>5771</v>
      </c>
      <c r="K34">
        <v>374231.54</v>
      </c>
      <c r="L34" t="s">
        <v>5775</v>
      </c>
      <c r="M34">
        <v>10</v>
      </c>
    </row>
    <row r="35" spans="1:13" x14ac:dyDescent="0.25">
      <c r="A35">
        <v>34</v>
      </c>
      <c r="B35" t="s">
        <v>46</v>
      </c>
      <c r="C35">
        <v>87</v>
      </c>
      <c r="D35" t="s">
        <v>2947</v>
      </c>
      <c r="E35" t="s">
        <v>2951</v>
      </c>
      <c r="F35" t="s">
        <v>2989</v>
      </c>
      <c r="G35" s="2">
        <v>45706</v>
      </c>
      <c r="H35" s="2">
        <v>45718</v>
      </c>
      <c r="I35" t="s">
        <v>5761</v>
      </c>
      <c r="J35" t="s">
        <v>5772</v>
      </c>
      <c r="K35">
        <v>25177.95</v>
      </c>
      <c r="L35" t="s">
        <v>5773</v>
      </c>
      <c r="M35">
        <v>12</v>
      </c>
    </row>
    <row r="36" spans="1:13" x14ac:dyDescent="0.25">
      <c r="A36">
        <v>35</v>
      </c>
      <c r="B36" t="s">
        <v>47</v>
      </c>
      <c r="C36">
        <v>35</v>
      </c>
      <c r="D36" t="s">
        <v>2948</v>
      </c>
      <c r="E36" t="s">
        <v>2949</v>
      </c>
      <c r="F36" t="s">
        <v>2990</v>
      </c>
      <c r="G36" s="2">
        <v>45809</v>
      </c>
      <c r="H36" s="2">
        <v>45813</v>
      </c>
      <c r="I36" t="s">
        <v>5761</v>
      </c>
      <c r="J36" t="s">
        <v>5770</v>
      </c>
      <c r="K36">
        <v>327378.64</v>
      </c>
      <c r="L36" t="s">
        <v>5774</v>
      </c>
      <c r="M36">
        <v>4</v>
      </c>
    </row>
    <row r="37" spans="1:13" x14ac:dyDescent="0.25">
      <c r="A37">
        <v>36</v>
      </c>
      <c r="B37" t="s">
        <v>48</v>
      </c>
      <c r="C37">
        <v>15</v>
      </c>
      <c r="D37" t="s">
        <v>2947</v>
      </c>
      <c r="E37" t="s">
        <v>2954</v>
      </c>
      <c r="F37" t="s">
        <v>2991</v>
      </c>
      <c r="G37" s="2">
        <v>45692</v>
      </c>
      <c r="H37" s="2">
        <v>45694</v>
      </c>
      <c r="I37" t="s">
        <v>5759</v>
      </c>
      <c r="J37" t="s">
        <v>5770</v>
      </c>
      <c r="K37">
        <v>290923.28999999998</v>
      </c>
      <c r="L37" t="s">
        <v>5773</v>
      </c>
      <c r="M37">
        <v>2</v>
      </c>
    </row>
    <row r="38" spans="1:13" x14ac:dyDescent="0.25">
      <c r="A38">
        <v>37</v>
      </c>
      <c r="B38" t="s">
        <v>49</v>
      </c>
      <c r="C38">
        <v>86</v>
      </c>
      <c r="D38" t="s">
        <v>2948</v>
      </c>
      <c r="E38" t="s">
        <v>2954</v>
      </c>
      <c r="F38" t="s">
        <v>2992</v>
      </c>
      <c r="G38" s="2">
        <v>45892</v>
      </c>
      <c r="H38" s="2">
        <v>45903</v>
      </c>
      <c r="I38" t="s">
        <v>5761</v>
      </c>
      <c r="J38" t="s">
        <v>5768</v>
      </c>
      <c r="K38">
        <v>463825.12</v>
      </c>
      <c r="L38" t="s">
        <v>5773</v>
      </c>
      <c r="M38">
        <v>11</v>
      </c>
    </row>
    <row r="39" spans="1:13" x14ac:dyDescent="0.25">
      <c r="A39">
        <v>38</v>
      </c>
      <c r="B39" t="s">
        <v>50</v>
      </c>
      <c r="C39">
        <v>34</v>
      </c>
      <c r="D39" t="s">
        <v>2947</v>
      </c>
      <c r="E39" t="s">
        <v>2952</v>
      </c>
      <c r="F39" t="s">
        <v>2993</v>
      </c>
      <c r="G39" s="2">
        <v>45823</v>
      </c>
      <c r="H39" s="2">
        <v>45838</v>
      </c>
      <c r="I39" t="s">
        <v>5763</v>
      </c>
      <c r="J39" t="s">
        <v>5770</v>
      </c>
      <c r="K39">
        <v>179984.18</v>
      </c>
      <c r="L39" t="s">
        <v>5773</v>
      </c>
      <c r="M39">
        <v>15</v>
      </c>
    </row>
    <row r="40" spans="1:13" x14ac:dyDescent="0.25">
      <c r="A40">
        <v>39</v>
      </c>
      <c r="B40" t="s">
        <v>51</v>
      </c>
      <c r="C40">
        <v>16</v>
      </c>
      <c r="D40" t="s">
        <v>2947</v>
      </c>
      <c r="E40" t="s">
        <v>2952</v>
      </c>
      <c r="F40" t="s">
        <v>2994</v>
      </c>
      <c r="G40" s="2">
        <v>45747</v>
      </c>
      <c r="H40" s="2">
        <v>45748</v>
      </c>
      <c r="I40" t="s">
        <v>5765</v>
      </c>
      <c r="J40" t="s">
        <v>5771</v>
      </c>
      <c r="K40">
        <v>448269.92</v>
      </c>
      <c r="L40" t="s">
        <v>5775</v>
      </c>
      <c r="M40">
        <v>1</v>
      </c>
    </row>
    <row r="41" spans="1:13" x14ac:dyDescent="0.25">
      <c r="A41">
        <v>40</v>
      </c>
      <c r="B41" t="s">
        <v>52</v>
      </c>
      <c r="C41">
        <v>13</v>
      </c>
      <c r="D41" t="s">
        <v>2947</v>
      </c>
      <c r="E41" t="s">
        <v>2955</v>
      </c>
      <c r="F41" t="s">
        <v>2995</v>
      </c>
      <c r="G41" s="2">
        <v>45684</v>
      </c>
      <c r="H41" s="2">
        <v>45696</v>
      </c>
      <c r="I41" t="s">
        <v>5765</v>
      </c>
      <c r="J41" t="s">
        <v>5772</v>
      </c>
      <c r="K41">
        <v>345480.71</v>
      </c>
      <c r="L41" t="s">
        <v>5774</v>
      </c>
      <c r="M41">
        <v>12</v>
      </c>
    </row>
    <row r="42" spans="1:13" x14ac:dyDescent="0.25">
      <c r="A42">
        <v>41</v>
      </c>
      <c r="B42" t="s">
        <v>53</v>
      </c>
      <c r="C42">
        <v>50</v>
      </c>
      <c r="D42" t="s">
        <v>2947</v>
      </c>
      <c r="E42" t="s">
        <v>2951</v>
      </c>
      <c r="F42" t="s">
        <v>2996</v>
      </c>
      <c r="G42" s="2">
        <v>45563</v>
      </c>
      <c r="H42" s="2">
        <v>45578</v>
      </c>
      <c r="I42" t="s">
        <v>5760</v>
      </c>
      <c r="J42" t="s">
        <v>2949</v>
      </c>
      <c r="K42">
        <v>469893.77</v>
      </c>
      <c r="L42" t="s">
        <v>5775</v>
      </c>
      <c r="M42">
        <v>15</v>
      </c>
    </row>
    <row r="43" spans="1:13" x14ac:dyDescent="0.25">
      <c r="A43">
        <v>42</v>
      </c>
      <c r="B43" t="s">
        <v>54</v>
      </c>
      <c r="C43">
        <v>16</v>
      </c>
      <c r="D43" t="s">
        <v>2947</v>
      </c>
      <c r="E43" t="s">
        <v>2953</v>
      </c>
      <c r="F43" t="s">
        <v>2997</v>
      </c>
      <c r="G43" s="2">
        <v>45663</v>
      </c>
      <c r="H43" s="2">
        <v>45674</v>
      </c>
      <c r="I43" t="s">
        <v>5763</v>
      </c>
      <c r="J43" t="s">
        <v>5772</v>
      </c>
      <c r="K43">
        <v>62756.47</v>
      </c>
      <c r="L43" t="s">
        <v>5774</v>
      </c>
      <c r="M43">
        <v>11</v>
      </c>
    </row>
    <row r="44" spans="1:13" x14ac:dyDescent="0.25">
      <c r="A44">
        <v>43</v>
      </c>
      <c r="B44" t="s">
        <v>55</v>
      </c>
      <c r="C44">
        <v>55</v>
      </c>
      <c r="D44" t="s">
        <v>2948</v>
      </c>
      <c r="E44" t="s">
        <v>2951</v>
      </c>
      <c r="F44" t="s">
        <v>2998</v>
      </c>
      <c r="G44" s="2">
        <v>45677</v>
      </c>
      <c r="H44" s="2">
        <v>45687</v>
      </c>
      <c r="I44" t="s">
        <v>5759</v>
      </c>
      <c r="J44" t="s">
        <v>5770</v>
      </c>
      <c r="K44">
        <v>430896.5</v>
      </c>
      <c r="L44" t="s">
        <v>5774</v>
      </c>
      <c r="M44">
        <v>10</v>
      </c>
    </row>
    <row r="45" spans="1:13" x14ac:dyDescent="0.25">
      <c r="A45">
        <v>44</v>
      </c>
      <c r="B45" t="s">
        <v>56</v>
      </c>
      <c r="C45">
        <v>85</v>
      </c>
      <c r="D45" t="s">
        <v>2947</v>
      </c>
      <c r="E45" t="s">
        <v>2950</v>
      </c>
      <c r="F45" t="s">
        <v>2999</v>
      </c>
      <c r="G45" s="2">
        <v>45863</v>
      </c>
      <c r="H45" s="2">
        <v>45866</v>
      </c>
      <c r="I45" t="s">
        <v>5765</v>
      </c>
      <c r="J45" t="s">
        <v>2949</v>
      </c>
      <c r="K45">
        <v>77772.53</v>
      </c>
      <c r="L45" t="s">
        <v>5773</v>
      </c>
      <c r="M45">
        <v>3</v>
      </c>
    </row>
    <row r="46" spans="1:13" x14ac:dyDescent="0.25">
      <c r="A46">
        <v>45</v>
      </c>
      <c r="B46" t="s">
        <v>57</v>
      </c>
      <c r="C46">
        <v>22</v>
      </c>
      <c r="D46" t="s">
        <v>2948</v>
      </c>
      <c r="E46" t="s">
        <v>2953</v>
      </c>
      <c r="F46" t="s">
        <v>3000</v>
      </c>
      <c r="G46" s="2">
        <v>45738</v>
      </c>
      <c r="H46" s="2">
        <v>45746</v>
      </c>
      <c r="I46" t="s">
        <v>5760</v>
      </c>
      <c r="J46" t="s">
        <v>5768</v>
      </c>
      <c r="K46">
        <v>445864.81</v>
      </c>
      <c r="L46" t="s">
        <v>5775</v>
      </c>
      <c r="M46">
        <v>8</v>
      </c>
    </row>
    <row r="47" spans="1:13" x14ac:dyDescent="0.25">
      <c r="A47">
        <v>46</v>
      </c>
      <c r="B47" t="s">
        <v>58</v>
      </c>
      <c r="C47">
        <v>49</v>
      </c>
      <c r="D47" t="s">
        <v>2948</v>
      </c>
      <c r="E47" t="s">
        <v>2955</v>
      </c>
      <c r="F47" t="s">
        <v>3001</v>
      </c>
      <c r="G47" s="2">
        <v>45573</v>
      </c>
      <c r="H47" s="2">
        <v>45580</v>
      </c>
      <c r="I47" t="s">
        <v>5767</v>
      </c>
      <c r="J47" t="s">
        <v>5771</v>
      </c>
      <c r="K47">
        <v>65763.88</v>
      </c>
      <c r="L47" t="s">
        <v>5774</v>
      </c>
      <c r="M47">
        <v>7</v>
      </c>
    </row>
    <row r="48" spans="1:13" x14ac:dyDescent="0.25">
      <c r="A48">
        <v>47</v>
      </c>
      <c r="B48" t="s">
        <v>59</v>
      </c>
      <c r="C48">
        <v>31</v>
      </c>
      <c r="D48" t="s">
        <v>2948</v>
      </c>
      <c r="E48" t="s">
        <v>2950</v>
      </c>
      <c r="F48" t="s">
        <v>3002</v>
      </c>
      <c r="G48" s="2">
        <v>45784</v>
      </c>
      <c r="H48" s="2">
        <v>45787</v>
      </c>
      <c r="I48" t="s">
        <v>5766</v>
      </c>
      <c r="J48" t="s">
        <v>5770</v>
      </c>
      <c r="K48">
        <v>460685.21</v>
      </c>
      <c r="L48" t="s">
        <v>5775</v>
      </c>
      <c r="M48">
        <v>3</v>
      </c>
    </row>
    <row r="49" spans="1:13" x14ac:dyDescent="0.25">
      <c r="A49">
        <v>48</v>
      </c>
      <c r="B49" t="s">
        <v>60</v>
      </c>
      <c r="C49">
        <v>74</v>
      </c>
      <c r="D49" t="s">
        <v>2947</v>
      </c>
      <c r="E49" t="s">
        <v>2950</v>
      </c>
      <c r="F49" t="s">
        <v>3003</v>
      </c>
      <c r="G49" s="2">
        <v>45570</v>
      </c>
      <c r="H49" s="2">
        <v>45575</v>
      </c>
      <c r="I49" t="s">
        <v>5766</v>
      </c>
      <c r="J49" t="s">
        <v>2949</v>
      </c>
      <c r="K49">
        <v>242330.09</v>
      </c>
      <c r="L49" t="s">
        <v>5773</v>
      </c>
      <c r="M49">
        <v>5</v>
      </c>
    </row>
    <row r="50" spans="1:13" x14ac:dyDescent="0.25">
      <c r="A50">
        <v>49</v>
      </c>
      <c r="B50" t="s">
        <v>61</v>
      </c>
      <c r="C50">
        <v>84</v>
      </c>
      <c r="D50" t="s">
        <v>2947</v>
      </c>
      <c r="E50" t="s">
        <v>2949</v>
      </c>
      <c r="F50" t="s">
        <v>3004</v>
      </c>
      <c r="G50" s="2">
        <v>45895</v>
      </c>
      <c r="H50" s="2">
        <v>45909</v>
      </c>
      <c r="I50" t="s">
        <v>5763</v>
      </c>
      <c r="J50" t="s">
        <v>5768</v>
      </c>
      <c r="K50">
        <v>364197.54</v>
      </c>
      <c r="L50" t="s">
        <v>5774</v>
      </c>
      <c r="M50">
        <v>14</v>
      </c>
    </row>
    <row r="51" spans="1:13" x14ac:dyDescent="0.25">
      <c r="A51">
        <v>50</v>
      </c>
      <c r="B51" t="s">
        <v>62</v>
      </c>
      <c r="C51">
        <v>17</v>
      </c>
      <c r="D51" t="s">
        <v>2948</v>
      </c>
      <c r="E51" t="s">
        <v>2954</v>
      </c>
      <c r="F51" t="s">
        <v>3005</v>
      </c>
      <c r="G51" s="2">
        <v>45777</v>
      </c>
      <c r="H51" s="2">
        <v>45784</v>
      </c>
      <c r="I51" t="s">
        <v>5762</v>
      </c>
      <c r="J51" t="s">
        <v>2949</v>
      </c>
      <c r="K51">
        <v>369926.59</v>
      </c>
      <c r="L51" t="s">
        <v>5774</v>
      </c>
      <c r="M51">
        <v>7</v>
      </c>
    </row>
    <row r="52" spans="1:13" x14ac:dyDescent="0.25">
      <c r="A52">
        <v>51</v>
      </c>
      <c r="B52" t="s">
        <v>63</v>
      </c>
      <c r="C52">
        <v>39</v>
      </c>
      <c r="D52" t="s">
        <v>2948</v>
      </c>
      <c r="E52" t="s">
        <v>2953</v>
      </c>
      <c r="F52" t="s">
        <v>3006</v>
      </c>
      <c r="G52" s="2">
        <v>45590</v>
      </c>
      <c r="H52" s="2">
        <v>45599</v>
      </c>
      <c r="I52" t="s">
        <v>5767</v>
      </c>
      <c r="J52" t="s">
        <v>5770</v>
      </c>
      <c r="K52">
        <v>74908.61</v>
      </c>
      <c r="L52" t="s">
        <v>5775</v>
      </c>
      <c r="M52">
        <v>9</v>
      </c>
    </row>
    <row r="53" spans="1:13" x14ac:dyDescent="0.25">
      <c r="A53">
        <v>52</v>
      </c>
      <c r="B53" t="s">
        <v>64</v>
      </c>
      <c r="C53">
        <v>19</v>
      </c>
      <c r="D53" t="s">
        <v>2948</v>
      </c>
      <c r="E53" t="s">
        <v>2951</v>
      </c>
      <c r="F53" t="s">
        <v>3007</v>
      </c>
      <c r="G53" s="2">
        <v>45626</v>
      </c>
      <c r="H53" s="2">
        <v>45636</v>
      </c>
      <c r="I53" t="s">
        <v>5762</v>
      </c>
      <c r="J53" t="s">
        <v>2949</v>
      </c>
      <c r="K53">
        <v>415459.57</v>
      </c>
      <c r="L53" t="s">
        <v>5773</v>
      </c>
      <c r="M53">
        <v>10</v>
      </c>
    </row>
    <row r="54" spans="1:13" x14ac:dyDescent="0.25">
      <c r="A54">
        <v>53</v>
      </c>
      <c r="B54" t="s">
        <v>65</v>
      </c>
      <c r="C54">
        <v>16</v>
      </c>
      <c r="D54" t="s">
        <v>2947</v>
      </c>
      <c r="E54" t="s">
        <v>2951</v>
      </c>
      <c r="F54" t="s">
        <v>3008</v>
      </c>
      <c r="G54" s="2">
        <v>45555</v>
      </c>
      <c r="H54" s="2">
        <v>45561</v>
      </c>
      <c r="I54" t="s">
        <v>5767</v>
      </c>
      <c r="J54" t="s">
        <v>5771</v>
      </c>
      <c r="K54">
        <v>268833.28000000003</v>
      </c>
      <c r="L54" t="s">
        <v>5773</v>
      </c>
      <c r="M54">
        <v>6</v>
      </c>
    </row>
    <row r="55" spans="1:13" x14ac:dyDescent="0.25">
      <c r="A55">
        <v>54</v>
      </c>
      <c r="B55" t="s">
        <v>66</v>
      </c>
      <c r="C55">
        <v>25</v>
      </c>
      <c r="D55" t="s">
        <v>2948</v>
      </c>
      <c r="E55" t="s">
        <v>2949</v>
      </c>
      <c r="F55" t="s">
        <v>3009</v>
      </c>
      <c r="G55" s="2">
        <v>45849</v>
      </c>
      <c r="H55" s="2">
        <v>45863</v>
      </c>
      <c r="I55" t="s">
        <v>5766</v>
      </c>
      <c r="J55" t="s">
        <v>5772</v>
      </c>
      <c r="K55">
        <v>14845.75</v>
      </c>
      <c r="L55" t="s">
        <v>5774</v>
      </c>
      <c r="M55">
        <v>14</v>
      </c>
    </row>
    <row r="56" spans="1:13" x14ac:dyDescent="0.25">
      <c r="A56">
        <v>55</v>
      </c>
      <c r="B56" t="s">
        <v>67</v>
      </c>
      <c r="C56">
        <v>19</v>
      </c>
      <c r="D56" t="s">
        <v>2947</v>
      </c>
      <c r="E56" t="s">
        <v>2955</v>
      </c>
      <c r="F56" t="s">
        <v>3010</v>
      </c>
      <c r="G56" s="2">
        <v>45793</v>
      </c>
      <c r="H56" s="2">
        <v>45796</v>
      </c>
      <c r="I56" t="s">
        <v>5766</v>
      </c>
      <c r="J56" t="s">
        <v>5771</v>
      </c>
      <c r="K56">
        <v>426141.86</v>
      </c>
      <c r="L56" t="s">
        <v>5773</v>
      </c>
      <c r="M56">
        <v>3</v>
      </c>
    </row>
    <row r="57" spans="1:13" x14ac:dyDescent="0.25">
      <c r="A57">
        <v>56</v>
      </c>
      <c r="B57" t="s">
        <v>68</v>
      </c>
      <c r="C57">
        <v>34</v>
      </c>
      <c r="D57" t="s">
        <v>2947</v>
      </c>
      <c r="E57" t="s">
        <v>2950</v>
      </c>
      <c r="F57" t="s">
        <v>3011</v>
      </c>
      <c r="G57" s="2">
        <v>45594</v>
      </c>
      <c r="H57" s="2">
        <v>45605</v>
      </c>
      <c r="I57" t="s">
        <v>5764</v>
      </c>
      <c r="J57" t="s">
        <v>5768</v>
      </c>
      <c r="K57">
        <v>221345.33</v>
      </c>
      <c r="L57" t="s">
        <v>5774</v>
      </c>
      <c r="M57">
        <v>11</v>
      </c>
    </row>
    <row r="58" spans="1:13" x14ac:dyDescent="0.25">
      <c r="A58">
        <v>57</v>
      </c>
      <c r="B58" t="s">
        <v>69</v>
      </c>
      <c r="C58">
        <v>31</v>
      </c>
      <c r="D58" t="s">
        <v>2948</v>
      </c>
      <c r="E58" t="s">
        <v>2951</v>
      </c>
      <c r="F58" t="s">
        <v>3012</v>
      </c>
      <c r="G58" s="2">
        <v>45910</v>
      </c>
      <c r="H58" s="2">
        <v>45913</v>
      </c>
      <c r="I58" t="s">
        <v>5767</v>
      </c>
      <c r="J58" t="s">
        <v>5769</v>
      </c>
      <c r="K58">
        <v>180783.18</v>
      </c>
      <c r="L58" t="s">
        <v>5775</v>
      </c>
      <c r="M58">
        <v>3</v>
      </c>
    </row>
    <row r="59" spans="1:13" x14ac:dyDescent="0.25">
      <c r="A59">
        <v>58</v>
      </c>
      <c r="B59" t="s">
        <v>70</v>
      </c>
      <c r="C59">
        <v>34</v>
      </c>
      <c r="D59" t="s">
        <v>2948</v>
      </c>
      <c r="E59" t="s">
        <v>2951</v>
      </c>
      <c r="F59" t="s">
        <v>3013</v>
      </c>
      <c r="G59" s="2">
        <v>45802</v>
      </c>
      <c r="H59" s="2">
        <v>45815</v>
      </c>
      <c r="I59" t="s">
        <v>5767</v>
      </c>
      <c r="J59" t="s">
        <v>5769</v>
      </c>
      <c r="K59">
        <v>260455.14</v>
      </c>
      <c r="L59" t="s">
        <v>5774</v>
      </c>
      <c r="M59">
        <v>13</v>
      </c>
    </row>
    <row r="60" spans="1:13" x14ac:dyDescent="0.25">
      <c r="A60">
        <v>59</v>
      </c>
      <c r="B60" t="s">
        <v>71</v>
      </c>
      <c r="C60">
        <v>41</v>
      </c>
      <c r="D60" t="s">
        <v>2947</v>
      </c>
      <c r="E60" t="s">
        <v>2951</v>
      </c>
      <c r="F60" t="s">
        <v>3014</v>
      </c>
      <c r="G60" s="2">
        <v>45887</v>
      </c>
      <c r="H60" s="2">
        <v>45902</v>
      </c>
      <c r="I60" t="s">
        <v>5762</v>
      </c>
      <c r="J60" t="s">
        <v>5769</v>
      </c>
      <c r="K60">
        <v>111044.2</v>
      </c>
      <c r="L60" t="s">
        <v>5774</v>
      </c>
      <c r="M60">
        <v>15</v>
      </c>
    </row>
    <row r="61" spans="1:13" x14ac:dyDescent="0.25">
      <c r="A61">
        <v>60</v>
      </c>
      <c r="B61" t="s">
        <v>72</v>
      </c>
      <c r="C61">
        <v>46</v>
      </c>
      <c r="D61" t="s">
        <v>2948</v>
      </c>
      <c r="E61" t="s">
        <v>2955</v>
      </c>
      <c r="F61" t="s">
        <v>3015</v>
      </c>
      <c r="G61" s="2">
        <v>45677</v>
      </c>
      <c r="H61" s="2">
        <v>45678</v>
      </c>
      <c r="I61" t="s">
        <v>5765</v>
      </c>
      <c r="J61" t="s">
        <v>5769</v>
      </c>
      <c r="K61">
        <v>251235.01</v>
      </c>
      <c r="L61" t="s">
        <v>5774</v>
      </c>
      <c r="M61">
        <v>1</v>
      </c>
    </row>
    <row r="62" spans="1:13" x14ac:dyDescent="0.25">
      <c r="A62">
        <v>61</v>
      </c>
      <c r="B62" t="s">
        <v>73</v>
      </c>
      <c r="C62">
        <v>47</v>
      </c>
      <c r="D62" t="s">
        <v>2948</v>
      </c>
      <c r="E62" t="s">
        <v>2949</v>
      </c>
      <c r="F62" t="s">
        <v>3016</v>
      </c>
      <c r="G62" s="2">
        <v>45649</v>
      </c>
      <c r="H62" s="2">
        <v>45662</v>
      </c>
      <c r="I62" t="s">
        <v>5759</v>
      </c>
      <c r="J62" t="s">
        <v>2949</v>
      </c>
      <c r="K62">
        <v>61820.54</v>
      </c>
      <c r="L62" t="s">
        <v>5773</v>
      </c>
      <c r="M62">
        <v>13</v>
      </c>
    </row>
    <row r="63" spans="1:13" x14ac:dyDescent="0.25">
      <c r="A63">
        <v>62</v>
      </c>
      <c r="B63" t="s">
        <v>74</v>
      </c>
      <c r="C63">
        <v>9</v>
      </c>
      <c r="D63" t="s">
        <v>2948</v>
      </c>
      <c r="E63" t="s">
        <v>2955</v>
      </c>
      <c r="F63" t="s">
        <v>3017</v>
      </c>
      <c r="G63" s="2">
        <v>45570</v>
      </c>
      <c r="H63" s="2">
        <v>45574</v>
      </c>
      <c r="I63" t="s">
        <v>5762</v>
      </c>
      <c r="J63" t="s">
        <v>5771</v>
      </c>
      <c r="K63">
        <v>197702.42</v>
      </c>
      <c r="L63" t="s">
        <v>5774</v>
      </c>
      <c r="M63">
        <v>4</v>
      </c>
    </row>
    <row r="64" spans="1:13" x14ac:dyDescent="0.25">
      <c r="A64">
        <v>63</v>
      </c>
      <c r="B64" t="s">
        <v>75</v>
      </c>
      <c r="C64">
        <v>87</v>
      </c>
      <c r="D64" t="s">
        <v>2948</v>
      </c>
      <c r="E64" t="s">
        <v>2951</v>
      </c>
      <c r="F64" t="s">
        <v>3018</v>
      </c>
      <c r="G64" s="2">
        <v>45631</v>
      </c>
      <c r="H64" s="2">
        <v>45636</v>
      </c>
      <c r="I64" t="s">
        <v>5759</v>
      </c>
      <c r="J64" t="s">
        <v>5770</v>
      </c>
      <c r="K64">
        <v>239119.2</v>
      </c>
      <c r="L64" t="s">
        <v>5775</v>
      </c>
      <c r="M64">
        <v>5</v>
      </c>
    </row>
    <row r="65" spans="1:13" x14ac:dyDescent="0.25">
      <c r="A65">
        <v>64</v>
      </c>
      <c r="B65" t="s">
        <v>76</v>
      </c>
      <c r="C65">
        <v>5</v>
      </c>
      <c r="D65" t="s">
        <v>2948</v>
      </c>
      <c r="E65" t="s">
        <v>2950</v>
      </c>
      <c r="F65" t="s">
        <v>3019</v>
      </c>
      <c r="G65" s="2">
        <v>45551</v>
      </c>
      <c r="H65" s="2">
        <v>45559</v>
      </c>
      <c r="I65" t="s">
        <v>5763</v>
      </c>
      <c r="J65" t="s">
        <v>5769</v>
      </c>
      <c r="K65">
        <v>11118.11</v>
      </c>
      <c r="L65" t="s">
        <v>5773</v>
      </c>
      <c r="M65">
        <v>8</v>
      </c>
    </row>
    <row r="66" spans="1:13" x14ac:dyDescent="0.25">
      <c r="A66">
        <v>65</v>
      </c>
      <c r="B66" t="s">
        <v>77</v>
      </c>
      <c r="C66">
        <v>90</v>
      </c>
      <c r="D66" t="s">
        <v>2948</v>
      </c>
      <c r="E66" t="s">
        <v>2949</v>
      </c>
      <c r="F66" t="s">
        <v>3020</v>
      </c>
      <c r="G66" s="2">
        <v>45743</v>
      </c>
      <c r="H66" s="2">
        <v>45746</v>
      </c>
      <c r="I66" t="s">
        <v>5766</v>
      </c>
      <c r="J66" t="s">
        <v>5769</v>
      </c>
      <c r="K66">
        <v>174447.11</v>
      </c>
      <c r="L66" t="s">
        <v>5775</v>
      </c>
      <c r="M66">
        <v>3</v>
      </c>
    </row>
    <row r="67" spans="1:13" x14ac:dyDescent="0.25">
      <c r="A67">
        <v>66</v>
      </c>
      <c r="B67" t="s">
        <v>78</v>
      </c>
      <c r="C67">
        <v>71</v>
      </c>
      <c r="D67" t="s">
        <v>2947</v>
      </c>
      <c r="E67" t="s">
        <v>2955</v>
      </c>
      <c r="F67" t="s">
        <v>3021</v>
      </c>
      <c r="G67" s="2">
        <v>45843</v>
      </c>
      <c r="H67" s="2">
        <v>45852</v>
      </c>
      <c r="I67" t="s">
        <v>5766</v>
      </c>
      <c r="J67" t="s">
        <v>5772</v>
      </c>
      <c r="K67">
        <v>221072.79</v>
      </c>
      <c r="L67" t="s">
        <v>5774</v>
      </c>
      <c r="M67">
        <v>9</v>
      </c>
    </row>
    <row r="68" spans="1:13" x14ac:dyDescent="0.25">
      <c r="A68">
        <v>67</v>
      </c>
      <c r="B68" t="s">
        <v>79</v>
      </c>
      <c r="C68">
        <v>60</v>
      </c>
      <c r="D68" t="s">
        <v>2947</v>
      </c>
      <c r="E68" t="s">
        <v>2950</v>
      </c>
      <c r="F68" t="s">
        <v>3022</v>
      </c>
      <c r="G68" s="2">
        <v>45876</v>
      </c>
      <c r="H68" s="2">
        <v>45888</v>
      </c>
      <c r="I68" t="s">
        <v>5758</v>
      </c>
      <c r="J68" t="s">
        <v>5772</v>
      </c>
      <c r="K68">
        <v>100435.19</v>
      </c>
      <c r="L68" t="s">
        <v>5775</v>
      </c>
      <c r="M68">
        <v>12</v>
      </c>
    </row>
    <row r="69" spans="1:13" x14ac:dyDescent="0.25">
      <c r="A69">
        <v>68</v>
      </c>
      <c r="B69" t="s">
        <v>80</v>
      </c>
      <c r="C69">
        <v>40</v>
      </c>
      <c r="D69" t="s">
        <v>2948</v>
      </c>
      <c r="E69" t="s">
        <v>2950</v>
      </c>
      <c r="F69" t="s">
        <v>3023</v>
      </c>
      <c r="G69" s="2">
        <v>45811</v>
      </c>
      <c r="H69" s="2">
        <v>45812</v>
      </c>
      <c r="I69" t="s">
        <v>5765</v>
      </c>
      <c r="J69" t="s">
        <v>5771</v>
      </c>
      <c r="K69">
        <v>6768.21</v>
      </c>
      <c r="L69" t="s">
        <v>5773</v>
      </c>
      <c r="M69">
        <v>1</v>
      </c>
    </row>
    <row r="70" spans="1:13" x14ac:dyDescent="0.25">
      <c r="A70">
        <v>69</v>
      </c>
      <c r="B70" t="s">
        <v>81</v>
      </c>
      <c r="C70">
        <v>88</v>
      </c>
      <c r="D70" t="s">
        <v>2947</v>
      </c>
      <c r="E70" t="s">
        <v>2951</v>
      </c>
      <c r="F70" t="s">
        <v>1700</v>
      </c>
      <c r="G70" s="2">
        <v>45745</v>
      </c>
      <c r="H70" s="2">
        <v>45749</v>
      </c>
      <c r="I70" t="s">
        <v>5766</v>
      </c>
      <c r="J70" t="s">
        <v>5771</v>
      </c>
      <c r="K70">
        <v>351528.94</v>
      </c>
      <c r="L70" t="s">
        <v>5774</v>
      </c>
      <c r="M70">
        <v>4</v>
      </c>
    </row>
    <row r="71" spans="1:13" x14ac:dyDescent="0.25">
      <c r="A71">
        <v>70</v>
      </c>
      <c r="B71" t="s">
        <v>82</v>
      </c>
      <c r="C71">
        <v>90</v>
      </c>
      <c r="D71" t="s">
        <v>2947</v>
      </c>
      <c r="E71" t="s">
        <v>2950</v>
      </c>
      <c r="F71" t="s">
        <v>3024</v>
      </c>
      <c r="G71" s="2">
        <v>45768</v>
      </c>
      <c r="H71" s="2">
        <v>45777</v>
      </c>
      <c r="I71" t="s">
        <v>5760</v>
      </c>
      <c r="J71" t="s">
        <v>5772</v>
      </c>
      <c r="K71">
        <v>161664.82999999999</v>
      </c>
      <c r="L71" t="s">
        <v>5774</v>
      </c>
      <c r="M71">
        <v>9</v>
      </c>
    </row>
    <row r="72" spans="1:13" x14ac:dyDescent="0.25">
      <c r="A72">
        <v>71</v>
      </c>
      <c r="B72" t="s">
        <v>83</v>
      </c>
      <c r="C72">
        <v>63</v>
      </c>
      <c r="D72" t="s">
        <v>2947</v>
      </c>
      <c r="E72" t="s">
        <v>2949</v>
      </c>
      <c r="F72" t="s">
        <v>3025</v>
      </c>
      <c r="G72" s="2">
        <v>45642</v>
      </c>
      <c r="H72" s="2">
        <v>45654</v>
      </c>
      <c r="I72" t="s">
        <v>5767</v>
      </c>
      <c r="J72" t="s">
        <v>5772</v>
      </c>
      <c r="K72">
        <v>156615.76999999999</v>
      </c>
      <c r="L72" t="s">
        <v>5775</v>
      </c>
      <c r="M72">
        <v>12</v>
      </c>
    </row>
    <row r="73" spans="1:13" x14ac:dyDescent="0.25">
      <c r="A73">
        <v>72</v>
      </c>
      <c r="B73" t="s">
        <v>84</v>
      </c>
      <c r="C73">
        <v>43</v>
      </c>
      <c r="D73" t="s">
        <v>2948</v>
      </c>
      <c r="E73" t="s">
        <v>2951</v>
      </c>
      <c r="F73" t="s">
        <v>3026</v>
      </c>
      <c r="G73" s="2">
        <v>45792</v>
      </c>
      <c r="H73" s="2">
        <v>45803</v>
      </c>
      <c r="I73" t="s">
        <v>5761</v>
      </c>
      <c r="J73" t="s">
        <v>5769</v>
      </c>
      <c r="K73">
        <v>101714.05</v>
      </c>
      <c r="L73" t="s">
        <v>5773</v>
      </c>
      <c r="M73">
        <v>11</v>
      </c>
    </row>
    <row r="74" spans="1:13" x14ac:dyDescent="0.25">
      <c r="A74">
        <v>73</v>
      </c>
      <c r="B74" t="s">
        <v>85</v>
      </c>
      <c r="C74">
        <v>60</v>
      </c>
      <c r="D74" t="s">
        <v>2947</v>
      </c>
      <c r="E74" t="s">
        <v>2955</v>
      </c>
      <c r="F74" t="s">
        <v>3027</v>
      </c>
      <c r="G74" s="2">
        <v>45894</v>
      </c>
      <c r="H74" s="2">
        <v>45898</v>
      </c>
      <c r="I74" t="s">
        <v>5759</v>
      </c>
      <c r="J74" t="s">
        <v>5768</v>
      </c>
      <c r="K74">
        <v>161443.1</v>
      </c>
      <c r="L74" t="s">
        <v>5774</v>
      </c>
      <c r="M74">
        <v>4</v>
      </c>
    </row>
    <row r="75" spans="1:13" x14ac:dyDescent="0.25">
      <c r="A75">
        <v>74</v>
      </c>
      <c r="B75" t="s">
        <v>86</v>
      </c>
      <c r="C75">
        <v>14</v>
      </c>
      <c r="D75" t="s">
        <v>2948</v>
      </c>
      <c r="E75" t="s">
        <v>2950</v>
      </c>
      <c r="F75" t="s">
        <v>3028</v>
      </c>
      <c r="G75" s="2">
        <v>45608</v>
      </c>
      <c r="H75" s="2">
        <v>45614</v>
      </c>
      <c r="I75" t="s">
        <v>5758</v>
      </c>
      <c r="J75" t="s">
        <v>5768</v>
      </c>
      <c r="K75">
        <v>378922.04</v>
      </c>
      <c r="L75" t="s">
        <v>5775</v>
      </c>
      <c r="M75">
        <v>6</v>
      </c>
    </row>
    <row r="76" spans="1:13" x14ac:dyDescent="0.25">
      <c r="A76">
        <v>75</v>
      </c>
      <c r="B76" t="s">
        <v>87</v>
      </c>
      <c r="C76">
        <v>57</v>
      </c>
      <c r="D76" t="s">
        <v>2947</v>
      </c>
      <c r="E76" t="s">
        <v>2955</v>
      </c>
      <c r="F76" t="s">
        <v>3029</v>
      </c>
      <c r="G76" s="2">
        <v>45841</v>
      </c>
      <c r="H76" s="2">
        <v>45849</v>
      </c>
      <c r="I76" t="s">
        <v>5762</v>
      </c>
      <c r="J76" t="s">
        <v>2949</v>
      </c>
      <c r="K76">
        <v>36812.75</v>
      </c>
      <c r="L76" t="s">
        <v>5773</v>
      </c>
      <c r="M76">
        <v>8</v>
      </c>
    </row>
    <row r="77" spans="1:13" x14ac:dyDescent="0.25">
      <c r="A77">
        <v>76</v>
      </c>
      <c r="B77" t="s">
        <v>88</v>
      </c>
      <c r="C77">
        <v>33</v>
      </c>
      <c r="D77" t="s">
        <v>2947</v>
      </c>
      <c r="E77" t="s">
        <v>2951</v>
      </c>
      <c r="F77" t="s">
        <v>3030</v>
      </c>
      <c r="G77" s="2">
        <v>45594</v>
      </c>
      <c r="H77" s="2">
        <v>45595</v>
      </c>
      <c r="I77" t="s">
        <v>5760</v>
      </c>
      <c r="J77" t="s">
        <v>2949</v>
      </c>
      <c r="K77">
        <v>272053.19</v>
      </c>
      <c r="L77" t="s">
        <v>5774</v>
      </c>
      <c r="M77">
        <v>1</v>
      </c>
    </row>
    <row r="78" spans="1:13" x14ac:dyDescent="0.25">
      <c r="A78">
        <v>77</v>
      </c>
      <c r="B78" t="s">
        <v>89</v>
      </c>
      <c r="C78">
        <v>60</v>
      </c>
      <c r="D78" t="s">
        <v>2948</v>
      </c>
      <c r="E78" t="s">
        <v>2954</v>
      </c>
      <c r="F78" t="s">
        <v>3031</v>
      </c>
      <c r="G78" s="2">
        <v>45758</v>
      </c>
      <c r="H78" s="2">
        <v>45765</v>
      </c>
      <c r="I78" t="s">
        <v>5767</v>
      </c>
      <c r="J78" t="s">
        <v>5769</v>
      </c>
      <c r="K78">
        <v>270804.8</v>
      </c>
      <c r="L78" t="s">
        <v>5774</v>
      </c>
      <c r="M78">
        <v>7</v>
      </c>
    </row>
    <row r="79" spans="1:13" x14ac:dyDescent="0.25">
      <c r="A79">
        <v>78</v>
      </c>
      <c r="B79" t="s">
        <v>90</v>
      </c>
      <c r="C79">
        <v>69</v>
      </c>
      <c r="D79" t="s">
        <v>2947</v>
      </c>
      <c r="E79" t="s">
        <v>2950</v>
      </c>
      <c r="F79" t="s">
        <v>3032</v>
      </c>
      <c r="G79" s="2">
        <v>45624</v>
      </c>
      <c r="H79" s="2">
        <v>45632</v>
      </c>
      <c r="I79" t="s">
        <v>5765</v>
      </c>
      <c r="J79" t="s">
        <v>5772</v>
      </c>
      <c r="K79">
        <v>215457.51</v>
      </c>
      <c r="L79" t="s">
        <v>5773</v>
      </c>
      <c r="M79">
        <v>8</v>
      </c>
    </row>
    <row r="80" spans="1:13" x14ac:dyDescent="0.25">
      <c r="A80">
        <v>79</v>
      </c>
      <c r="B80" t="s">
        <v>91</v>
      </c>
      <c r="C80">
        <v>51</v>
      </c>
      <c r="D80" t="s">
        <v>2947</v>
      </c>
      <c r="E80" t="s">
        <v>2953</v>
      </c>
      <c r="F80" t="s">
        <v>3033</v>
      </c>
      <c r="G80" s="2">
        <v>45653</v>
      </c>
      <c r="H80" s="2">
        <v>45663</v>
      </c>
      <c r="I80" t="s">
        <v>5766</v>
      </c>
      <c r="J80" t="s">
        <v>5772</v>
      </c>
      <c r="K80">
        <v>359473.68</v>
      </c>
      <c r="L80" t="s">
        <v>5773</v>
      </c>
      <c r="M80">
        <v>10</v>
      </c>
    </row>
    <row r="81" spans="1:13" x14ac:dyDescent="0.25">
      <c r="A81">
        <v>80</v>
      </c>
      <c r="B81" t="s">
        <v>92</v>
      </c>
      <c r="C81">
        <v>31</v>
      </c>
      <c r="D81" t="s">
        <v>2948</v>
      </c>
      <c r="E81" t="s">
        <v>2955</v>
      </c>
      <c r="F81" t="s">
        <v>3034</v>
      </c>
      <c r="G81" s="2">
        <v>45730</v>
      </c>
      <c r="H81" s="2">
        <v>45738</v>
      </c>
      <c r="I81" t="s">
        <v>5767</v>
      </c>
      <c r="J81" t="s">
        <v>5771</v>
      </c>
      <c r="K81">
        <v>393854.52</v>
      </c>
      <c r="L81" t="s">
        <v>5773</v>
      </c>
      <c r="M81">
        <v>8</v>
      </c>
    </row>
    <row r="82" spans="1:13" x14ac:dyDescent="0.25">
      <c r="A82">
        <v>81</v>
      </c>
      <c r="B82" t="s">
        <v>93</v>
      </c>
      <c r="C82">
        <v>70</v>
      </c>
      <c r="D82" t="s">
        <v>2948</v>
      </c>
      <c r="E82" t="s">
        <v>2953</v>
      </c>
      <c r="F82" t="s">
        <v>3035</v>
      </c>
      <c r="G82" s="2">
        <v>45697</v>
      </c>
      <c r="H82" s="2">
        <v>45708</v>
      </c>
      <c r="I82" t="s">
        <v>5766</v>
      </c>
      <c r="J82" t="s">
        <v>2949</v>
      </c>
      <c r="K82">
        <v>406706.84</v>
      </c>
      <c r="L82" t="s">
        <v>5774</v>
      </c>
      <c r="M82">
        <v>11</v>
      </c>
    </row>
    <row r="83" spans="1:13" x14ac:dyDescent="0.25">
      <c r="A83">
        <v>82</v>
      </c>
      <c r="B83" t="s">
        <v>94</v>
      </c>
      <c r="C83">
        <v>90</v>
      </c>
      <c r="D83" t="s">
        <v>2947</v>
      </c>
      <c r="E83" t="s">
        <v>2954</v>
      </c>
      <c r="F83" t="s">
        <v>3036</v>
      </c>
      <c r="G83" s="2">
        <v>45900</v>
      </c>
      <c r="H83" s="2">
        <v>45905</v>
      </c>
      <c r="I83" t="s">
        <v>5761</v>
      </c>
      <c r="J83" t="s">
        <v>5768</v>
      </c>
      <c r="K83">
        <v>112099.73</v>
      </c>
      <c r="L83" t="s">
        <v>5775</v>
      </c>
      <c r="M83">
        <v>5</v>
      </c>
    </row>
    <row r="84" spans="1:13" x14ac:dyDescent="0.25">
      <c r="A84">
        <v>83</v>
      </c>
      <c r="B84" t="s">
        <v>95</v>
      </c>
      <c r="C84">
        <v>88</v>
      </c>
      <c r="D84" t="s">
        <v>2947</v>
      </c>
      <c r="E84" t="s">
        <v>2951</v>
      </c>
      <c r="F84" t="s">
        <v>2016</v>
      </c>
      <c r="G84" s="2">
        <v>45699</v>
      </c>
      <c r="H84" s="2">
        <v>45703</v>
      </c>
      <c r="I84" t="s">
        <v>5762</v>
      </c>
      <c r="J84" t="s">
        <v>5768</v>
      </c>
      <c r="K84">
        <v>268618.74</v>
      </c>
      <c r="L84" t="s">
        <v>5774</v>
      </c>
      <c r="M84">
        <v>4</v>
      </c>
    </row>
    <row r="85" spans="1:13" x14ac:dyDescent="0.25">
      <c r="A85">
        <v>84</v>
      </c>
      <c r="B85" t="s">
        <v>96</v>
      </c>
      <c r="C85">
        <v>67</v>
      </c>
      <c r="D85" t="s">
        <v>2947</v>
      </c>
      <c r="E85" t="s">
        <v>2952</v>
      </c>
      <c r="F85" t="s">
        <v>3037</v>
      </c>
      <c r="G85" s="2">
        <v>45668</v>
      </c>
      <c r="H85" s="2">
        <v>45681</v>
      </c>
      <c r="I85" t="s">
        <v>5758</v>
      </c>
      <c r="J85" t="s">
        <v>5772</v>
      </c>
      <c r="K85">
        <v>213144.75</v>
      </c>
      <c r="L85" t="s">
        <v>5774</v>
      </c>
      <c r="M85">
        <v>13</v>
      </c>
    </row>
    <row r="86" spans="1:13" x14ac:dyDescent="0.25">
      <c r="A86">
        <v>85</v>
      </c>
      <c r="B86" t="s">
        <v>97</v>
      </c>
      <c r="C86">
        <v>20</v>
      </c>
      <c r="D86" t="s">
        <v>2948</v>
      </c>
      <c r="E86" t="s">
        <v>2950</v>
      </c>
      <c r="F86" t="s">
        <v>152</v>
      </c>
      <c r="G86" s="2">
        <v>45742</v>
      </c>
      <c r="H86" s="2">
        <v>45744</v>
      </c>
      <c r="I86" t="s">
        <v>5765</v>
      </c>
      <c r="J86" t="s">
        <v>5768</v>
      </c>
      <c r="K86">
        <v>81124.73</v>
      </c>
      <c r="L86" t="s">
        <v>5775</v>
      </c>
      <c r="M86">
        <v>2</v>
      </c>
    </row>
    <row r="87" spans="1:13" x14ac:dyDescent="0.25">
      <c r="A87">
        <v>86</v>
      </c>
      <c r="B87" t="s">
        <v>98</v>
      </c>
      <c r="C87">
        <v>70</v>
      </c>
      <c r="D87" t="s">
        <v>2947</v>
      </c>
      <c r="E87" t="s">
        <v>2950</v>
      </c>
      <c r="F87" t="s">
        <v>3038</v>
      </c>
      <c r="G87" s="2">
        <v>45875</v>
      </c>
      <c r="H87" s="2">
        <v>45883</v>
      </c>
      <c r="I87" t="s">
        <v>5762</v>
      </c>
      <c r="J87" t="s">
        <v>5769</v>
      </c>
      <c r="K87">
        <v>358428.17</v>
      </c>
      <c r="L87" t="s">
        <v>5773</v>
      </c>
      <c r="M87">
        <v>8</v>
      </c>
    </row>
    <row r="88" spans="1:13" x14ac:dyDescent="0.25">
      <c r="A88">
        <v>87</v>
      </c>
      <c r="B88" t="s">
        <v>99</v>
      </c>
      <c r="C88">
        <v>89</v>
      </c>
      <c r="D88" t="s">
        <v>2947</v>
      </c>
      <c r="E88" t="s">
        <v>2951</v>
      </c>
      <c r="F88" t="s">
        <v>3039</v>
      </c>
      <c r="G88" s="2">
        <v>45824</v>
      </c>
      <c r="H88" s="2">
        <v>45838</v>
      </c>
      <c r="I88" t="s">
        <v>5765</v>
      </c>
      <c r="J88" t="s">
        <v>5771</v>
      </c>
      <c r="K88">
        <v>491113.36</v>
      </c>
      <c r="L88" t="s">
        <v>5774</v>
      </c>
      <c r="M88">
        <v>14</v>
      </c>
    </row>
    <row r="89" spans="1:13" x14ac:dyDescent="0.25">
      <c r="A89">
        <v>88</v>
      </c>
      <c r="B89" t="s">
        <v>100</v>
      </c>
      <c r="C89">
        <v>40</v>
      </c>
      <c r="D89" t="s">
        <v>2947</v>
      </c>
      <c r="E89" t="s">
        <v>2954</v>
      </c>
      <c r="F89" t="s">
        <v>3040</v>
      </c>
      <c r="G89" s="2">
        <v>45786</v>
      </c>
      <c r="H89" s="2">
        <v>45800</v>
      </c>
      <c r="I89" t="s">
        <v>5762</v>
      </c>
      <c r="J89" t="s">
        <v>2949</v>
      </c>
      <c r="K89">
        <v>263762.15000000002</v>
      </c>
      <c r="L89" t="s">
        <v>5773</v>
      </c>
      <c r="M89">
        <v>14</v>
      </c>
    </row>
    <row r="90" spans="1:13" x14ac:dyDescent="0.25">
      <c r="A90">
        <v>89</v>
      </c>
      <c r="B90" t="s">
        <v>101</v>
      </c>
      <c r="C90">
        <v>85</v>
      </c>
      <c r="D90" t="s">
        <v>2948</v>
      </c>
      <c r="E90" t="s">
        <v>2952</v>
      </c>
      <c r="F90" t="s">
        <v>3041</v>
      </c>
      <c r="G90" s="2">
        <v>45613</v>
      </c>
      <c r="H90" s="2">
        <v>45616</v>
      </c>
      <c r="I90" t="s">
        <v>5758</v>
      </c>
      <c r="J90" t="s">
        <v>5770</v>
      </c>
      <c r="K90">
        <v>465426.84</v>
      </c>
      <c r="L90" t="s">
        <v>5775</v>
      </c>
      <c r="M90">
        <v>3</v>
      </c>
    </row>
    <row r="91" spans="1:13" x14ac:dyDescent="0.25">
      <c r="A91">
        <v>90</v>
      </c>
      <c r="B91" t="s">
        <v>102</v>
      </c>
      <c r="C91">
        <v>60</v>
      </c>
      <c r="D91" t="s">
        <v>2948</v>
      </c>
      <c r="E91" t="s">
        <v>2955</v>
      </c>
      <c r="F91" t="s">
        <v>3042</v>
      </c>
      <c r="G91" s="2">
        <v>45603</v>
      </c>
      <c r="H91" s="2">
        <v>45616</v>
      </c>
      <c r="I91" t="s">
        <v>5758</v>
      </c>
      <c r="J91" t="s">
        <v>2949</v>
      </c>
      <c r="K91">
        <v>100719.29</v>
      </c>
      <c r="L91" t="s">
        <v>5773</v>
      </c>
      <c r="M91">
        <v>13</v>
      </c>
    </row>
    <row r="92" spans="1:13" x14ac:dyDescent="0.25">
      <c r="A92">
        <v>91</v>
      </c>
      <c r="B92" t="s">
        <v>103</v>
      </c>
      <c r="C92">
        <v>37</v>
      </c>
      <c r="D92" t="s">
        <v>2948</v>
      </c>
      <c r="E92" t="s">
        <v>2951</v>
      </c>
      <c r="F92" t="s">
        <v>3043</v>
      </c>
      <c r="G92" s="2">
        <v>45571</v>
      </c>
      <c r="H92" s="2">
        <v>45582</v>
      </c>
      <c r="I92" t="s">
        <v>5758</v>
      </c>
      <c r="J92" t="s">
        <v>5772</v>
      </c>
      <c r="K92">
        <v>84392.25</v>
      </c>
      <c r="L92" t="s">
        <v>5773</v>
      </c>
      <c r="M92">
        <v>11</v>
      </c>
    </row>
    <row r="93" spans="1:13" x14ac:dyDescent="0.25">
      <c r="A93">
        <v>92</v>
      </c>
      <c r="B93" t="s">
        <v>104</v>
      </c>
      <c r="C93">
        <v>70</v>
      </c>
      <c r="D93" t="s">
        <v>2948</v>
      </c>
      <c r="E93" t="s">
        <v>2951</v>
      </c>
      <c r="F93" t="s">
        <v>2835</v>
      </c>
      <c r="G93" s="2">
        <v>45791</v>
      </c>
      <c r="H93" s="2">
        <v>45805</v>
      </c>
      <c r="I93" t="s">
        <v>5758</v>
      </c>
      <c r="J93" t="s">
        <v>5768</v>
      </c>
      <c r="K93">
        <v>417617.09</v>
      </c>
      <c r="L93" t="s">
        <v>5774</v>
      </c>
      <c r="M93">
        <v>14</v>
      </c>
    </row>
    <row r="94" spans="1:13" x14ac:dyDescent="0.25">
      <c r="A94">
        <v>93</v>
      </c>
      <c r="B94" t="s">
        <v>105</v>
      </c>
      <c r="C94">
        <v>85</v>
      </c>
      <c r="D94" t="s">
        <v>2947</v>
      </c>
      <c r="E94" t="s">
        <v>2949</v>
      </c>
      <c r="F94" t="s">
        <v>3044</v>
      </c>
      <c r="G94" s="2">
        <v>45780</v>
      </c>
      <c r="H94" s="2">
        <v>45794</v>
      </c>
      <c r="I94" t="s">
        <v>5758</v>
      </c>
      <c r="J94" t="s">
        <v>5772</v>
      </c>
      <c r="K94">
        <v>381381.04</v>
      </c>
      <c r="L94" t="s">
        <v>5774</v>
      </c>
      <c r="M94">
        <v>14</v>
      </c>
    </row>
    <row r="95" spans="1:13" x14ac:dyDescent="0.25">
      <c r="A95">
        <v>94</v>
      </c>
      <c r="B95" t="s">
        <v>106</v>
      </c>
      <c r="C95">
        <v>64</v>
      </c>
      <c r="D95" t="s">
        <v>2948</v>
      </c>
      <c r="E95" t="s">
        <v>2950</v>
      </c>
      <c r="F95" t="s">
        <v>3045</v>
      </c>
      <c r="G95" s="2">
        <v>45662</v>
      </c>
      <c r="H95" s="2">
        <v>45670</v>
      </c>
      <c r="I95" t="s">
        <v>5764</v>
      </c>
      <c r="J95" t="s">
        <v>5772</v>
      </c>
      <c r="K95">
        <v>62382.36</v>
      </c>
      <c r="L95" t="s">
        <v>5774</v>
      </c>
      <c r="M95">
        <v>8</v>
      </c>
    </row>
    <row r="96" spans="1:13" x14ac:dyDescent="0.25">
      <c r="A96">
        <v>95</v>
      </c>
      <c r="B96" t="s">
        <v>107</v>
      </c>
      <c r="C96">
        <v>25</v>
      </c>
      <c r="D96" t="s">
        <v>2947</v>
      </c>
      <c r="E96" t="s">
        <v>2955</v>
      </c>
      <c r="F96" t="s">
        <v>3046</v>
      </c>
      <c r="G96" s="2">
        <v>45561</v>
      </c>
      <c r="H96" s="2">
        <v>45569</v>
      </c>
      <c r="I96" t="s">
        <v>5766</v>
      </c>
      <c r="J96" t="s">
        <v>5769</v>
      </c>
      <c r="K96">
        <v>315451.63</v>
      </c>
      <c r="L96" t="s">
        <v>5775</v>
      </c>
      <c r="M96">
        <v>8</v>
      </c>
    </row>
    <row r="97" spans="1:13" x14ac:dyDescent="0.25">
      <c r="A97">
        <v>96</v>
      </c>
      <c r="B97" t="s">
        <v>108</v>
      </c>
      <c r="C97">
        <v>66</v>
      </c>
      <c r="D97" t="s">
        <v>2947</v>
      </c>
      <c r="E97" t="s">
        <v>2955</v>
      </c>
      <c r="F97" t="s">
        <v>3047</v>
      </c>
      <c r="G97" s="2">
        <v>45660</v>
      </c>
      <c r="H97" s="2">
        <v>45665</v>
      </c>
      <c r="I97" t="s">
        <v>5764</v>
      </c>
      <c r="J97" t="s">
        <v>2949</v>
      </c>
      <c r="K97">
        <v>199150.15</v>
      </c>
      <c r="L97" t="s">
        <v>5774</v>
      </c>
      <c r="M97">
        <v>5</v>
      </c>
    </row>
    <row r="98" spans="1:13" x14ac:dyDescent="0.25">
      <c r="A98">
        <v>97</v>
      </c>
      <c r="B98" t="s">
        <v>109</v>
      </c>
      <c r="C98">
        <v>26</v>
      </c>
      <c r="D98" t="s">
        <v>2947</v>
      </c>
      <c r="E98" t="s">
        <v>2954</v>
      </c>
      <c r="F98" t="s">
        <v>3048</v>
      </c>
      <c r="G98" s="2">
        <v>45729</v>
      </c>
      <c r="H98" s="2">
        <v>45731</v>
      </c>
      <c r="I98" t="s">
        <v>5760</v>
      </c>
      <c r="J98" t="s">
        <v>5769</v>
      </c>
      <c r="K98">
        <v>129429.89</v>
      </c>
      <c r="L98" t="s">
        <v>5773</v>
      </c>
      <c r="M98">
        <v>2</v>
      </c>
    </row>
    <row r="99" spans="1:13" x14ac:dyDescent="0.25">
      <c r="A99">
        <v>98</v>
      </c>
      <c r="B99" t="s">
        <v>110</v>
      </c>
      <c r="C99">
        <v>89</v>
      </c>
      <c r="D99" t="s">
        <v>2947</v>
      </c>
      <c r="E99" t="s">
        <v>2955</v>
      </c>
      <c r="F99" t="s">
        <v>1960</v>
      </c>
      <c r="G99" s="2">
        <v>45872</v>
      </c>
      <c r="H99" s="2">
        <v>45883</v>
      </c>
      <c r="I99" t="s">
        <v>5762</v>
      </c>
      <c r="J99" t="s">
        <v>5769</v>
      </c>
      <c r="K99">
        <v>362567.11</v>
      </c>
      <c r="L99" t="s">
        <v>5774</v>
      </c>
      <c r="M99">
        <v>11</v>
      </c>
    </row>
    <row r="100" spans="1:13" x14ac:dyDescent="0.25">
      <c r="A100">
        <v>99</v>
      </c>
      <c r="B100" t="s">
        <v>111</v>
      </c>
      <c r="C100">
        <v>14</v>
      </c>
      <c r="D100" t="s">
        <v>2947</v>
      </c>
      <c r="E100" t="s">
        <v>2949</v>
      </c>
      <c r="F100" t="s">
        <v>3049</v>
      </c>
      <c r="G100" s="2">
        <v>45668</v>
      </c>
      <c r="H100" s="2">
        <v>45671</v>
      </c>
      <c r="I100" t="s">
        <v>5759</v>
      </c>
      <c r="J100" t="s">
        <v>5768</v>
      </c>
      <c r="K100">
        <v>144911.94</v>
      </c>
      <c r="L100" t="s">
        <v>5774</v>
      </c>
      <c r="M100">
        <v>3</v>
      </c>
    </row>
    <row r="101" spans="1:13" x14ac:dyDescent="0.25">
      <c r="A101">
        <v>100</v>
      </c>
      <c r="B101" t="s">
        <v>112</v>
      </c>
      <c r="C101">
        <v>43</v>
      </c>
      <c r="D101" t="s">
        <v>2948</v>
      </c>
      <c r="E101" t="s">
        <v>2950</v>
      </c>
      <c r="F101" t="s">
        <v>3050</v>
      </c>
      <c r="G101" s="2">
        <v>45815</v>
      </c>
      <c r="H101" s="2">
        <v>45830</v>
      </c>
      <c r="I101" t="s">
        <v>5763</v>
      </c>
      <c r="J101" t="s">
        <v>5770</v>
      </c>
      <c r="K101">
        <v>311763.95</v>
      </c>
      <c r="L101" t="s">
        <v>5773</v>
      </c>
      <c r="M101">
        <v>15</v>
      </c>
    </row>
    <row r="102" spans="1:13" x14ac:dyDescent="0.25">
      <c r="A102">
        <v>101</v>
      </c>
      <c r="B102" t="s">
        <v>113</v>
      </c>
      <c r="C102">
        <v>34</v>
      </c>
      <c r="D102" t="s">
        <v>2948</v>
      </c>
      <c r="E102" t="s">
        <v>2953</v>
      </c>
      <c r="F102" t="s">
        <v>3051</v>
      </c>
      <c r="G102" s="2">
        <v>45551</v>
      </c>
      <c r="H102" s="2">
        <v>45552</v>
      </c>
      <c r="I102" t="s">
        <v>5764</v>
      </c>
      <c r="J102" t="s">
        <v>2949</v>
      </c>
      <c r="K102">
        <v>76207.16</v>
      </c>
      <c r="L102" t="s">
        <v>5774</v>
      </c>
      <c r="M102">
        <v>1</v>
      </c>
    </row>
    <row r="103" spans="1:13" x14ac:dyDescent="0.25">
      <c r="A103">
        <v>102</v>
      </c>
      <c r="B103" t="s">
        <v>114</v>
      </c>
      <c r="C103">
        <v>48</v>
      </c>
      <c r="D103" t="s">
        <v>2947</v>
      </c>
      <c r="E103" t="s">
        <v>2955</v>
      </c>
      <c r="F103" t="s">
        <v>3052</v>
      </c>
      <c r="G103" s="2">
        <v>45583</v>
      </c>
      <c r="H103" s="2">
        <v>45585</v>
      </c>
      <c r="I103" t="s">
        <v>5767</v>
      </c>
      <c r="J103" t="s">
        <v>2949</v>
      </c>
      <c r="K103">
        <v>225613.22</v>
      </c>
      <c r="L103" t="s">
        <v>5774</v>
      </c>
      <c r="M103">
        <v>2</v>
      </c>
    </row>
    <row r="104" spans="1:13" x14ac:dyDescent="0.25">
      <c r="A104">
        <v>103</v>
      </c>
      <c r="B104" t="s">
        <v>115</v>
      </c>
      <c r="C104">
        <v>47</v>
      </c>
      <c r="D104" t="s">
        <v>2947</v>
      </c>
      <c r="E104" t="s">
        <v>2949</v>
      </c>
      <c r="F104" t="s">
        <v>3053</v>
      </c>
      <c r="G104" s="2">
        <v>45810</v>
      </c>
      <c r="H104" s="2">
        <v>45812</v>
      </c>
      <c r="I104" t="s">
        <v>5766</v>
      </c>
      <c r="J104" t="s">
        <v>5770</v>
      </c>
      <c r="K104">
        <v>248082.87</v>
      </c>
      <c r="L104" t="s">
        <v>5775</v>
      </c>
      <c r="M104">
        <v>2</v>
      </c>
    </row>
    <row r="105" spans="1:13" x14ac:dyDescent="0.25">
      <c r="A105">
        <v>104</v>
      </c>
      <c r="B105" t="s">
        <v>116</v>
      </c>
      <c r="C105">
        <v>22</v>
      </c>
      <c r="D105" t="s">
        <v>2948</v>
      </c>
      <c r="E105" t="s">
        <v>2950</v>
      </c>
      <c r="F105" t="s">
        <v>3054</v>
      </c>
      <c r="G105" s="2">
        <v>45756</v>
      </c>
      <c r="H105" s="2">
        <v>45760</v>
      </c>
      <c r="I105" t="s">
        <v>5766</v>
      </c>
      <c r="J105" t="s">
        <v>2949</v>
      </c>
      <c r="K105">
        <v>133828.51</v>
      </c>
      <c r="L105" t="s">
        <v>5775</v>
      </c>
      <c r="M105">
        <v>4</v>
      </c>
    </row>
    <row r="106" spans="1:13" x14ac:dyDescent="0.25">
      <c r="A106">
        <v>105</v>
      </c>
      <c r="B106" t="s">
        <v>117</v>
      </c>
      <c r="C106">
        <v>82</v>
      </c>
      <c r="D106" t="s">
        <v>2948</v>
      </c>
      <c r="E106" t="s">
        <v>2950</v>
      </c>
      <c r="F106" t="s">
        <v>3055</v>
      </c>
      <c r="G106" s="2">
        <v>45868</v>
      </c>
      <c r="H106" s="2">
        <v>45872</v>
      </c>
      <c r="I106" t="s">
        <v>5760</v>
      </c>
      <c r="J106" t="s">
        <v>5769</v>
      </c>
      <c r="K106">
        <v>147352.21</v>
      </c>
      <c r="L106" t="s">
        <v>5773</v>
      </c>
      <c r="M106">
        <v>4</v>
      </c>
    </row>
    <row r="107" spans="1:13" x14ac:dyDescent="0.25">
      <c r="A107">
        <v>106</v>
      </c>
      <c r="B107" t="s">
        <v>118</v>
      </c>
      <c r="C107">
        <v>21</v>
      </c>
      <c r="D107" t="s">
        <v>2947</v>
      </c>
      <c r="E107" t="s">
        <v>2952</v>
      </c>
      <c r="F107" t="s">
        <v>1401</v>
      </c>
      <c r="G107" s="2">
        <v>45631</v>
      </c>
      <c r="H107" s="2">
        <v>45638</v>
      </c>
      <c r="I107" t="s">
        <v>5759</v>
      </c>
      <c r="J107" t="s">
        <v>5769</v>
      </c>
      <c r="K107">
        <v>478224.76</v>
      </c>
      <c r="L107" t="s">
        <v>5774</v>
      </c>
      <c r="M107">
        <v>7</v>
      </c>
    </row>
    <row r="108" spans="1:13" x14ac:dyDescent="0.25">
      <c r="A108">
        <v>107</v>
      </c>
      <c r="B108" t="s">
        <v>119</v>
      </c>
      <c r="C108">
        <v>44</v>
      </c>
      <c r="D108" t="s">
        <v>2947</v>
      </c>
      <c r="E108" t="s">
        <v>2953</v>
      </c>
      <c r="F108" t="s">
        <v>3056</v>
      </c>
      <c r="G108" s="2">
        <v>45580</v>
      </c>
      <c r="H108" s="2">
        <v>45583</v>
      </c>
      <c r="I108" t="s">
        <v>5758</v>
      </c>
      <c r="J108" t="s">
        <v>2949</v>
      </c>
      <c r="K108">
        <v>434745.51</v>
      </c>
      <c r="L108" t="s">
        <v>5773</v>
      </c>
      <c r="M108">
        <v>3</v>
      </c>
    </row>
    <row r="109" spans="1:13" x14ac:dyDescent="0.25">
      <c r="A109">
        <v>108</v>
      </c>
      <c r="B109" t="s">
        <v>120</v>
      </c>
      <c r="C109">
        <v>86</v>
      </c>
      <c r="D109" t="s">
        <v>2947</v>
      </c>
      <c r="E109" t="s">
        <v>2949</v>
      </c>
      <c r="F109" t="s">
        <v>3057</v>
      </c>
      <c r="G109" s="2">
        <v>45866</v>
      </c>
      <c r="H109" s="2">
        <v>45871</v>
      </c>
      <c r="I109" t="s">
        <v>5758</v>
      </c>
      <c r="J109" t="s">
        <v>2949</v>
      </c>
      <c r="K109">
        <v>344768.53</v>
      </c>
      <c r="L109" t="s">
        <v>5773</v>
      </c>
      <c r="M109">
        <v>5</v>
      </c>
    </row>
    <row r="110" spans="1:13" x14ac:dyDescent="0.25">
      <c r="A110">
        <v>109</v>
      </c>
      <c r="B110" t="s">
        <v>121</v>
      </c>
      <c r="C110">
        <v>8</v>
      </c>
      <c r="D110" t="s">
        <v>2948</v>
      </c>
      <c r="E110" t="s">
        <v>2950</v>
      </c>
      <c r="F110" t="s">
        <v>3058</v>
      </c>
      <c r="G110" s="2">
        <v>45637</v>
      </c>
      <c r="H110" s="2">
        <v>45643</v>
      </c>
      <c r="I110" t="s">
        <v>5764</v>
      </c>
      <c r="J110" t="s">
        <v>5768</v>
      </c>
      <c r="K110">
        <v>170783</v>
      </c>
      <c r="L110" t="s">
        <v>5774</v>
      </c>
      <c r="M110">
        <v>6</v>
      </c>
    </row>
    <row r="111" spans="1:13" x14ac:dyDescent="0.25">
      <c r="A111">
        <v>110</v>
      </c>
      <c r="B111" t="s">
        <v>122</v>
      </c>
      <c r="C111">
        <v>47</v>
      </c>
      <c r="D111" t="s">
        <v>2948</v>
      </c>
      <c r="E111" t="s">
        <v>2951</v>
      </c>
      <c r="F111" t="s">
        <v>3059</v>
      </c>
      <c r="G111" s="2">
        <v>45582</v>
      </c>
      <c r="H111" s="2">
        <v>45588</v>
      </c>
      <c r="I111" t="s">
        <v>5760</v>
      </c>
      <c r="J111" t="s">
        <v>5772</v>
      </c>
      <c r="K111">
        <v>310454.28999999998</v>
      </c>
      <c r="L111" t="s">
        <v>5775</v>
      </c>
      <c r="M111">
        <v>6</v>
      </c>
    </row>
    <row r="112" spans="1:13" x14ac:dyDescent="0.25">
      <c r="A112">
        <v>111</v>
      </c>
      <c r="B112" t="s">
        <v>123</v>
      </c>
      <c r="C112">
        <v>6</v>
      </c>
      <c r="D112" t="s">
        <v>2947</v>
      </c>
      <c r="E112" t="s">
        <v>2950</v>
      </c>
      <c r="F112" t="s">
        <v>3060</v>
      </c>
      <c r="G112" s="2">
        <v>45622</v>
      </c>
      <c r="H112" s="2">
        <v>45637</v>
      </c>
      <c r="I112" t="s">
        <v>5764</v>
      </c>
      <c r="J112" t="s">
        <v>5768</v>
      </c>
      <c r="K112">
        <v>340414.47</v>
      </c>
      <c r="L112" t="s">
        <v>5773</v>
      </c>
      <c r="M112">
        <v>15</v>
      </c>
    </row>
    <row r="113" spans="1:13" x14ac:dyDescent="0.25">
      <c r="A113">
        <v>112</v>
      </c>
      <c r="B113" t="s">
        <v>124</v>
      </c>
      <c r="C113">
        <v>79</v>
      </c>
      <c r="D113" t="s">
        <v>2948</v>
      </c>
      <c r="E113" t="s">
        <v>2955</v>
      </c>
      <c r="F113" t="s">
        <v>3061</v>
      </c>
      <c r="G113" s="2">
        <v>45859</v>
      </c>
      <c r="H113" s="2">
        <v>45873</v>
      </c>
      <c r="I113" t="s">
        <v>5760</v>
      </c>
      <c r="J113" t="s">
        <v>5768</v>
      </c>
      <c r="K113">
        <v>413559.81</v>
      </c>
      <c r="L113" t="s">
        <v>5774</v>
      </c>
      <c r="M113">
        <v>14</v>
      </c>
    </row>
    <row r="114" spans="1:13" x14ac:dyDescent="0.25">
      <c r="A114">
        <v>113</v>
      </c>
      <c r="B114" t="s">
        <v>125</v>
      </c>
      <c r="C114">
        <v>3</v>
      </c>
      <c r="D114" t="s">
        <v>2947</v>
      </c>
      <c r="E114" t="s">
        <v>2949</v>
      </c>
      <c r="F114" t="s">
        <v>3062</v>
      </c>
      <c r="G114" s="2">
        <v>45811</v>
      </c>
      <c r="H114" s="2">
        <v>45822</v>
      </c>
      <c r="I114" t="s">
        <v>5764</v>
      </c>
      <c r="J114" t="s">
        <v>5768</v>
      </c>
      <c r="K114">
        <v>29200.37</v>
      </c>
      <c r="L114" t="s">
        <v>5774</v>
      </c>
      <c r="M114">
        <v>11</v>
      </c>
    </row>
    <row r="115" spans="1:13" x14ac:dyDescent="0.25">
      <c r="A115">
        <v>114</v>
      </c>
      <c r="B115" t="s">
        <v>126</v>
      </c>
      <c r="C115">
        <v>2</v>
      </c>
      <c r="D115" t="s">
        <v>2948</v>
      </c>
      <c r="E115" t="s">
        <v>2952</v>
      </c>
      <c r="F115" t="s">
        <v>3063</v>
      </c>
      <c r="G115" s="2">
        <v>45637</v>
      </c>
      <c r="H115" s="2">
        <v>45652</v>
      </c>
      <c r="I115" t="s">
        <v>5758</v>
      </c>
      <c r="J115" t="s">
        <v>5768</v>
      </c>
      <c r="K115">
        <v>236176.35</v>
      </c>
      <c r="L115" t="s">
        <v>5773</v>
      </c>
      <c r="M115">
        <v>15</v>
      </c>
    </row>
    <row r="116" spans="1:13" x14ac:dyDescent="0.25">
      <c r="A116">
        <v>115</v>
      </c>
      <c r="B116" t="s">
        <v>127</v>
      </c>
      <c r="C116">
        <v>38</v>
      </c>
      <c r="D116" t="s">
        <v>2948</v>
      </c>
      <c r="E116" t="s">
        <v>2950</v>
      </c>
      <c r="F116" t="s">
        <v>3064</v>
      </c>
      <c r="G116" s="2">
        <v>45795</v>
      </c>
      <c r="H116" s="2">
        <v>45806</v>
      </c>
      <c r="I116" t="s">
        <v>5762</v>
      </c>
      <c r="J116" t="s">
        <v>2949</v>
      </c>
      <c r="K116">
        <v>474818.31</v>
      </c>
      <c r="L116" t="s">
        <v>5775</v>
      </c>
      <c r="M116">
        <v>11</v>
      </c>
    </row>
    <row r="117" spans="1:13" x14ac:dyDescent="0.25">
      <c r="A117">
        <v>116</v>
      </c>
      <c r="B117" t="s">
        <v>128</v>
      </c>
      <c r="C117">
        <v>74</v>
      </c>
      <c r="D117" t="s">
        <v>2947</v>
      </c>
      <c r="E117" t="s">
        <v>2954</v>
      </c>
      <c r="F117" t="s">
        <v>3065</v>
      </c>
      <c r="G117" s="2">
        <v>45612</v>
      </c>
      <c r="H117" s="2">
        <v>45627</v>
      </c>
      <c r="I117" t="s">
        <v>5764</v>
      </c>
      <c r="J117" t="s">
        <v>5771</v>
      </c>
      <c r="K117">
        <v>304514.21999999997</v>
      </c>
      <c r="L117" t="s">
        <v>5774</v>
      </c>
      <c r="M117">
        <v>15</v>
      </c>
    </row>
    <row r="118" spans="1:13" x14ac:dyDescent="0.25">
      <c r="A118">
        <v>117</v>
      </c>
      <c r="B118" t="s">
        <v>129</v>
      </c>
      <c r="C118">
        <v>69</v>
      </c>
      <c r="D118" t="s">
        <v>2948</v>
      </c>
      <c r="E118" t="s">
        <v>2953</v>
      </c>
      <c r="F118" t="s">
        <v>3066</v>
      </c>
      <c r="G118" s="2">
        <v>45581</v>
      </c>
      <c r="H118" s="2">
        <v>45590</v>
      </c>
      <c r="I118" t="s">
        <v>5766</v>
      </c>
      <c r="J118" t="s">
        <v>5771</v>
      </c>
      <c r="K118">
        <v>346413.99</v>
      </c>
      <c r="L118" t="s">
        <v>5774</v>
      </c>
      <c r="M118">
        <v>9</v>
      </c>
    </row>
    <row r="119" spans="1:13" x14ac:dyDescent="0.25">
      <c r="A119">
        <v>118</v>
      </c>
      <c r="B119" t="s">
        <v>130</v>
      </c>
      <c r="C119">
        <v>77</v>
      </c>
      <c r="D119" t="s">
        <v>2948</v>
      </c>
      <c r="E119" t="s">
        <v>2953</v>
      </c>
      <c r="F119" t="s">
        <v>3067</v>
      </c>
      <c r="G119" s="2">
        <v>45783</v>
      </c>
      <c r="H119" s="2">
        <v>45790</v>
      </c>
      <c r="I119" t="s">
        <v>5759</v>
      </c>
      <c r="J119" t="s">
        <v>2949</v>
      </c>
      <c r="K119">
        <v>125160.45</v>
      </c>
      <c r="L119" t="s">
        <v>5775</v>
      </c>
      <c r="M119">
        <v>7</v>
      </c>
    </row>
    <row r="120" spans="1:13" x14ac:dyDescent="0.25">
      <c r="A120">
        <v>119</v>
      </c>
      <c r="B120" t="s">
        <v>131</v>
      </c>
      <c r="C120">
        <v>86</v>
      </c>
      <c r="D120" t="s">
        <v>2948</v>
      </c>
      <c r="E120" t="s">
        <v>2951</v>
      </c>
      <c r="F120" t="s">
        <v>3068</v>
      </c>
      <c r="G120" s="2">
        <v>45742</v>
      </c>
      <c r="H120" s="2">
        <v>45757</v>
      </c>
      <c r="I120" t="s">
        <v>5763</v>
      </c>
      <c r="J120" t="s">
        <v>5768</v>
      </c>
      <c r="K120">
        <v>291950.51</v>
      </c>
      <c r="L120" t="s">
        <v>5774</v>
      </c>
      <c r="M120">
        <v>15</v>
      </c>
    </row>
    <row r="121" spans="1:13" x14ac:dyDescent="0.25">
      <c r="A121">
        <v>120</v>
      </c>
      <c r="B121" t="s">
        <v>132</v>
      </c>
      <c r="C121">
        <v>49</v>
      </c>
      <c r="D121" t="s">
        <v>2947</v>
      </c>
      <c r="E121" t="s">
        <v>2949</v>
      </c>
      <c r="F121" t="s">
        <v>3069</v>
      </c>
      <c r="G121" s="2">
        <v>45827</v>
      </c>
      <c r="H121" s="2">
        <v>45839</v>
      </c>
      <c r="I121" t="s">
        <v>5766</v>
      </c>
      <c r="J121" t="s">
        <v>5771</v>
      </c>
      <c r="K121">
        <v>390024.28</v>
      </c>
      <c r="L121" t="s">
        <v>5775</v>
      </c>
      <c r="M121">
        <v>12</v>
      </c>
    </row>
    <row r="122" spans="1:13" x14ac:dyDescent="0.25">
      <c r="A122">
        <v>121</v>
      </c>
      <c r="B122" t="s">
        <v>133</v>
      </c>
      <c r="C122">
        <v>37</v>
      </c>
      <c r="D122" t="s">
        <v>2947</v>
      </c>
      <c r="E122" t="s">
        <v>2950</v>
      </c>
      <c r="F122" t="s">
        <v>3070</v>
      </c>
      <c r="G122" s="2">
        <v>45735</v>
      </c>
      <c r="H122" s="2">
        <v>45750</v>
      </c>
      <c r="I122" t="s">
        <v>5760</v>
      </c>
      <c r="J122" t="s">
        <v>5769</v>
      </c>
      <c r="K122">
        <v>123700.82</v>
      </c>
      <c r="L122" t="s">
        <v>5775</v>
      </c>
      <c r="M122">
        <v>15</v>
      </c>
    </row>
    <row r="123" spans="1:13" x14ac:dyDescent="0.25">
      <c r="A123">
        <v>122</v>
      </c>
      <c r="B123" t="s">
        <v>134</v>
      </c>
      <c r="C123">
        <v>77</v>
      </c>
      <c r="D123" t="s">
        <v>2948</v>
      </c>
      <c r="E123" t="s">
        <v>2954</v>
      </c>
      <c r="F123" t="s">
        <v>3071</v>
      </c>
      <c r="G123" s="2">
        <v>45893</v>
      </c>
      <c r="H123" s="2">
        <v>45905</v>
      </c>
      <c r="I123" t="s">
        <v>5763</v>
      </c>
      <c r="J123" t="s">
        <v>5770</v>
      </c>
      <c r="K123">
        <v>359462.93</v>
      </c>
      <c r="L123" t="s">
        <v>5775</v>
      </c>
      <c r="M123">
        <v>12</v>
      </c>
    </row>
    <row r="124" spans="1:13" x14ac:dyDescent="0.25">
      <c r="A124">
        <v>123</v>
      </c>
      <c r="B124" t="s">
        <v>135</v>
      </c>
      <c r="C124">
        <v>8</v>
      </c>
      <c r="D124" t="s">
        <v>2947</v>
      </c>
      <c r="E124" t="s">
        <v>2952</v>
      </c>
      <c r="F124" t="s">
        <v>3072</v>
      </c>
      <c r="G124" s="2">
        <v>45724</v>
      </c>
      <c r="H124" s="2">
        <v>45731</v>
      </c>
      <c r="I124" t="s">
        <v>5762</v>
      </c>
      <c r="J124" t="s">
        <v>5769</v>
      </c>
      <c r="K124">
        <v>172410.11</v>
      </c>
      <c r="L124" t="s">
        <v>5773</v>
      </c>
      <c r="M124">
        <v>7</v>
      </c>
    </row>
    <row r="125" spans="1:13" x14ac:dyDescent="0.25">
      <c r="A125">
        <v>124</v>
      </c>
      <c r="B125" t="s">
        <v>136</v>
      </c>
      <c r="C125">
        <v>51</v>
      </c>
      <c r="D125" t="s">
        <v>2947</v>
      </c>
      <c r="E125" t="s">
        <v>2954</v>
      </c>
      <c r="F125" t="s">
        <v>3073</v>
      </c>
      <c r="G125" s="2">
        <v>45910</v>
      </c>
      <c r="H125" s="2">
        <v>45912</v>
      </c>
      <c r="I125" t="s">
        <v>5759</v>
      </c>
      <c r="J125" t="s">
        <v>5768</v>
      </c>
      <c r="K125">
        <v>232738.23</v>
      </c>
      <c r="L125" t="s">
        <v>5773</v>
      </c>
      <c r="M125">
        <v>2</v>
      </c>
    </row>
    <row r="126" spans="1:13" x14ac:dyDescent="0.25">
      <c r="A126">
        <v>125</v>
      </c>
      <c r="B126" t="s">
        <v>137</v>
      </c>
      <c r="C126">
        <v>19</v>
      </c>
      <c r="D126" t="s">
        <v>2948</v>
      </c>
      <c r="E126" t="s">
        <v>2949</v>
      </c>
      <c r="F126" t="s">
        <v>3074</v>
      </c>
      <c r="G126" s="2">
        <v>45651</v>
      </c>
      <c r="H126" s="2">
        <v>45662</v>
      </c>
      <c r="I126" t="s">
        <v>5760</v>
      </c>
      <c r="J126" t="s">
        <v>5770</v>
      </c>
      <c r="K126">
        <v>414227.43</v>
      </c>
      <c r="L126" t="s">
        <v>5774</v>
      </c>
      <c r="M126">
        <v>11</v>
      </c>
    </row>
    <row r="127" spans="1:13" x14ac:dyDescent="0.25">
      <c r="A127">
        <v>126</v>
      </c>
      <c r="B127" t="s">
        <v>138</v>
      </c>
      <c r="C127">
        <v>60</v>
      </c>
      <c r="D127" t="s">
        <v>2947</v>
      </c>
      <c r="E127" t="s">
        <v>2949</v>
      </c>
      <c r="F127" t="s">
        <v>3075</v>
      </c>
      <c r="G127" s="2">
        <v>45688</v>
      </c>
      <c r="H127" s="2">
        <v>45701</v>
      </c>
      <c r="I127" t="s">
        <v>5765</v>
      </c>
      <c r="J127" t="s">
        <v>5771</v>
      </c>
      <c r="K127">
        <v>368506.46</v>
      </c>
      <c r="L127" t="s">
        <v>5775</v>
      </c>
      <c r="M127">
        <v>13</v>
      </c>
    </row>
    <row r="128" spans="1:13" x14ac:dyDescent="0.25">
      <c r="A128">
        <v>127</v>
      </c>
      <c r="B128" t="s">
        <v>139</v>
      </c>
      <c r="C128">
        <v>89</v>
      </c>
      <c r="D128" t="s">
        <v>2948</v>
      </c>
      <c r="E128" t="s">
        <v>2953</v>
      </c>
      <c r="F128" t="s">
        <v>3076</v>
      </c>
      <c r="G128" s="2">
        <v>45827</v>
      </c>
      <c r="H128" s="2">
        <v>45842</v>
      </c>
      <c r="I128" t="s">
        <v>5758</v>
      </c>
      <c r="J128" t="s">
        <v>5772</v>
      </c>
      <c r="K128">
        <v>361186.77</v>
      </c>
      <c r="L128" t="s">
        <v>5773</v>
      </c>
      <c r="M128">
        <v>15</v>
      </c>
    </row>
    <row r="129" spans="1:13" x14ac:dyDescent="0.25">
      <c r="A129">
        <v>128</v>
      </c>
      <c r="B129" t="s">
        <v>140</v>
      </c>
      <c r="C129">
        <v>56</v>
      </c>
      <c r="D129" t="s">
        <v>2948</v>
      </c>
      <c r="E129" t="s">
        <v>2950</v>
      </c>
      <c r="F129" t="s">
        <v>3077</v>
      </c>
      <c r="G129" s="2">
        <v>45725</v>
      </c>
      <c r="H129" s="2">
        <v>45734</v>
      </c>
      <c r="I129" t="s">
        <v>5767</v>
      </c>
      <c r="J129" t="s">
        <v>2949</v>
      </c>
      <c r="K129">
        <v>229141.31</v>
      </c>
      <c r="L129" t="s">
        <v>5773</v>
      </c>
      <c r="M129">
        <v>9</v>
      </c>
    </row>
    <row r="130" spans="1:13" x14ac:dyDescent="0.25">
      <c r="A130">
        <v>129</v>
      </c>
      <c r="B130" t="s">
        <v>141</v>
      </c>
      <c r="C130">
        <v>7</v>
      </c>
      <c r="D130" t="s">
        <v>2948</v>
      </c>
      <c r="E130" t="s">
        <v>2950</v>
      </c>
      <c r="F130" t="s">
        <v>3078</v>
      </c>
      <c r="G130" s="2">
        <v>45615</v>
      </c>
      <c r="H130" s="2">
        <v>45618</v>
      </c>
      <c r="I130" t="s">
        <v>5761</v>
      </c>
      <c r="J130" t="s">
        <v>2949</v>
      </c>
      <c r="K130">
        <v>151414.56</v>
      </c>
      <c r="L130" t="s">
        <v>5773</v>
      </c>
      <c r="M130">
        <v>3</v>
      </c>
    </row>
    <row r="131" spans="1:13" x14ac:dyDescent="0.25">
      <c r="A131">
        <v>130</v>
      </c>
      <c r="B131" t="s">
        <v>142</v>
      </c>
      <c r="C131">
        <v>83</v>
      </c>
      <c r="D131" t="s">
        <v>2948</v>
      </c>
      <c r="E131" t="s">
        <v>2950</v>
      </c>
      <c r="F131" t="s">
        <v>3079</v>
      </c>
      <c r="G131" s="2">
        <v>45561</v>
      </c>
      <c r="H131" s="2">
        <v>45567</v>
      </c>
      <c r="I131" t="s">
        <v>5765</v>
      </c>
      <c r="J131" t="s">
        <v>5771</v>
      </c>
      <c r="K131">
        <v>139694.82</v>
      </c>
      <c r="L131" t="s">
        <v>5775</v>
      </c>
      <c r="M131">
        <v>6</v>
      </c>
    </row>
    <row r="132" spans="1:13" x14ac:dyDescent="0.25">
      <c r="A132">
        <v>131</v>
      </c>
      <c r="B132" t="s">
        <v>143</v>
      </c>
      <c r="C132">
        <v>7</v>
      </c>
      <c r="D132" t="s">
        <v>2947</v>
      </c>
      <c r="E132" t="s">
        <v>2953</v>
      </c>
      <c r="F132" t="s">
        <v>3080</v>
      </c>
      <c r="G132" s="2">
        <v>45760</v>
      </c>
      <c r="H132" s="2">
        <v>45768</v>
      </c>
      <c r="I132" t="s">
        <v>5762</v>
      </c>
      <c r="J132" t="s">
        <v>5768</v>
      </c>
      <c r="K132">
        <v>188293.16</v>
      </c>
      <c r="L132" t="s">
        <v>5774</v>
      </c>
      <c r="M132">
        <v>8</v>
      </c>
    </row>
    <row r="133" spans="1:13" x14ac:dyDescent="0.25">
      <c r="A133">
        <v>132</v>
      </c>
      <c r="B133" t="s">
        <v>144</v>
      </c>
      <c r="C133">
        <v>37</v>
      </c>
      <c r="D133" t="s">
        <v>2948</v>
      </c>
      <c r="E133" t="s">
        <v>2952</v>
      </c>
      <c r="F133" t="s">
        <v>3081</v>
      </c>
      <c r="G133" s="2">
        <v>45778</v>
      </c>
      <c r="H133" s="2">
        <v>45785</v>
      </c>
      <c r="I133" t="s">
        <v>5764</v>
      </c>
      <c r="J133" t="s">
        <v>5768</v>
      </c>
      <c r="K133">
        <v>47270.559999999998</v>
      </c>
      <c r="L133" t="s">
        <v>5775</v>
      </c>
      <c r="M133">
        <v>7</v>
      </c>
    </row>
    <row r="134" spans="1:13" x14ac:dyDescent="0.25">
      <c r="A134">
        <v>133</v>
      </c>
      <c r="B134" t="s">
        <v>145</v>
      </c>
      <c r="C134">
        <v>88</v>
      </c>
      <c r="D134" t="s">
        <v>2947</v>
      </c>
      <c r="E134" t="s">
        <v>2954</v>
      </c>
      <c r="F134" t="s">
        <v>3082</v>
      </c>
      <c r="G134" s="2">
        <v>45902</v>
      </c>
      <c r="H134" s="2">
        <v>45908</v>
      </c>
      <c r="I134" t="s">
        <v>5766</v>
      </c>
      <c r="J134" t="s">
        <v>5771</v>
      </c>
      <c r="K134">
        <v>400810.56</v>
      </c>
      <c r="L134" t="s">
        <v>5775</v>
      </c>
      <c r="M134">
        <v>6</v>
      </c>
    </row>
    <row r="135" spans="1:13" x14ac:dyDescent="0.25">
      <c r="A135">
        <v>134</v>
      </c>
      <c r="B135" t="s">
        <v>146</v>
      </c>
      <c r="C135">
        <v>21</v>
      </c>
      <c r="D135" t="s">
        <v>2948</v>
      </c>
      <c r="E135" t="s">
        <v>2952</v>
      </c>
      <c r="F135" t="s">
        <v>3083</v>
      </c>
      <c r="G135" s="2">
        <v>45711</v>
      </c>
      <c r="H135" s="2">
        <v>45718</v>
      </c>
      <c r="I135" t="s">
        <v>5762</v>
      </c>
      <c r="J135" t="s">
        <v>5772</v>
      </c>
      <c r="K135">
        <v>361959.62</v>
      </c>
      <c r="L135" t="s">
        <v>5775</v>
      </c>
      <c r="M135">
        <v>7</v>
      </c>
    </row>
    <row r="136" spans="1:13" x14ac:dyDescent="0.25">
      <c r="A136">
        <v>135</v>
      </c>
      <c r="B136" t="s">
        <v>147</v>
      </c>
      <c r="C136">
        <v>79</v>
      </c>
      <c r="D136" t="s">
        <v>2947</v>
      </c>
      <c r="E136" t="s">
        <v>2954</v>
      </c>
      <c r="F136" t="s">
        <v>3084</v>
      </c>
      <c r="G136" s="2">
        <v>45852</v>
      </c>
      <c r="H136" s="2">
        <v>45854</v>
      </c>
      <c r="I136" t="s">
        <v>5765</v>
      </c>
      <c r="J136" t="s">
        <v>5768</v>
      </c>
      <c r="K136">
        <v>320125.76</v>
      </c>
      <c r="L136" t="s">
        <v>5773</v>
      </c>
      <c r="M136">
        <v>2</v>
      </c>
    </row>
    <row r="137" spans="1:13" x14ac:dyDescent="0.25">
      <c r="A137">
        <v>136</v>
      </c>
      <c r="B137" t="s">
        <v>148</v>
      </c>
      <c r="C137">
        <v>1</v>
      </c>
      <c r="D137" t="s">
        <v>2947</v>
      </c>
      <c r="E137" t="s">
        <v>2952</v>
      </c>
      <c r="F137" t="s">
        <v>3085</v>
      </c>
      <c r="G137" s="2">
        <v>45655</v>
      </c>
      <c r="H137" s="2">
        <v>45659</v>
      </c>
      <c r="I137" t="s">
        <v>5761</v>
      </c>
      <c r="J137" t="s">
        <v>5768</v>
      </c>
      <c r="K137">
        <v>349863.53</v>
      </c>
      <c r="L137" t="s">
        <v>5774</v>
      </c>
      <c r="M137">
        <v>4</v>
      </c>
    </row>
    <row r="138" spans="1:13" x14ac:dyDescent="0.25">
      <c r="A138">
        <v>137</v>
      </c>
      <c r="B138" t="s">
        <v>149</v>
      </c>
      <c r="C138">
        <v>42</v>
      </c>
      <c r="D138" t="s">
        <v>2948</v>
      </c>
      <c r="E138" t="s">
        <v>2951</v>
      </c>
      <c r="F138" t="s">
        <v>3086</v>
      </c>
      <c r="G138" s="2">
        <v>45658</v>
      </c>
      <c r="H138" s="2">
        <v>45665</v>
      </c>
      <c r="I138" t="s">
        <v>5760</v>
      </c>
      <c r="J138" t="s">
        <v>5770</v>
      </c>
      <c r="K138">
        <v>215807.75</v>
      </c>
      <c r="L138" t="s">
        <v>5774</v>
      </c>
      <c r="M138">
        <v>7</v>
      </c>
    </row>
    <row r="139" spans="1:13" x14ac:dyDescent="0.25">
      <c r="A139">
        <v>138</v>
      </c>
      <c r="B139" t="s">
        <v>150</v>
      </c>
      <c r="C139">
        <v>60</v>
      </c>
      <c r="D139" t="s">
        <v>2948</v>
      </c>
      <c r="E139" t="s">
        <v>2952</v>
      </c>
      <c r="F139" t="s">
        <v>3087</v>
      </c>
      <c r="G139" s="2">
        <v>45590</v>
      </c>
      <c r="H139" s="2">
        <v>45597</v>
      </c>
      <c r="I139" t="s">
        <v>5765</v>
      </c>
      <c r="J139" t="s">
        <v>2949</v>
      </c>
      <c r="K139">
        <v>304712</v>
      </c>
      <c r="L139" t="s">
        <v>5773</v>
      </c>
      <c r="M139">
        <v>7</v>
      </c>
    </row>
    <row r="140" spans="1:13" x14ac:dyDescent="0.25">
      <c r="A140">
        <v>139</v>
      </c>
      <c r="B140" t="s">
        <v>151</v>
      </c>
      <c r="C140">
        <v>4</v>
      </c>
      <c r="D140" t="s">
        <v>2948</v>
      </c>
      <c r="E140" t="s">
        <v>2954</v>
      </c>
      <c r="F140" t="s">
        <v>3088</v>
      </c>
      <c r="G140" s="2">
        <v>45582</v>
      </c>
      <c r="H140" s="2">
        <v>45595</v>
      </c>
      <c r="I140" t="s">
        <v>5760</v>
      </c>
      <c r="J140" t="s">
        <v>5770</v>
      </c>
      <c r="K140">
        <v>421458.05</v>
      </c>
      <c r="L140" t="s">
        <v>5773</v>
      </c>
      <c r="M140">
        <v>13</v>
      </c>
    </row>
    <row r="141" spans="1:13" x14ac:dyDescent="0.25">
      <c r="A141">
        <v>140</v>
      </c>
      <c r="B141" t="s">
        <v>152</v>
      </c>
      <c r="C141">
        <v>65</v>
      </c>
      <c r="D141" t="s">
        <v>2948</v>
      </c>
      <c r="E141" t="s">
        <v>2949</v>
      </c>
      <c r="F141" t="s">
        <v>3089</v>
      </c>
      <c r="G141" s="2">
        <v>45814</v>
      </c>
      <c r="H141" s="2">
        <v>45829</v>
      </c>
      <c r="I141" t="s">
        <v>5765</v>
      </c>
      <c r="J141" t="s">
        <v>5770</v>
      </c>
      <c r="K141">
        <v>338744.27</v>
      </c>
      <c r="L141" t="s">
        <v>5773</v>
      </c>
      <c r="M141">
        <v>15</v>
      </c>
    </row>
    <row r="142" spans="1:13" x14ac:dyDescent="0.25">
      <c r="A142">
        <v>141</v>
      </c>
      <c r="B142" t="s">
        <v>153</v>
      </c>
      <c r="C142">
        <v>21</v>
      </c>
      <c r="D142" t="s">
        <v>2948</v>
      </c>
      <c r="E142" t="s">
        <v>2949</v>
      </c>
      <c r="F142" t="s">
        <v>3090</v>
      </c>
      <c r="G142" s="2">
        <v>45678</v>
      </c>
      <c r="H142" s="2">
        <v>45689</v>
      </c>
      <c r="I142" t="s">
        <v>5764</v>
      </c>
      <c r="J142" t="s">
        <v>5771</v>
      </c>
      <c r="K142">
        <v>449968.85</v>
      </c>
      <c r="L142" t="s">
        <v>5775</v>
      </c>
      <c r="M142">
        <v>11</v>
      </c>
    </row>
    <row r="143" spans="1:13" x14ac:dyDescent="0.25">
      <c r="A143">
        <v>142</v>
      </c>
      <c r="B143" t="s">
        <v>154</v>
      </c>
      <c r="C143">
        <v>20</v>
      </c>
      <c r="D143" t="s">
        <v>2947</v>
      </c>
      <c r="E143" t="s">
        <v>2950</v>
      </c>
      <c r="F143" t="s">
        <v>3091</v>
      </c>
      <c r="G143" s="2">
        <v>45871</v>
      </c>
      <c r="H143" s="2">
        <v>45884</v>
      </c>
      <c r="I143" t="s">
        <v>5766</v>
      </c>
      <c r="J143" t="s">
        <v>5770</v>
      </c>
      <c r="K143">
        <v>205503.2</v>
      </c>
      <c r="L143" t="s">
        <v>5775</v>
      </c>
      <c r="M143">
        <v>13</v>
      </c>
    </row>
    <row r="144" spans="1:13" x14ac:dyDescent="0.25">
      <c r="A144">
        <v>143</v>
      </c>
      <c r="B144" t="s">
        <v>155</v>
      </c>
      <c r="C144">
        <v>17</v>
      </c>
      <c r="D144" t="s">
        <v>2947</v>
      </c>
      <c r="E144" t="s">
        <v>2951</v>
      </c>
      <c r="F144" t="s">
        <v>3092</v>
      </c>
      <c r="G144" s="2">
        <v>45616</v>
      </c>
      <c r="H144" s="2">
        <v>45626</v>
      </c>
      <c r="I144" t="s">
        <v>5762</v>
      </c>
      <c r="J144" t="s">
        <v>2949</v>
      </c>
      <c r="K144">
        <v>260254</v>
      </c>
      <c r="L144" t="s">
        <v>5773</v>
      </c>
      <c r="M144">
        <v>10</v>
      </c>
    </row>
    <row r="145" spans="1:13" x14ac:dyDescent="0.25">
      <c r="A145">
        <v>144</v>
      </c>
      <c r="B145" t="s">
        <v>156</v>
      </c>
      <c r="C145">
        <v>23</v>
      </c>
      <c r="D145" t="s">
        <v>2948</v>
      </c>
      <c r="E145" t="s">
        <v>2952</v>
      </c>
      <c r="F145" t="s">
        <v>3093</v>
      </c>
      <c r="G145" s="2">
        <v>45561</v>
      </c>
      <c r="H145" s="2">
        <v>45575</v>
      </c>
      <c r="I145" t="s">
        <v>5760</v>
      </c>
      <c r="J145" t="s">
        <v>5771</v>
      </c>
      <c r="K145">
        <v>183936.08</v>
      </c>
      <c r="L145" t="s">
        <v>5775</v>
      </c>
      <c r="M145">
        <v>14</v>
      </c>
    </row>
    <row r="146" spans="1:13" x14ac:dyDescent="0.25">
      <c r="A146">
        <v>145</v>
      </c>
      <c r="B146" t="s">
        <v>157</v>
      </c>
      <c r="C146">
        <v>88</v>
      </c>
      <c r="D146" t="s">
        <v>2947</v>
      </c>
      <c r="E146" t="s">
        <v>2954</v>
      </c>
      <c r="F146" t="s">
        <v>3094</v>
      </c>
      <c r="G146" s="2">
        <v>45597</v>
      </c>
      <c r="H146" s="2">
        <v>45612</v>
      </c>
      <c r="I146" t="s">
        <v>5759</v>
      </c>
      <c r="J146" t="s">
        <v>5771</v>
      </c>
      <c r="K146">
        <v>356062.25</v>
      </c>
      <c r="L146" t="s">
        <v>5775</v>
      </c>
      <c r="M146">
        <v>15</v>
      </c>
    </row>
    <row r="147" spans="1:13" x14ac:dyDescent="0.25">
      <c r="A147">
        <v>146</v>
      </c>
      <c r="B147" t="s">
        <v>158</v>
      </c>
      <c r="C147">
        <v>25</v>
      </c>
      <c r="D147" t="s">
        <v>2947</v>
      </c>
      <c r="E147" t="s">
        <v>2953</v>
      </c>
      <c r="F147" t="s">
        <v>3095</v>
      </c>
      <c r="G147" s="2">
        <v>45840</v>
      </c>
      <c r="H147" s="2">
        <v>45845</v>
      </c>
      <c r="I147" t="s">
        <v>5764</v>
      </c>
      <c r="J147" t="s">
        <v>5770</v>
      </c>
      <c r="K147">
        <v>181676.47</v>
      </c>
      <c r="L147" t="s">
        <v>5775</v>
      </c>
      <c r="M147">
        <v>5</v>
      </c>
    </row>
    <row r="148" spans="1:13" x14ac:dyDescent="0.25">
      <c r="A148">
        <v>147</v>
      </c>
      <c r="B148" t="s">
        <v>159</v>
      </c>
      <c r="C148">
        <v>66</v>
      </c>
      <c r="D148" t="s">
        <v>2947</v>
      </c>
      <c r="E148" t="s">
        <v>2955</v>
      </c>
      <c r="F148" t="s">
        <v>3096</v>
      </c>
      <c r="G148" s="2">
        <v>45601</v>
      </c>
      <c r="H148" s="2">
        <v>45608</v>
      </c>
      <c r="I148" t="s">
        <v>5762</v>
      </c>
      <c r="J148" t="s">
        <v>5768</v>
      </c>
      <c r="K148">
        <v>193469.72</v>
      </c>
      <c r="L148" t="s">
        <v>5775</v>
      </c>
      <c r="M148">
        <v>7</v>
      </c>
    </row>
    <row r="149" spans="1:13" x14ac:dyDescent="0.25">
      <c r="A149">
        <v>148</v>
      </c>
      <c r="B149" t="s">
        <v>160</v>
      </c>
      <c r="C149">
        <v>82</v>
      </c>
      <c r="D149" t="s">
        <v>2947</v>
      </c>
      <c r="E149" t="s">
        <v>2955</v>
      </c>
      <c r="F149" t="s">
        <v>3097</v>
      </c>
      <c r="G149" s="2">
        <v>45569</v>
      </c>
      <c r="H149" s="2">
        <v>45579</v>
      </c>
      <c r="I149" t="s">
        <v>5758</v>
      </c>
      <c r="J149" t="s">
        <v>5769</v>
      </c>
      <c r="K149">
        <v>457867.86</v>
      </c>
      <c r="L149" t="s">
        <v>5775</v>
      </c>
      <c r="M149">
        <v>10</v>
      </c>
    </row>
    <row r="150" spans="1:13" x14ac:dyDescent="0.25">
      <c r="A150">
        <v>149</v>
      </c>
      <c r="B150" t="s">
        <v>161</v>
      </c>
      <c r="C150">
        <v>29</v>
      </c>
      <c r="D150" t="s">
        <v>2948</v>
      </c>
      <c r="E150" t="s">
        <v>2955</v>
      </c>
      <c r="F150" t="s">
        <v>3098</v>
      </c>
      <c r="G150" s="2">
        <v>45859</v>
      </c>
      <c r="H150" s="2">
        <v>45870</v>
      </c>
      <c r="I150" t="s">
        <v>5762</v>
      </c>
      <c r="J150" t="s">
        <v>5772</v>
      </c>
      <c r="K150">
        <v>303958.65999999997</v>
      </c>
      <c r="L150" t="s">
        <v>5774</v>
      </c>
      <c r="M150">
        <v>11</v>
      </c>
    </row>
    <row r="151" spans="1:13" x14ac:dyDescent="0.25">
      <c r="A151">
        <v>150</v>
      </c>
      <c r="B151" t="s">
        <v>162</v>
      </c>
      <c r="C151">
        <v>8</v>
      </c>
      <c r="D151" t="s">
        <v>2947</v>
      </c>
      <c r="E151" t="s">
        <v>2954</v>
      </c>
      <c r="F151" t="s">
        <v>3099</v>
      </c>
      <c r="G151" s="2">
        <v>45763</v>
      </c>
      <c r="H151" s="2">
        <v>45772</v>
      </c>
      <c r="I151" t="s">
        <v>5763</v>
      </c>
      <c r="J151" t="s">
        <v>5769</v>
      </c>
      <c r="K151">
        <v>193886.91</v>
      </c>
      <c r="L151" t="s">
        <v>5774</v>
      </c>
      <c r="M151">
        <v>9</v>
      </c>
    </row>
    <row r="152" spans="1:13" x14ac:dyDescent="0.25">
      <c r="A152">
        <v>151</v>
      </c>
      <c r="B152" t="s">
        <v>163</v>
      </c>
      <c r="C152">
        <v>14</v>
      </c>
      <c r="D152" t="s">
        <v>2948</v>
      </c>
      <c r="E152" t="s">
        <v>2954</v>
      </c>
      <c r="F152" t="s">
        <v>3100</v>
      </c>
      <c r="G152" s="2">
        <v>45550</v>
      </c>
      <c r="H152" s="2">
        <v>45561</v>
      </c>
      <c r="I152" t="s">
        <v>5767</v>
      </c>
      <c r="J152" t="s">
        <v>5770</v>
      </c>
      <c r="K152">
        <v>418395.88</v>
      </c>
      <c r="L152" t="s">
        <v>5774</v>
      </c>
      <c r="M152">
        <v>11</v>
      </c>
    </row>
    <row r="153" spans="1:13" x14ac:dyDescent="0.25">
      <c r="A153">
        <v>152</v>
      </c>
      <c r="B153" t="s">
        <v>164</v>
      </c>
      <c r="C153">
        <v>4</v>
      </c>
      <c r="D153" t="s">
        <v>2948</v>
      </c>
      <c r="E153" t="s">
        <v>2949</v>
      </c>
      <c r="F153" t="s">
        <v>3101</v>
      </c>
      <c r="G153" s="2">
        <v>45631</v>
      </c>
      <c r="H153" s="2">
        <v>45645</v>
      </c>
      <c r="I153" t="s">
        <v>5760</v>
      </c>
      <c r="J153" t="s">
        <v>5771</v>
      </c>
      <c r="K153">
        <v>405729.86</v>
      </c>
      <c r="L153" t="s">
        <v>5773</v>
      </c>
      <c r="M153">
        <v>14</v>
      </c>
    </row>
    <row r="154" spans="1:13" x14ac:dyDescent="0.25">
      <c r="A154">
        <v>153</v>
      </c>
      <c r="B154" t="s">
        <v>165</v>
      </c>
      <c r="C154">
        <v>21</v>
      </c>
      <c r="D154" t="s">
        <v>2948</v>
      </c>
      <c r="E154" t="s">
        <v>2954</v>
      </c>
      <c r="F154" t="s">
        <v>3102</v>
      </c>
      <c r="G154" s="2">
        <v>45620</v>
      </c>
      <c r="H154" s="2">
        <v>45621</v>
      </c>
      <c r="I154" t="s">
        <v>5765</v>
      </c>
      <c r="J154" t="s">
        <v>5772</v>
      </c>
      <c r="K154">
        <v>61363.23</v>
      </c>
      <c r="L154" t="s">
        <v>5773</v>
      </c>
      <c r="M154">
        <v>1</v>
      </c>
    </row>
    <row r="155" spans="1:13" x14ac:dyDescent="0.25">
      <c r="A155">
        <v>154</v>
      </c>
      <c r="B155" t="s">
        <v>166</v>
      </c>
      <c r="C155">
        <v>79</v>
      </c>
      <c r="D155" t="s">
        <v>2947</v>
      </c>
      <c r="E155" t="s">
        <v>2955</v>
      </c>
      <c r="F155" t="s">
        <v>3103</v>
      </c>
      <c r="G155" s="2">
        <v>45849</v>
      </c>
      <c r="H155" s="2">
        <v>45854</v>
      </c>
      <c r="I155" t="s">
        <v>5764</v>
      </c>
      <c r="J155" t="s">
        <v>5771</v>
      </c>
      <c r="K155">
        <v>113058.87</v>
      </c>
      <c r="L155" t="s">
        <v>5774</v>
      </c>
      <c r="M155">
        <v>5</v>
      </c>
    </row>
    <row r="156" spans="1:13" x14ac:dyDescent="0.25">
      <c r="A156">
        <v>155</v>
      </c>
      <c r="B156" t="s">
        <v>167</v>
      </c>
      <c r="C156">
        <v>34</v>
      </c>
      <c r="D156" t="s">
        <v>2948</v>
      </c>
      <c r="E156" t="s">
        <v>2952</v>
      </c>
      <c r="F156" t="s">
        <v>3104</v>
      </c>
      <c r="G156" s="2">
        <v>45694</v>
      </c>
      <c r="H156" s="2">
        <v>45706</v>
      </c>
      <c r="I156" t="s">
        <v>5767</v>
      </c>
      <c r="J156" t="s">
        <v>5772</v>
      </c>
      <c r="K156">
        <v>326022.48</v>
      </c>
      <c r="L156" t="s">
        <v>5773</v>
      </c>
      <c r="M156">
        <v>12</v>
      </c>
    </row>
    <row r="157" spans="1:13" x14ac:dyDescent="0.25">
      <c r="A157">
        <v>156</v>
      </c>
      <c r="B157" t="s">
        <v>168</v>
      </c>
      <c r="C157">
        <v>50</v>
      </c>
      <c r="D157" t="s">
        <v>2948</v>
      </c>
      <c r="E157" t="s">
        <v>2951</v>
      </c>
      <c r="F157" t="s">
        <v>3105</v>
      </c>
      <c r="G157" s="2">
        <v>45550</v>
      </c>
      <c r="H157" s="2">
        <v>45555</v>
      </c>
      <c r="I157" t="s">
        <v>5759</v>
      </c>
      <c r="J157" t="s">
        <v>5768</v>
      </c>
      <c r="K157">
        <v>296983.21999999997</v>
      </c>
      <c r="L157" t="s">
        <v>5773</v>
      </c>
      <c r="M157">
        <v>5</v>
      </c>
    </row>
    <row r="158" spans="1:13" x14ac:dyDescent="0.25">
      <c r="A158">
        <v>157</v>
      </c>
      <c r="B158" t="s">
        <v>169</v>
      </c>
      <c r="C158">
        <v>33</v>
      </c>
      <c r="D158" t="s">
        <v>2947</v>
      </c>
      <c r="E158" t="s">
        <v>2952</v>
      </c>
      <c r="F158" t="s">
        <v>3106</v>
      </c>
      <c r="G158" s="2">
        <v>45756</v>
      </c>
      <c r="H158" s="2">
        <v>45763</v>
      </c>
      <c r="I158" t="s">
        <v>5761</v>
      </c>
      <c r="J158" t="s">
        <v>5772</v>
      </c>
      <c r="K158">
        <v>41091.67</v>
      </c>
      <c r="L158" t="s">
        <v>5773</v>
      </c>
      <c r="M158">
        <v>7</v>
      </c>
    </row>
    <row r="159" spans="1:13" x14ac:dyDescent="0.25">
      <c r="A159">
        <v>158</v>
      </c>
      <c r="B159" t="s">
        <v>170</v>
      </c>
      <c r="C159">
        <v>44</v>
      </c>
      <c r="D159" t="s">
        <v>2947</v>
      </c>
      <c r="E159" t="s">
        <v>2949</v>
      </c>
      <c r="F159" t="s">
        <v>3107</v>
      </c>
      <c r="G159" s="2">
        <v>45837</v>
      </c>
      <c r="H159" s="2">
        <v>45841</v>
      </c>
      <c r="I159" t="s">
        <v>5763</v>
      </c>
      <c r="J159" t="s">
        <v>5770</v>
      </c>
      <c r="K159">
        <v>346733.19</v>
      </c>
      <c r="L159" t="s">
        <v>5775</v>
      </c>
      <c r="M159">
        <v>4</v>
      </c>
    </row>
    <row r="160" spans="1:13" x14ac:dyDescent="0.25">
      <c r="A160">
        <v>159</v>
      </c>
      <c r="B160" t="s">
        <v>171</v>
      </c>
      <c r="C160">
        <v>42</v>
      </c>
      <c r="D160" t="s">
        <v>2948</v>
      </c>
      <c r="E160" t="s">
        <v>2949</v>
      </c>
      <c r="F160" t="s">
        <v>3108</v>
      </c>
      <c r="G160" s="2">
        <v>45660</v>
      </c>
      <c r="H160" s="2">
        <v>45662</v>
      </c>
      <c r="I160" t="s">
        <v>5760</v>
      </c>
      <c r="J160" t="s">
        <v>5771</v>
      </c>
      <c r="K160">
        <v>63431.89</v>
      </c>
      <c r="L160" t="s">
        <v>5775</v>
      </c>
      <c r="M160">
        <v>2</v>
      </c>
    </row>
    <row r="161" spans="1:13" x14ac:dyDescent="0.25">
      <c r="A161">
        <v>160</v>
      </c>
      <c r="B161" t="s">
        <v>172</v>
      </c>
      <c r="C161">
        <v>86</v>
      </c>
      <c r="D161" t="s">
        <v>2948</v>
      </c>
      <c r="E161" t="s">
        <v>2950</v>
      </c>
      <c r="F161" t="s">
        <v>3109</v>
      </c>
      <c r="G161" s="2">
        <v>45794</v>
      </c>
      <c r="H161" s="2">
        <v>45807</v>
      </c>
      <c r="I161" t="s">
        <v>5763</v>
      </c>
      <c r="J161" t="s">
        <v>5771</v>
      </c>
      <c r="K161">
        <v>382783.69</v>
      </c>
      <c r="L161" t="s">
        <v>5774</v>
      </c>
      <c r="M161">
        <v>13</v>
      </c>
    </row>
    <row r="162" spans="1:13" x14ac:dyDescent="0.25">
      <c r="A162">
        <v>161</v>
      </c>
      <c r="B162" t="s">
        <v>173</v>
      </c>
      <c r="C162">
        <v>38</v>
      </c>
      <c r="D162" t="s">
        <v>2948</v>
      </c>
      <c r="E162" t="s">
        <v>2951</v>
      </c>
      <c r="F162" t="s">
        <v>3110</v>
      </c>
      <c r="G162" s="2">
        <v>45765</v>
      </c>
      <c r="H162" s="2">
        <v>45777</v>
      </c>
      <c r="I162" t="s">
        <v>5765</v>
      </c>
      <c r="J162" t="s">
        <v>5772</v>
      </c>
      <c r="K162">
        <v>365425.43</v>
      </c>
      <c r="L162" t="s">
        <v>5774</v>
      </c>
      <c r="M162">
        <v>12</v>
      </c>
    </row>
    <row r="163" spans="1:13" x14ac:dyDescent="0.25">
      <c r="A163">
        <v>162</v>
      </c>
      <c r="B163" t="s">
        <v>174</v>
      </c>
      <c r="C163">
        <v>80</v>
      </c>
      <c r="D163" t="s">
        <v>2947</v>
      </c>
      <c r="E163" t="s">
        <v>2951</v>
      </c>
      <c r="F163" t="s">
        <v>3111</v>
      </c>
      <c r="G163" s="2">
        <v>45732</v>
      </c>
      <c r="H163" s="2">
        <v>45744</v>
      </c>
      <c r="I163" t="s">
        <v>5759</v>
      </c>
      <c r="J163" t="s">
        <v>5771</v>
      </c>
      <c r="K163">
        <v>329110.75</v>
      </c>
      <c r="L163" t="s">
        <v>5774</v>
      </c>
      <c r="M163">
        <v>12</v>
      </c>
    </row>
    <row r="164" spans="1:13" x14ac:dyDescent="0.25">
      <c r="A164">
        <v>163</v>
      </c>
      <c r="B164" t="s">
        <v>175</v>
      </c>
      <c r="C164">
        <v>78</v>
      </c>
      <c r="D164" t="s">
        <v>2948</v>
      </c>
      <c r="E164" t="s">
        <v>2950</v>
      </c>
      <c r="F164" t="s">
        <v>3112</v>
      </c>
      <c r="G164" s="2">
        <v>45786</v>
      </c>
      <c r="H164" s="2">
        <v>45800</v>
      </c>
      <c r="I164" t="s">
        <v>5761</v>
      </c>
      <c r="J164" t="s">
        <v>2949</v>
      </c>
      <c r="K164">
        <v>472678.33</v>
      </c>
      <c r="L164" t="s">
        <v>5775</v>
      </c>
      <c r="M164">
        <v>14</v>
      </c>
    </row>
    <row r="165" spans="1:13" x14ac:dyDescent="0.25">
      <c r="A165">
        <v>164</v>
      </c>
      <c r="B165" t="s">
        <v>176</v>
      </c>
      <c r="C165">
        <v>49</v>
      </c>
      <c r="D165" t="s">
        <v>2947</v>
      </c>
      <c r="E165" t="s">
        <v>2949</v>
      </c>
      <c r="F165" t="s">
        <v>3113</v>
      </c>
      <c r="G165" s="2">
        <v>45779</v>
      </c>
      <c r="H165" s="2">
        <v>45791</v>
      </c>
      <c r="I165" t="s">
        <v>5760</v>
      </c>
      <c r="J165" t="s">
        <v>2949</v>
      </c>
      <c r="K165">
        <v>312307.39</v>
      </c>
      <c r="L165" t="s">
        <v>5774</v>
      </c>
      <c r="M165">
        <v>12</v>
      </c>
    </row>
    <row r="166" spans="1:13" x14ac:dyDescent="0.25">
      <c r="A166">
        <v>165</v>
      </c>
      <c r="B166" t="s">
        <v>177</v>
      </c>
      <c r="C166">
        <v>73</v>
      </c>
      <c r="D166" t="s">
        <v>2948</v>
      </c>
      <c r="E166" t="s">
        <v>2955</v>
      </c>
      <c r="F166" t="s">
        <v>3114</v>
      </c>
      <c r="G166" s="2">
        <v>45912</v>
      </c>
      <c r="H166" s="2">
        <v>45913</v>
      </c>
      <c r="I166" t="s">
        <v>5763</v>
      </c>
      <c r="J166" t="s">
        <v>5768</v>
      </c>
      <c r="K166">
        <v>374178.23</v>
      </c>
      <c r="L166" t="s">
        <v>5775</v>
      </c>
      <c r="M166">
        <v>1</v>
      </c>
    </row>
    <row r="167" spans="1:13" x14ac:dyDescent="0.25">
      <c r="A167">
        <v>166</v>
      </c>
      <c r="B167" t="s">
        <v>178</v>
      </c>
      <c r="C167">
        <v>32</v>
      </c>
      <c r="D167" t="s">
        <v>2947</v>
      </c>
      <c r="E167" t="s">
        <v>2952</v>
      </c>
      <c r="F167" t="s">
        <v>3115</v>
      </c>
      <c r="G167" s="2">
        <v>45772</v>
      </c>
      <c r="H167" s="2">
        <v>45778</v>
      </c>
      <c r="I167" t="s">
        <v>5766</v>
      </c>
      <c r="J167" t="s">
        <v>5768</v>
      </c>
      <c r="K167">
        <v>85569.72</v>
      </c>
      <c r="L167" t="s">
        <v>5773</v>
      </c>
      <c r="M167">
        <v>6</v>
      </c>
    </row>
    <row r="168" spans="1:13" x14ac:dyDescent="0.25">
      <c r="A168">
        <v>167</v>
      </c>
      <c r="B168" t="s">
        <v>179</v>
      </c>
      <c r="C168">
        <v>73</v>
      </c>
      <c r="D168" t="s">
        <v>2947</v>
      </c>
      <c r="E168" t="s">
        <v>2955</v>
      </c>
      <c r="F168" t="s">
        <v>3116</v>
      </c>
      <c r="G168" s="2">
        <v>45821</v>
      </c>
      <c r="H168" s="2">
        <v>45832</v>
      </c>
      <c r="I168" t="s">
        <v>5758</v>
      </c>
      <c r="J168" t="s">
        <v>5771</v>
      </c>
      <c r="K168">
        <v>417481.3</v>
      </c>
      <c r="L168" t="s">
        <v>5774</v>
      </c>
      <c r="M168">
        <v>11</v>
      </c>
    </row>
    <row r="169" spans="1:13" x14ac:dyDescent="0.25">
      <c r="A169">
        <v>168</v>
      </c>
      <c r="B169" t="s">
        <v>180</v>
      </c>
      <c r="C169">
        <v>62</v>
      </c>
      <c r="D169" t="s">
        <v>2948</v>
      </c>
      <c r="E169" t="s">
        <v>2949</v>
      </c>
      <c r="F169" t="s">
        <v>3117</v>
      </c>
      <c r="G169" s="2">
        <v>45593</v>
      </c>
      <c r="H169" s="2">
        <v>45595</v>
      </c>
      <c r="I169" t="s">
        <v>5766</v>
      </c>
      <c r="J169" t="s">
        <v>5770</v>
      </c>
      <c r="K169">
        <v>394790.49</v>
      </c>
      <c r="L169" t="s">
        <v>5775</v>
      </c>
      <c r="M169">
        <v>2</v>
      </c>
    </row>
    <row r="170" spans="1:13" x14ac:dyDescent="0.25">
      <c r="A170">
        <v>169</v>
      </c>
      <c r="B170" t="s">
        <v>181</v>
      </c>
      <c r="C170">
        <v>37</v>
      </c>
      <c r="D170" t="s">
        <v>2948</v>
      </c>
      <c r="E170" t="s">
        <v>2955</v>
      </c>
      <c r="F170" t="s">
        <v>3118</v>
      </c>
      <c r="G170" s="2">
        <v>45585</v>
      </c>
      <c r="H170" s="2">
        <v>45588</v>
      </c>
      <c r="I170" t="s">
        <v>5762</v>
      </c>
      <c r="J170" t="s">
        <v>5769</v>
      </c>
      <c r="K170">
        <v>217252.64</v>
      </c>
      <c r="L170" t="s">
        <v>5775</v>
      </c>
      <c r="M170">
        <v>3</v>
      </c>
    </row>
    <row r="171" spans="1:13" x14ac:dyDescent="0.25">
      <c r="A171">
        <v>170</v>
      </c>
      <c r="B171" t="s">
        <v>182</v>
      </c>
      <c r="C171">
        <v>45</v>
      </c>
      <c r="D171" t="s">
        <v>2948</v>
      </c>
      <c r="E171" t="s">
        <v>2952</v>
      </c>
      <c r="F171" t="s">
        <v>3119</v>
      </c>
      <c r="G171" s="2">
        <v>45752</v>
      </c>
      <c r="H171" s="2">
        <v>45753</v>
      </c>
      <c r="I171" t="s">
        <v>5761</v>
      </c>
      <c r="J171" t="s">
        <v>2949</v>
      </c>
      <c r="K171">
        <v>376850.26</v>
      </c>
      <c r="L171" t="s">
        <v>5774</v>
      </c>
      <c r="M171">
        <v>1</v>
      </c>
    </row>
    <row r="172" spans="1:13" x14ac:dyDescent="0.25">
      <c r="A172">
        <v>171</v>
      </c>
      <c r="B172" t="s">
        <v>183</v>
      </c>
      <c r="C172">
        <v>1</v>
      </c>
      <c r="D172" t="s">
        <v>2947</v>
      </c>
      <c r="E172" t="s">
        <v>2951</v>
      </c>
      <c r="F172" t="s">
        <v>3120</v>
      </c>
      <c r="G172" s="2">
        <v>45846</v>
      </c>
      <c r="H172" s="2">
        <v>45861</v>
      </c>
      <c r="I172" t="s">
        <v>5764</v>
      </c>
      <c r="J172" t="s">
        <v>2949</v>
      </c>
      <c r="K172">
        <v>297222.51</v>
      </c>
      <c r="L172" t="s">
        <v>5773</v>
      </c>
      <c r="M172">
        <v>15</v>
      </c>
    </row>
    <row r="173" spans="1:13" x14ac:dyDescent="0.25">
      <c r="A173">
        <v>172</v>
      </c>
      <c r="B173" t="s">
        <v>184</v>
      </c>
      <c r="C173">
        <v>6</v>
      </c>
      <c r="D173" t="s">
        <v>2948</v>
      </c>
      <c r="E173" t="s">
        <v>2955</v>
      </c>
      <c r="F173" t="s">
        <v>3121</v>
      </c>
      <c r="G173" s="2">
        <v>45731</v>
      </c>
      <c r="H173" s="2">
        <v>45743</v>
      </c>
      <c r="I173" t="s">
        <v>5763</v>
      </c>
      <c r="J173" t="s">
        <v>5771</v>
      </c>
      <c r="K173">
        <v>467045.61</v>
      </c>
      <c r="L173" t="s">
        <v>5774</v>
      </c>
      <c r="M173">
        <v>12</v>
      </c>
    </row>
    <row r="174" spans="1:13" x14ac:dyDescent="0.25">
      <c r="A174">
        <v>173</v>
      </c>
      <c r="B174" t="s">
        <v>185</v>
      </c>
      <c r="C174">
        <v>67</v>
      </c>
      <c r="D174" t="s">
        <v>2947</v>
      </c>
      <c r="E174" t="s">
        <v>2951</v>
      </c>
      <c r="F174" t="s">
        <v>3122</v>
      </c>
      <c r="G174" s="2">
        <v>45741</v>
      </c>
      <c r="H174" s="2">
        <v>45751</v>
      </c>
      <c r="I174" t="s">
        <v>5766</v>
      </c>
      <c r="J174" t="s">
        <v>5768</v>
      </c>
      <c r="K174">
        <v>82808.14</v>
      </c>
      <c r="L174" t="s">
        <v>5775</v>
      </c>
      <c r="M174">
        <v>10</v>
      </c>
    </row>
    <row r="175" spans="1:13" x14ac:dyDescent="0.25">
      <c r="A175">
        <v>174</v>
      </c>
      <c r="B175" t="s">
        <v>186</v>
      </c>
      <c r="C175">
        <v>37</v>
      </c>
      <c r="D175" t="s">
        <v>2948</v>
      </c>
      <c r="E175" t="s">
        <v>2952</v>
      </c>
      <c r="F175" t="s">
        <v>2270</v>
      </c>
      <c r="G175" s="2">
        <v>45656</v>
      </c>
      <c r="H175" s="2">
        <v>45658</v>
      </c>
      <c r="I175" t="s">
        <v>5762</v>
      </c>
      <c r="J175" t="s">
        <v>5769</v>
      </c>
      <c r="K175">
        <v>267596.13</v>
      </c>
      <c r="L175" t="s">
        <v>5773</v>
      </c>
      <c r="M175">
        <v>2</v>
      </c>
    </row>
    <row r="176" spans="1:13" x14ac:dyDescent="0.25">
      <c r="A176">
        <v>175</v>
      </c>
      <c r="B176" t="s">
        <v>187</v>
      </c>
      <c r="C176">
        <v>49</v>
      </c>
      <c r="D176" t="s">
        <v>2947</v>
      </c>
      <c r="E176" t="s">
        <v>2951</v>
      </c>
      <c r="F176" t="s">
        <v>3123</v>
      </c>
      <c r="G176" s="2">
        <v>45561</v>
      </c>
      <c r="H176" s="2">
        <v>45575</v>
      </c>
      <c r="I176" t="s">
        <v>5759</v>
      </c>
      <c r="J176" t="s">
        <v>5770</v>
      </c>
      <c r="K176">
        <v>445305.02</v>
      </c>
      <c r="L176" t="s">
        <v>5775</v>
      </c>
      <c r="M176">
        <v>14</v>
      </c>
    </row>
    <row r="177" spans="1:13" x14ac:dyDescent="0.25">
      <c r="A177">
        <v>176</v>
      </c>
      <c r="B177" t="s">
        <v>188</v>
      </c>
      <c r="C177">
        <v>33</v>
      </c>
      <c r="D177" t="s">
        <v>2948</v>
      </c>
      <c r="E177" t="s">
        <v>2951</v>
      </c>
      <c r="F177" t="s">
        <v>3124</v>
      </c>
      <c r="G177" s="2">
        <v>45701</v>
      </c>
      <c r="H177" s="2">
        <v>45705</v>
      </c>
      <c r="I177" t="s">
        <v>5762</v>
      </c>
      <c r="J177" t="s">
        <v>5769</v>
      </c>
      <c r="K177">
        <v>8760.42</v>
      </c>
      <c r="L177" t="s">
        <v>5775</v>
      </c>
      <c r="M177">
        <v>4</v>
      </c>
    </row>
    <row r="178" spans="1:13" x14ac:dyDescent="0.25">
      <c r="A178">
        <v>177</v>
      </c>
      <c r="B178" t="s">
        <v>189</v>
      </c>
      <c r="C178">
        <v>88</v>
      </c>
      <c r="D178" t="s">
        <v>2948</v>
      </c>
      <c r="E178" t="s">
        <v>2953</v>
      </c>
      <c r="F178" t="s">
        <v>3125</v>
      </c>
      <c r="G178" s="2">
        <v>45807</v>
      </c>
      <c r="H178" s="2">
        <v>45814</v>
      </c>
      <c r="I178" t="s">
        <v>5762</v>
      </c>
      <c r="J178" t="s">
        <v>5771</v>
      </c>
      <c r="K178">
        <v>35101.64</v>
      </c>
      <c r="L178" t="s">
        <v>5775</v>
      </c>
      <c r="M178">
        <v>7</v>
      </c>
    </row>
    <row r="179" spans="1:13" x14ac:dyDescent="0.25">
      <c r="A179">
        <v>178</v>
      </c>
      <c r="B179" t="s">
        <v>190</v>
      </c>
      <c r="C179">
        <v>53</v>
      </c>
      <c r="D179" t="s">
        <v>2948</v>
      </c>
      <c r="E179" t="s">
        <v>2952</v>
      </c>
      <c r="F179" t="s">
        <v>3126</v>
      </c>
      <c r="G179" s="2">
        <v>45796</v>
      </c>
      <c r="H179" s="2">
        <v>45802</v>
      </c>
      <c r="I179" t="s">
        <v>5760</v>
      </c>
      <c r="J179" t="s">
        <v>5771</v>
      </c>
      <c r="K179">
        <v>192471.97</v>
      </c>
      <c r="L179" t="s">
        <v>5774</v>
      </c>
      <c r="M179">
        <v>6</v>
      </c>
    </row>
    <row r="180" spans="1:13" x14ac:dyDescent="0.25">
      <c r="A180">
        <v>179</v>
      </c>
      <c r="B180" t="s">
        <v>191</v>
      </c>
      <c r="C180">
        <v>33</v>
      </c>
      <c r="D180" t="s">
        <v>2947</v>
      </c>
      <c r="E180" t="s">
        <v>2949</v>
      </c>
      <c r="F180" t="s">
        <v>3127</v>
      </c>
      <c r="G180" s="2">
        <v>45642</v>
      </c>
      <c r="H180" s="2">
        <v>45657</v>
      </c>
      <c r="I180" t="s">
        <v>5758</v>
      </c>
      <c r="J180" t="s">
        <v>5772</v>
      </c>
      <c r="K180">
        <v>105388.23</v>
      </c>
      <c r="L180" t="s">
        <v>5775</v>
      </c>
      <c r="M180">
        <v>15</v>
      </c>
    </row>
    <row r="181" spans="1:13" x14ac:dyDescent="0.25">
      <c r="A181">
        <v>180</v>
      </c>
      <c r="B181" t="s">
        <v>192</v>
      </c>
      <c r="C181">
        <v>66</v>
      </c>
      <c r="D181" t="s">
        <v>2947</v>
      </c>
      <c r="E181" t="s">
        <v>2950</v>
      </c>
      <c r="F181" t="s">
        <v>3128</v>
      </c>
      <c r="G181" s="2">
        <v>45714</v>
      </c>
      <c r="H181" s="2">
        <v>45721</v>
      </c>
      <c r="I181" t="s">
        <v>5765</v>
      </c>
      <c r="J181" t="s">
        <v>5769</v>
      </c>
      <c r="K181">
        <v>460320.6</v>
      </c>
      <c r="L181" t="s">
        <v>5774</v>
      </c>
      <c r="M181">
        <v>7</v>
      </c>
    </row>
    <row r="182" spans="1:13" x14ac:dyDescent="0.25">
      <c r="A182">
        <v>181</v>
      </c>
      <c r="B182" t="s">
        <v>193</v>
      </c>
      <c r="C182">
        <v>43</v>
      </c>
      <c r="D182" t="s">
        <v>2948</v>
      </c>
      <c r="E182" t="s">
        <v>2952</v>
      </c>
      <c r="F182" t="s">
        <v>3129</v>
      </c>
      <c r="G182" s="2">
        <v>45748</v>
      </c>
      <c r="H182" s="2">
        <v>45760</v>
      </c>
      <c r="I182" t="s">
        <v>5764</v>
      </c>
      <c r="J182" t="s">
        <v>5768</v>
      </c>
      <c r="K182">
        <v>358342.65</v>
      </c>
      <c r="L182" t="s">
        <v>5773</v>
      </c>
      <c r="M182">
        <v>12</v>
      </c>
    </row>
    <row r="183" spans="1:13" x14ac:dyDescent="0.25">
      <c r="A183">
        <v>182</v>
      </c>
      <c r="B183" t="s">
        <v>194</v>
      </c>
      <c r="C183">
        <v>10</v>
      </c>
      <c r="D183" t="s">
        <v>2947</v>
      </c>
      <c r="E183" t="s">
        <v>2952</v>
      </c>
      <c r="F183" t="s">
        <v>3130</v>
      </c>
      <c r="G183" s="2">
        <v>45817</v>
      </c>
      <c r="H183" s="2">
        <v>45818</v>
      </c>
      <c r="I183" t="s">
        <v>5762</v>
      </c>
      <c r="J183" t="s">
        <v>5770</v>
      </c>
      <c r="K183">
        <v>467020.93</v>
      </c>
      <c r="L183" t="s">
        <v>5774</v>
      </c>
      <c r="M183">
        <v>1</v>
      </c>
    </row>
    <row r="184" spans="1:13" x14ac:dyDescent="0.25">
      <c r="A184">
        <v>183</v>
      </c>
      <c r="B184" t="s">
        <v>195</v>
      </c>
      <c r="C184">
        <v>61</v>
      </c>
      <c r="D184" t="s">
        <v>2948</v>
      </c>
      <c r="E184" t="s">
        <v>2954</v>
      </c>
      <c r="F184" t="s">
        <v>3131</v>
      </c>
      <c r="G184" s="2">
        <v>45600</v>
      </c>
      <c r="H184" s="2">
        <v>45614</v>
      </c>
      <c r="I184" t="s">
        <v>5764</v>
      </c>
      <c r="J184" t="s">
        <v>5772</v>
      </c>
      <c r="K184">
        <v>395318.96</v>
      </c>
      <c r="L184" t="s">
        <v>5775</v>
      </c>
      <c r="M184">
        <v>14</v>
      </c>
    </row>
    <row r="185" spans="1:13" x14ac:dyDescent="0.25">
      <c r="A185">
        <v>184</v>
      </c>
      <c r="B185" t="s">
        <v>196</v>
      </c>
      <c r="C185">
        <v>70</v>
      </c>
      <c r="D185" t="s">
        <v>2947</v>
      </c>
      <c r="E185" t="s">
        <v>2951</v>
      </c>
      <c r="F185" t="s">
        <v>3132</v>
      </c>
      <c r="G185" s="2">
        <v>45739</v>
      </c>
      <c r="H185" s="2">
        <v>45744</v>
      </c>
      <c r="I185" t="s">
        <v>5765</v>
      </c>
      <c r="J185" t="s">
        <v>5770</v>
      </c>
      <c r="K185">
        <v>267838.53000000003</v>
      </c>
      <c r="L185" t="s">
        <v>5775</v>
      </c>
      <c r="M185">
        <v>5</v>
      </c>
    </row>
    <row r="186" spans="1:13" x14ac:dyDescent="0.25">
      <c r="A186">
        <v>185</v>
      </c>
      <c r="B186" t="s">
        <v>197</v>
      </c>
      <c r="C186">
        <v>42</v>
      </c>
      <c r="D186" t="s">
        <v>2948</v>
      </c>
      <c r="E186" t="s">
        <v>2952</v>
      </c>
      <c r="F186" t="s">
        <v>3133</v>
      </c>
      <c r="G186" s="2">
        <v>45604</v>
      </c>
      <c r="H186" s="2">
        <v>45615</v>
      </c>
      <c r="I186" t="s">
        <v>5763</v>
      </c>
      <c r="J186" t="s">
        <v>5772</v>
      </c>
      <c r="K186">
        <v>100384.72</v>
      </c>
      <c r="L186" t="s">
        <v>5774</v>
      </c>
      <c r="M186">
        <v>11</v>
      </c>
    </row>
    <row r="187" spans="1:13" x14ac:dyDescent="0.25">
      <c r="A187">
        <v>186</v>
      </c>
      <c r="B187" t="s">
        <v>198</v>
      </c>
      <c r="C187">
        <v>65</v>
      </c>
      <c r="D187" t="s">
        <v>2947</v>
      </c>
      <c r="E187" t="s">
        <v>2954</v>
      </c>
      <c r="F187" t="s">
        <v>3134</v>
      </c>
      <c r="G187" s="2">
        <v>45861</v>
      </c>
      <c r="H187" s="2">
        <v>45871</v>
      </c>
      <c r="I187" t="s">
        <v>5760</v>
      </c>
      <c r="J187" t="s">
        <v>5771</v>
      </c>
      <c r="K187">
        <v>180368.33</v>
      </c>
      <c r="L187" t="s">
        <v>5774</v>
      </c>
      <c r="M187">
        <v>10</v>
      </c>
    </row>
    <row r="188" spans="1:13" x14ac:dyDescent="0.25">
      <c r="A188">
        <v>187</v>
      </c>
      <c r="B188" t="s">
        <v>199</v>
      </c>
      <c r="C188">
        <v>28</v>
      </c>
      <c r="D188" t="s">
        <v>2947</v>
      </c>
      <c r="E188" t="s">
        <v>2951</v>
      </c>
      <c r="F188" t="s">
        <v>3135</v>
      </c>
      <c r="G188" s="2">
        <v>45752</v>
      </c>
      <c r="H188" s="2">
        <v>45756</v>
      </c>
      <c r="I188" t="s">
        <v>5766</v>
      </c>
      <c r="J188" t="s">
        <v>5770</v>
      </c>
      <c r="K188">
        <v>34449.07</v>
      </c>
      <c r="L188" t="s">
        <v>5775</v>
      </c>
      <c r="M188">
        <v>4</v>
      </c>
    </row>
    <row r="189" spans="1:13" x14ac:dyDescent="0.25">
      <c r="A189">
        <v>188</v>
      </c>
      <c r="B189" t="s">
        <v>200</v>
      </c>
      <c r="C189">
        <v>70</v>
      </c>
      <c r="D189" t="s">
        <v>2948</v>
      </c>
      <c r="E189" t="s">
        <v>2954</v>
      </c>
      <c r="F189" t="s">
        <v>3136</v>
      </c>
      <c r="G189" s="2">
        <v>45568</v>
      </c>
      <c r="H189" s="2">
        <v>45580</v>
      </c>
      <c r="I189" t="s">
        <v>5765</v>
      </c>
      <c r="J189" t="s">
        <v>5771</v>
      </c>
      <c r="K189">
        <v>301256.26</v>
      </c>
      <c r="L189" t="s">
        <v>5773</v>
      </c>
      <c r="M189">
        <v>12</v>
      </c>
    </row>
    <row r="190" spans="1:13" x14ac:dyDescent="0.25">
      <c r="A190">
        <v>189</v>
      </c>
      <c r="B190" t="s">
        <v>201</v>
      </c>
      <c r="C190">
        <v>88</v>
      </c>
      <c r="D190" t="s">
        <v>2948</v>
      </c>
      <c r="E190" t="s">
        <v>2951</v>
      </c>
      <c r="F190" t="s">
        <v>3137</v>
      </c>
      <c r="G190" s="2">
        <v>45613</v>
      </c>
      <c r="H190" s="2">
        <v>45614</v>
      </c>
      <c r="I190" t="s">
        <v>5762</v>
      </c>
      <c r="J190" t="s">
        <v>5768</v>
      </c>
      <c r="K190">
        <v>461156.42</v>
      </c>
      <c r="L190" t="s">
        <v>5775</v>
      </c>
      <c r="M190">
        <v>1</v>
      </c>
    </row>
    <row r="191" spans="1:13" x14ac:dyDescent="0.25">
      <c r="A191">
        <v>190</v>
      </c>
      <c r="B191" t="s">
        <v>202</v>
      </c>
      <c r="C191">
        <v>37</v>
      </c>
      <c r="D191" t="s">
        <v>2948</v>
      </c>
      <c r="E191" t="s">
        <v>2952</v>
      </c>
      <c r="F191" t="s">
        <v>3138</v>
      </c>
      <c r="G191" s="2">
        <v>45638</v>
      </c>
      <c r="H191" s="2">
        <v>45650</v>
      </c>
      <c r="I191" t="s">
        <v>5766</v>
      </c>
      <c r="J191" t="s">
        <v>2949</v>
      </c>
      <c r="K191">
        <v>104648.79</v>
      </c>
      <c r="L191" t="s">
        <v>5773</v>
      </c>
      <c r="M191">
        <v>12</v>
      </c>
    </row>
    <row r="192" spans="1:13" x14ac:dyDescent="0.25">
      <c r="A192">
        <v>191</v>
      </c>
      <c r="B192" t="s">
        <v>203</v>
      </c>
      <c r="C192">
        <v>63</v>
      </c>
      <c r="D192" t="s">
        <v>2947</v>
      </c>
      <c r="E192" t="s">
        <v>2951</v>
      </c>
      <c r="F192" t="s">
        <v>3139</v>
      </c>
      <c r="G192" s="2">
        <v>45583</v>
      </c>
      <c r="H192" s="2">
        <v>45594</v>
      </c>
      <c r="I192" t="s">
        <v>5766</v>
      </c>
      <c r="J192" t="s">
        <v>5771</v>
      </c>
      <c r="K192">
        <v>461067.55</v>
      </c>
      <c r="L192" t="s">
        <v>5774</v>
      </c>
      <c r="M192">
        <v>11</v>
      </c>
    </row>
    <row r="193" spans="1:13" x14ac:dyDescent="0.25">
      <c r="A193">
        <v>192</v>
      </c>
      <c r="B193" t="s">
        <v>204</v>
      </c>
      <c r="C193">
        <v>78</v>
      </c>
      <c r="D193" t="s">
        <v>2948</v>
      </c>
      <c r="E193" t="s">
        <v>2950</v>
      </c>
      <c r="F193" t="s">
        <v>3140</v>
      </c>
      <c r="G193" s="2">
        <v>45666</v>
      </c>
      <c r="H193" s="2">
        <v>45669</v>
      </c>
      <c r="I193" t="s">
        <v>5760</v>
      </c>
      <c r="J193" t="s">
        <v>5771</v>
      </c>
      <c r="K193">
        <v>199748.89</v>
      </c>
      <c r="L193" t="s">
        <v>5774</v>
      </c>
      <c r="M193">
        <v>3</v>
      </c>
    </row>
    <row r="194" spans="1:13" x14ac:dyDescent="0.25">
      <c r="A194">
        <v>193</v>
      </c>
      <c r="B194" t="s">
        <v>205</v>
      </c>
      <c r="C194">
        <v>12</v>
      </c>
      <c r="D194" t="s">
        <v>2948</v>
      </c>
      <c r="E194" t="s">
        <v>2951</v>
      </c>
      <c r="F194" t="s">
        <v>3141</v>
      </c>
      <c r="G194" s="2">
        <v>45875</v>
      </c>
      <c r="H194" s="2">
        <v>45877</v>
      </c>
      <c r="I194" t="s">
        <v>5759</v>
      </c>
      <c r="J194" t="s">
        <v>2949</v>
      </c>
      <c r="K194">
        <v>278965.34999999998</v>
      </c>
      <c r="L194" t="s">
        <v>5773</v>
      </c>
      <c r="M194">
        <v>2</v>
      </c>
    </row>
    <row r="195" spans="1:13" x14ac:dyDescent="0.25">
      <c r="A195">
        <v>194</v>
      </c>
      <c r="B195" t="s">
        <v>206</v>
      </c>
      <c r="C195">
        <v>52</v>
      </c>
      <c r="D195" t="s">
        <v>2948</v>
      </c>
      <c r="E195" t="s">
        <v>2952</v>
      </c>
      <c r="F195" t="s">
        <v>3142</v>
      </c>
      <c r="G195" s="2">
        <v>45873</v>
      </c>
      <c r="H195" s="2">
        <v>45878</v>
      </c>
      <c r="I195" t="s">
        <v>5762</v>
      </c>
      <c r="J195" t="s">
        <v>2949</v>
      </c>
      <c r="K195">
        <v>403315.18</v>
      </c>
      <c r="L195" t="s">
        <v>5774</v>
      </c>
      <c r="M195">
        <v>5</v>
      </c>
    </row>
    <row r="196" spans="1:13" x14ac:dyDescent="0.25">
      <c r="A196">
        <v>195</v>
      </c>
      <c r="B196" t="s">
        <v>207</v>
      </c>
      <c r="C196">
        <v>75</v>
      </c>
      <c r="D196" t="s">
        <v>2947</v>
      </c>
      <c r="E196" t="s">
        <v>2953</v>
      </c>
      <c r="F196" t="s">
        <v>3143</v>
      </c>
      <c r="G196" s="2">
        <v>45709</v>
      </c>
      <c r="H196" s="2">
        <v>45711</v>
      </c>
      <c r="I196" t="s">
        <v>5762</v>
      </c>
      <c r="J196" t="s">
        <v>2949</v>
      </c>
      <c r="K196">
        <v>307078.84000000003</v>
      </c>
      <c r="L196" t="s">
        <v>5775</v>
      </c>
      <c r="M196">
        <v>2</v>
      </c>
    </row>
    <row r="197" spans="1:13" x14ac:dyDescent="0.25">
      <c r="A197">
        <v>196</v>
      </c>
      <c r="B197" t="s">
        <v>208</v>
      </c>
      <c r="C197">
        <v>43</v>
      </c>
      <c r="D197" t="s">
        <v>2947</v>
      </c>
      <c r="E197" t="s">
        <v>2953</v>
      </c>
      <c r="F197" t="s">
        <v>3144</v>
      </c>
      <c r="G197" s="2">
        <v>45891</v>
      </c>
      <c r="H197" s="2">
        <v>45892</v>
      </c>
      <c r="I197" t="s">
        <v>5767</v>
      </c>
      <c r="J197" t="s">
        <v>5769</v>
      </c>
      <c r="K197">
        <v>439161.95</v>
      </c>
      <c r="L197" t="s">
        <v>5775</v>
      </c>
      <c r="M197">
        <v>1</v>
      </c>
    </row>
    <row r="198" spans="1:13" x14ac:dyDescent="0.25">
      <c r="A198">
        <v>197</v>
      </c>
      <c r="B198" t="s">
        <v>209</v>
      </c>
      <c r="C198">
        <v>82</v>
      </c>
      <c r="D198" t="s">
        <v>2948</v>
      </c>
      <c r="E198" t="s">
        <v>2952</v>
      </c>
      <c r="F198" t="s">
        <v>3145</v>
      </c>
      <c r="G198" s="2">
        <v>45654</v>
      </c>
      <c r="H198" s="2">
        <v>45656</v>
      </c>
      <c r="I198" t="s">
        <v>5759</v>
      </c>
      <c r="J198" t="s">
        <v>5768</v>
      </c>
      <c r="K198">
        <v>292281.65000000002</v>
      </c>
      <c r="L198" t="s">
        <v>5775</v>
      </c>
      <c r="M198">
        <v>2</v>
      </c>
    </row>
    <row r="199" spans="1:13" x14ac:dyDescent="0.25">
      <c r="A199">
        <v>198</v>
      </c>
      <c r="B199" t="s">
        <v>210</v>
      </c>
      <c r="C199">
        <v>50</v>
      </c>
      <c r="D199" t="s">
        <v>2947</v>
      </c>
      <c r="E199" t="s">
        <v>2951</v>
      </c>
      <c r="F199" t="s">
        <v>3146</v>
      </c>
      <c r="G199" s="2">
        <v>45843</v>
      </c>
      <c r="H199" s="2">
        <v>45857</v>
      </c>
      <c r="I199" t="s">
        <v>5760</v>
      </c>
      <c r="J199" t="s">
        <v>5768</v>
      </c>
      <c r="K199">
        <v>130452.41</v>
      </c>
      <c r="L199" t="s">
        <v>5775</v>
      </c>
      <c r="M199">
        <v>14</v>
      </c>
    </row>
    <row r="200" spans="1:13" x14ac:dyDescent="0.25">
      <c r="A200">
        <v>199</v>
      </c>
      <c r="B200" t="s">
        <v>211</v>
      </c>
      <c r="C200">
        <v>24</v>
      </c>
      <c r="D200" t="s">
        <v>2948</v>
      </c>
      <c r="E200" t="s">
        <v>2951</v>
      </c>
      <c r="F200" t="s">
        <v>3147</v>
      </c>
      <c r="G200" s="2">
        <v>45712</v>
      </c>
      <c r="H200" s="2">
        <v>45716</v>
      </c>
      <c r="I200" t="s">
        <v>5764</v>
      </c>
      <c r="J200" t="s">
        <v>2949</v>
      </c>
      <c r="K200">
        <v>351665.17</v>
      </c>
      <c r="L200" t="s">
        <v>5774</v>
      </c>
      <c r="M200">
        <v>4</v>
      </c>
    </row>
    <row r="201" spans="1:13" x14ac:dyDescent="0.25">
      <c r="A201">
        <v>200</v>
      </c>
      <c r="B201" t="s">
        <v>212</v>
      </c>
      <c r="C201">
        <v>72</v>
      </c>
      <c r="D201" t="s">
        <v>2947</v>
      </c>
      <c r="E201" t="s">
        <v>2954</v>
      </c>
      <c r="F201" t="s">
        <v>3148</v>
      </c>
      <c r="G201" s="2">
        <v>45732</v>
      </c>
      <c r="H201" s="2">
        <v>45735</v>
      </c>
      <c r="I201" t="s">
        <v>5759</v>
      </c>
      <c r="J201" t="s">
        <v>5771</v>
      </c>
      <c r="K201">
        <v>410307.92</v>
      </c>
      <c r="L201" t="s">
        <v>5773</v>
      </c>
      <c r="M201">
        <v>3</v>
      </c>
    </row>
    <row r="202" spans="1:13" x14ac:dyDescent="0.25">
      <c r="A202">
        <v>201</v>
      </c>
      <c r="B202" t="s">
        <v>213</v>
      </c>
      <c r="C202">
        <v>47</v>
      </c>
      <c r="D202" t="s">
        <v>2948</v>
      </c>
      <c r="E202" t="s">
        <v>2950</v>
      </c>
      <c r="F202" t="s">
        <v>3149</v>
      </c>
      <c r="G202" s="2">
        <v>45766</v>
      </c>
      <c r="H202" s="2">
        <v>45768</v>
      </c>
      <c r="I202" t="s">
        <v>5765</v>
      </c>
      <c r="J202" t="s">
        <v>5771</v>
      </c>
      <c r="K202">
        <v>387516.79</v>
      </c>
      <c r="L202" t="s">
        <v>5773</v>
      </c>
      <c r="M202">
        <v>2</v>
      </c>
    </row>
    <row r="203" spans="1:13" x14ac:dyDescent="0.25">
      <c r="A203">
        <v>202</v>
      </c>
      <c r="B203" t="s">
        <v>214</v>
      </c>
      <c r="C203">
        <v>58</v>
      </c>
      <c r="D203" t="s">
        <v>2947</v>
      </c>
      <c r="E203" t="s">
        <v>2951</v>
      </c>
      <c r="F203" t="s">
        <v>3150</v>
      </c>
      <c r="G203" s="2">
        <v>45591</v>
      </c>
      <c r="H203" s="2">
        <v>45605</v>
      </c>
      <c r="I203" t="s">
        <v>5758</v>
      </c>
      <c r="J203" t="s">
        <v>5771</v>
      </c>
      <c r="K203">
        <v>498490.29</v>
      </c>
      <c r="L203" t="s">
        <v>5773</v>
      </c>
      <c r="M203">
        <v>14</v>
      </c>
    </row>
    <row r="204" spans="1:13" x14ac:dyDescent="0.25">
      <c r="A204">
        <v>203</v>
      </c>
      <c r="B204" t="s">
        <v>215</v>
      </c>
      <c r="C204">
        <v>54</v>
      </c>
      <c r="D204" t="s">
        <v>2947</v>
      </c>
      <c r="E204" t="s">
        <v>2952</v>
      </c>
      <c r="F204" t="s">
        <v>3151</v>
      </c>
      <c r="G204" s="2">
        <v>45906</v>
      </c>
      <c r="H204" s="2">
        <v>45907</v>
      </c>
      <c r="I204" t="s">
        <v>5765</v>
      </c>
      <c r="J204" t="s">
        <v>5772</v>
      </c>
      <c r="K204">
        <v>369213.02</v>
      </c>
      <c r="L204" t="s">
        <v>5774</v>
      </c>
      <c r="M204">
        <v>1</v>
      </c>
    </row>
    <row r="205" spans="1:13" x14ac:dyDescent="0.25">
      <c r="A205">
        <v>204</v>
      </c>
      <c r="B205" t="s">
        <v>216</v>
      </c>
      <c r="C205">
        <v>6</v>
      </c>
      <c r="D205" t="s">
        <v>2947</v>
      </c>
      <c r="E205" t="s">
        <v>2950</v>
      </c>
      <c r="F205" t="s">
        <v>3152</v>
      </c>
      <c r="G205" s="2">
        <v>45829</v>
      </c>
      <c r="H205" s="2">
        <v>45830</v>
      </c>
      <c r="I205" t="s">
        <v>5759</v>
      </c>
      <c r="J205" t="s">
        <v>2949</v>
      </c>
      <c r="K205">
        <v>204875.88</v>
      </c>
      <c r="L205" t="s">
        <v>5774</v>
      </c>
      <c r="M205">
        <v>1</v>
      </c>
    </row>
    <row r="206" spans="1:13" x14ac:dyDescent="0.25">
      <c r="A206">
        <v>205</v>
      </c>
      <c r="B206" t="s">
        <v>217</v>
      </c>
      <c r="C206">
        <v>74</v>
      </c>
      <c r="D206" t="s">
        <v>2947</v>
      </c>
      <c r="E206" t="s">
        <v>2954</v>
      </c>
      <c r="F206" t="s">
        <v>3153</v>
      </c>
      <c r="G206" s="2">
        <v>45715</v>
      </c>
      <c r="H206" s="2">
        <v>45717</v>
      </c>
      <c r="I206" t="s">
        <v>5758</v>
      </c>
      <c r="J206" t="s">
        <v>5770</v>
      </c>
      <c r="K206">
        <v>363009.55</v>
      </c>
      <c r="L206" t="s">
        <v>5775</v>
      </c>
      <c r="M206">
        <v>2</v>
      </c>
    </row>
    <row r="207" spans="1:13" x14ac:dyDescent="0.25">
      <c r="A207">
        <v>206</v>
      </c>
      <c r="B207" t="s">
        <v>218</v>
      </c>
      <c r="C207">
        <v>33</v>
      </c>
      <c r="D207" t="s">
        <v>2947</v>
      </c>
      <c r="E207" t="s">
        <v>2950</v>
      </c>
      <c r="F207" t="s">
        <v>3154</v>
      </c>
      <c r="G207" s="2">
        <v>45836</v>
      </c>
      <c r="H207" s="2">
        <v>45848</v>
      </c>
      <c r="I207" t="s">
        <v>5763</v>
      </c>
      <c r="J207" t="s">
        <v>5772</v>
      </c>
      <c r="K207">
        <v>22251.03</v>
      </c>
      <c r="L207" t="s">
        <v>5773</v>
      </c>
      <c r="M207">
        <v>12</v>
      </c>
    </row>
    <row r="208" spans="1:13" x14ac:dyDescent="0.25">
      <c r="A208">
        <v>207</v>
      </c>
      <c r="B208" t="s">
        <v>219</v>
      </c>
      <c r="C208">
        <v>7</v>
      </c>
      <c r="D208" t="s">
        <v>2947</v>
      </c>
      <c r="E208" t="s">
        <v>2955</v>
      </c>
      <c r="F208" t="s">
        <v>3155</v>
      </c>
      <c r="G208" s="2">
        <v>45615</v>
      </c>
      <c r="H208" s="2">
        <v>45630</v>
      </c>
      <c r="I208" t="s">
        <v>5762</v>
      </c>
      <c r="J208" t="s">
        <v>5769</v>
      </c>
      <c r="K208">
        <v>224240.06</v>
      </c>
      <c r="L208" t="s">
        <v>5773</v>
      </c>
      <c r="M208">
        <v>15</v>
      </c>
    </row>
    <row r="209" spans="1:13" x14ac:dyDescent="0.25">
      <c r="A209">
        <v>208</v>
      </c>
      <c r="B209" t="s">
        <v>220</v>
      </c>
      <c r="C209">
        <v>79</v>
      </c>
      <c r="D209" t="s">
        <v>2948</v>
      </c>
      <c r="E209" t="s">
        <v>2954</v>
      </c>
      <c r="F209" t="s">
        <v>596</v>
      </c>
      <c r="G209" s="2">
        <v>45801</v>
      </c>
      <c r="H209" s="2">
        <v>45807</v>
      </c>
      <c r="I209" t="s">
        <v>5758</v>
      </c>
      <c r="J209" t="s">
        <v>5769</v>
      </c>
      <c r="K209">
        <v>462194.76</v>
      </c>
      <c r="L209" t="s">
        <v>5773</v>
      </c>
      <c r="M209">
        <v>6</v>
      </c>
    </row>
    <row r="210" spans="1:13" x14ac:dyDescent="0.25">
      <c r="A210">
        <v>209</v>
      </c>
      <c r="B210" t="s">
        <v>221</v>
      </c>
      <c r="C210">
        <v>83</v>
      </c>
      <c r="D210" t="s">
        <v>2947</v>
      </c>
      <c r="E210" t="s">
        <v>2955</v>
      </c>
      <c r="F210" t="s">
        <v>3156</v>
      </c>
      <c r="G210" s="2">
        <v>45786</v>
      </c>
      <c r="H210" s="2">
        <v>45787</v>
      </c>
      <c r="I210" t="s">
        <v>5764</v>
      </c>
      <c r="J210" t="s">
        <v>2949</v>
      </c>
      <c r="K210">
        <v>349791.61</v>
      </c>
      <c r="L210" t="s">
        <v>5775</v>
      </c>
      <c r="M210">
        <v>1</v>
      </c>
    </row>
    <row r="211" spans="1:13" x14ac:dyDescent="0.25">
      <c r="A211">
        <v>210</v>
      </c>
      <c r="B211" t="s">
        <v>222</v>
      </c>
      <c r="C211">
        <v>16</v>
      </c>
      <c r="D211" t="s">
        <v>2947</v>
      </c>
      <c r="E211" t="s">
        <v>2949</v>
      </c>
      <c r="F211" t="s">
        <v>3157</v>
      </c>
      <c r="G211" s="2">
        <v>45670</v>
      </c>
      <c r="H211" s="2">
        <v>45672</v>
      </c>
      <c r="I211" t="s">
        <v>5764</v>
      </c>
      <c r="J211" t="s">
        <v>5769</v>
      </c>
      <c r="K211">
        <v>18819.509999999998</v>
      </c>
      <c r="L211" t="s">
        <v>5774</v>
      </c>
      <c r="M211">
        <v>2</v>
      </c>
    </row>
    <row r="212" spans="1:13" x14ac:dyDescent="0.25">
      <c r="A212">
        <v>211</v>
      </c>
      <c r="B212" t="s">
        <v>223</v>
      </c>
      <c r="C212">
        <v>45</v>
      </c>
      <c r="D212" t="s">
        <v>2947</v>
      </c>
      <c r="E212" t="s">
        <v>2951</v>
      </c>
      <c r="F212" t="s">
        <v>3158</v>
      </c>
      <c r="G212" s="2">
        <v>45852</v>
      </c>
      <c r="H212" s="2">
        <v>45860</v>
      </c>
      <c r="I212" t="s">
        <v>5762</v>
      </c>
      <c r="J212" t="s">
        <v>5771</v>
      </c>
      <c r="K212">
        <v>433666.86</v>
      </c>
      <c r="L212" t="s">
        <v>5773</v>
      </c>
      <c r="M212">
        <v>8</v>
      </c>
    </row>
    <row r="213" spans="1:13" x14ac:dyDescent="0.25">
      <c r="A213">
        <v>212</v>
      </c>
      <c r="B213" t="s">
        <v>224</v>
      </c>
      <c r="C213">
        <v>71</v>
      </c>
      <c r="D213" t="s">
        <v>2947</v>
      </c>
      <c r="E213" t="s">
        <v>2954</v>
      </c>
      <c r="F213" t="s">
        <v>3159</v>
      </c>
      <c r="G213" s="2">
        <v>45632</v>
      </c>
      <c r="H213" s="2">
        <v>45635</v>
      </c>
      <c r="I213" t="s">
        <v>5761</v>
      </c>
      <c r="J213" t="s">
        <v>5772</v>
      </c>
      <c r="K213">
        <v>105631.55</v>
      </c>
      <c r="L213" t="s">
        <v>5773</v>
      </c>
      <c r="M213">
        <v>3</v>
      </c>
    </row>
    <row r="214" spans="1:13" x14ac:dyDescent="0.25">
      <c r="A214">
        <v>213</v>
      </c>
      <c r="B214" t="s">
        <v>225</v>
      </c>
      <c r="C214">
        <v>4</v>
      </c>
      <c r="D214" t="s">
        <v>2948</v>
      </c>
      <c r="E214" t="s">
        <v>2953</v>
      </c>
      <c r="F214" t="s">
        <v>3160</v>
      </c>
      <c r="G214" s="2">
        <v>45766</v>
      </c>
      <c r="H214" s="2">
        <v>45780</v>
      </c>
      <c r="I214" t="s">
        <v>5761</v>
      </c>
      <c r="J214" t="s">
        <v>5772</v>
      </c>
      <c r="K214">
        <v>101851.7</v>
      </c>
      <c r="L214" t="s">
        <v>5773</v>
      </c>
      <c r="M214">
        <v>14</v>
      </c>
    </row>
    <row r="215" spans="1:13" x14ac:dyDescent="0.25">
      <c r="A215">
        <v>214</v>
      </c>
      <c r="B215" t="s">
        <v>226</v>
      </c>
      <c r="C215">
        <v>18</v>
      </c>
      <c r="D215" t="s">
        <v>2948</v>
      </c>
      <c r="E215" t="s">
        <v>2951</v>
      </c>
      <c r="F215" t="s">
        <v>2797</v>
      </c>
      <c r="G215" s="2">
        <v>45896</v>
      </c>
      <c r="H215" s="2">
        <v>45906</v>
      </c>
      <c r="I215" t="s">
        <v>5763</v>
      </c>
      <c r="J215" t="s">
        <v>2949</v>
      </c>
      <c r="K215">
        <v>90141.94</v>
      </c>
      <c r="L215" t="s">
        <v>5774</v>
      </c>
      <c r="M215">
        <v>10</v>
      </c>
    </row>
    <row r="216" spans="1:13" x14ac:dyDescent="0.25">
      <c r="A216">
        <v>215</v>
      </c>
      <c r="B216" t="s">
        <v>227</v>
      </c>
      <c r="C216">
        <v>89</v>
      </c>
      <c r="D216" t="s">
        <v>2947</v>
      </c>
      <c r="E216" t="s">
        <v>2952</v>
      </c>
      <c r="F216" t="s">
        <v>3161</v>
      </c>
      <c r="G216" s="2">
        <v>45877</v>
      </c>
      <c r="H216" s="2">
        <v>45883</v>
      </c>
      <c r="I216" t="s">
        <v>5761</v>
      </c>
      <c r="J216" t="s">
        <v>5769</v>
      </c>
      <c r="K216">
        <v>101238.88</v>
      </c>
      <c r="L216" t="s">
        <v>5773</v>
      </c>
      <c r="M216">
        <v>6</v>
      </c>
    </row>
    <row r="217" spans="1:13" x14ac:dyDescent="0.25">
      <c r="A217">
        <v>216</v>
      </c>
      <c r="B217" t="s">
        <v>228</v>
      </c>
      <c r="C217">
        <v>73</v>
      </c>
      <c r="D217" t="s">
        <v>2947</v>
      </c>
      <c r="E217" t="s">
        <v>2951</v>
      </c>
      <c r="F217" t="s">
        <v>3162</v>
      </c>
      <c r="G217" s="2">
        <v>45574</v>
      </c>
      <c r="H217" s="2">
        <v>45585</v>
      </c>
      <c r="I217" t="s">
        <v>5761</v>
      </c>
      <c r="J217" t="s">
        <v>5768</v>
      </c>
      <c r="K217">
        <v>385966.35</v>
      </c>
      <c r="L217" t="s">
        <v>5773</v>
      </c>
      <c r="M217">
        <v>11</v>
      </c>
    </row>
    <row r="218" spans="1:13" x14ac:dyDescent="0.25">
      <c r="A218">
        <v>217</v>
      </c>
      <c r="B218" t="s">
        <v>229</v>
      </c>
      <c r="C218">
        <v>78</v>
      </c>
      <c r="D218" t="s">
        <v>2948</v>
      </c>
      <c r="E218" t="s">
        <v>2951</v>
      </c>
      <c r="F218" t="s">
        <v>3163</v>
      </c>
      <c r="G218" s="2">
        <v>45610</v>
      </c>
      <c r="H218" s="2">
        <v>45621</v>
      </c>
      <c r="I218" t="s">
        <v>5764</v>
      </c>
      <c r="J218" t="s">
        <v>5771</v>
      </c>
      <c r="K218">
        <v>63171.08</v>
      </c>
      <c r="L218" t="s">
        <v>5775</v>
      </c>
      <c r="M218">
        <v>11</v>
      </c>
    </row>
    <row r="219" spans="1:13" x14ac:dyDescent="0.25">
      <c r="A219">
        <v>218</v>
      </c>
      <c r="B219" t="s">
        <v>230</v>
      </c>
      <c r="C219">
        <v>34</v>
      </c>
      <c r="D219" t="s">
        <v>2947</v>
      </c>
      <c r="E219" t="s">
        <v>2949</v>
      </c>
      <c r="F219" t="s">
        <v>3164</v>
      </c>
      <c r="G219" s="2">
        <v>45839</v>
      </c>
      <c r="H219" s="2">
        <v>45853</v>
      </c>
      <c r="I219" t="s">
        <v>5760</v>
      </c>
      <c r="J219" t="s">
        <v>5768</v>
      </c>
      <c r="K219">
        <v>332765.61</v>
      </c>
      <c r="L219" t="s">
        <v>5775</v>
      </c>
      <c r="M219">
        <v>14</v>
      </c>
    </row>
    <row r="220" spans="1:13" x14ac:dyDescent="0.25">
      <c r="A220">
        <v>219</v>
      </c>
      <c r="B220" t="s">
        <v>231</v>
      </c>
      <c r="C220">
        <v>76</v>
      </c>
      <c r="D220" t="s">
        <v>2948</v>
      </c>
      <c r="E220" t="s">
        <v>2950</v>
      </c>
      <c r="F220" t="s">
        <v>3165</v>
      </c>
      <c r="G220" s="2">
        <v>45876</v>
      </c>
      <c r="H220" s="2">
        <v>45883</v>
      </c>
      <c r="I220" t="s">
        <v>5759</v>
      </c>
      <c r="J220" t="s">
        <v>5769</v>
      </c>
      <c r="K220">
        <v>102609.66</v>
      </c>
      <c r="L220" t="s">
        <v>5774</v>
      </c>
      <c r="M220">
        <v>7</v>
      </c>
    </row>
    <row r="221" spans="1:13" x14ac:dyDescent="0.25">
      <c r="A221">
        <v>220</v>
      </c>
      <c r="B221" t="s">
        <v>232</v>
      </c>
      <c r="C221">
        <v>55</v>
      </c>
      <c r="D221" t="s">
        <v>2948</v>
      </c>
      <c r="E221" t="s">
        <v>2955</v>
      </c>
      <c r="F221" t="s">
        <v>3166</v>
      </c>
      <c r="G221" s="2">
        <v>45871</v>
      </c>
      <c r="H221" s="2">
        <v>45881</v>
      </c>
      <c r="I221" t="s">
        <v>5767</v>
      </c>
      <c r="J221" t="s">
        <v>5768</v>
      </c>
      <c r="K221">
        <v>34640.79</v>
      </c>
      <c r="L221" t="s">
        <v>5773</v>
      </c>
      <c r="M221">
        <v>10</v>
      </c>
    </row>
    <row r="222" spans="1:13" x14ac:dyDescent="0.25">
      <c r="A222">
        <v>221</v>
      </c>
      <c r="B222" t="s">
        <v>233</v>
      </c>
      <c r="C222">
        <v>52</v>
      </c>
      <c r="D222" t="s">
        <v>2948</v>
      </c>
      <c r="E222" t="s">
        <v>2952</v>
      </c>
      <c r="F222" t="s">
        <v>3167</v>
      </c>
      <c r="G222" s="2">
        <v>45567</v>
      </c>
      <c r="H222" s="2">
        <v>45576</v>
      </c>
      <c r="I222" t="s">
        <v>5759</v>
      </c>
      <c r="J222" t="s">
        <v>2949</v>
      </c>
      <c r="K222">
        <v>215260.79999999999</v>
      </c>
      <c r="L222" t="s">
        <v>5774</v>
      </c>
      <c r="M222">
        <v>9</v>
      </c>
    </row>
    <row r="223" spans="1:13" x14ac:dyDescent="0.25">
      <c r="A223">
        <v>222</v>
      </c>
      <c r="B223" t="s">
        <v>234</v>
      </c>
      <c r="C223">
        <v>71</v>
      </c>
      <c r="D223" t="s">
        <v>2948</v>
      </c>
      <c r="E223" t="s">
        <v>2951</v>
      </c>
      <c r="F223" t="s">
        <v>3168</v>
      </c>
      <c r="G223" s="2">
        <v>45772</v>
      </c>
      <c r="H223" s="2">
        <v>45778</v>
      </c>
      <c r="I223" t="s">
        <v>5758</v>
      </c>
      <c r="J223" t="s">
        <v>5772</v>
      </c>
      <c r="K223">
        <v>29066.63</v>
      </c>
      <c r="L223" t="s">
        <v>5773</v>
      </c>
      <c r="M223">
        <v>6</v>
      </c>
    </row>
    <row r="224" spans="1:13" x14ac:dyDescent="0.25">
      <c r="A224">
        <v>223</v>
      </c>
      <c r="B224" t="s">
        <v>235</v>
      </c>
      <c r="C224">
        <v>2</v>
      </c>
      <c r="D224" t="s">
        <v>2947</v>
      </c>
      <c r="E224" t="s">
        <v>2955</v>
      </c>
      <c r="F224" t="s">
        <v>3169</v>
      </c>
      <c r="G224" s="2">
        <v>45706</v>
      </c>
      <c r="H224" s="2">
        <v>45713</v>
      </c>
      <c r="I224" t="s">
        <v>5762</v>
      </c>
      <c r="J224" t="s">
        <v>5771</v>
      </c>
      <c r="K224">
        <v>364109.86</v>
      </c>
      <c r="L224" t="s">
        <v>5775</v>
      </c>
      <c r="M224">
        <v>7</v>
      </c>
    </row>
    <row r="225" spans="1:13" x14ac:dyDescent="0.25">
      <c r="A225">
        <v>224</v>
      </c>
      <c r="B225" t="s">
        <v>236</v>
      </c>
      <c r="C225">
        <v>15</v>
      </c>
      <c r="D225" t="s">
        <v>2947</v>
      </c>
      <c r="E225" t="s">
        <v>2950</v>
      </c>
      <c r="F225" t="s">
        <v>1492</v>
      </c>
      <c r="G225" s="2">
        <v>45674</v>
      </c>
      <c r="H225" s="2">
        <v>45681</v>
      </c>
      <c r="I225" t="s">
        <v>5759</v>
      </c>
      <c r="J225" t="s">
        <v>5770</v>
      </c>
      <c r="K225">
        <v>267998.53000000003</v>
      </c>
      <c r="L225" t="s">
        <v>5774</v>
      </c>
      <c r="M225">
        <v>7</v>
      </c>
    </row>
    <row r="226" spans="1:13" x14ac:dyDescent="0.25">
      <c r="A226">
        <v>225</v>
      </c>
      <c r="B226" t="s">
        <v>237</v>
      </c>
      <c r="C226">
        <v>63</v>
      </c>
      <c r="D226" t="s">
        <v>2947</v>
      </c>
      <c r="E226" t="s">
        <v>2951</v>
      </c>
      <c r="F226" t="s">
        <v>3170</v>
      </c>
      <c r="G226" s="2">
        <v>45679</v>
      </c>
      <c r="H226" s="2">
        <v>45687</v>
      </c>
      <c r="I226" t="s">
        <v>5764</v>
      </c>
      <c r="J226" t="s">
        <v>5772</v>
      </c>
      <c r="K226">
        <v>164400.87</v>
      </c>
      <c r="L226" t="s">
        <v>5774</v>
      </c>
      <c r="M226">
        <v>8</v>
      </c>
    </row>
    <row r="227" spans="1:13" x14ac:dyDescent="0.25">
      <c r="A227">
        <v>226</v>
      </c>
      <c r="B227" t="s">
        <v>238</v>
      </c>
      <c r="C227">
        <v>3</v>
      </c>
      <c r="D227" t="s">
        <v>2947</v>
      </c>
      <c r="E227" t="s">
        <v>2955</v>
      </c>
      <c r="F227" t="s">
        <v>3171</v>
      </c>
      <c r="G227" s="2">
        <v>45909</v>
      </c>
      <c r="H227" s="2">
        <v>45923</v>
      </c>
      <c r="I227" t="s">
        <v>5763</v>
      </c>
      <c r="J227" t="s">
        <v>5772</v>
      </c>
      <c r="K227">
        <v>330125.68</v>
      </c>
      <c r="L227" t="s">
        <v>5773</v>
      </c>
      <c r="M227">
        <v>14</v>
      </c>
    </row>
    <row r="228" spans="1:13" x14ac:dyDescent="0.25">
      <c r="A228">
        <v>227</v>
      </c>
      <c r="B228" t="s">
        <v>239</v>
      </c>
      <c r="C228">
        <v>64</v>
      </c>
      <c r="D228" t="s">
        <v>2948</v>
      </c>
      <c r="E228" t="s">
        <v>2951</v>
      </c>
      <c r="F228" t="s">
        <v>3172</v>
      </c>
      <c r="G228" s="2">
        <v>45872</v>
      </c>
      <c r="H228" s="2">
        <v>45881</v>
      </c>
      <c r="I228" t="s">
        <v>5766</v>
      </c>
      <c r="J228" t="s">
        <v>5768</v>
      </c>
      <c r="K228">
        <v>235957.52</v>
      </c>
      <c r="L228" t="s">
        <v>5774</v>
      </c>
      <c r="M228">
        <v>9</v>
      </c>
    </row>
    <row r="229" spans="1:13" x14ac:dyDescent="0.25">
      <c r="A229">
        <v>228</v>
      </c>
      <c r="B229" t="s">
        <v>240</v>
      </c>
      <c r="C229">
        <v>25</v>
      </c>
      <c r="D229" t="s">
        <v>2947</v>
      </c>
      <c r="E229" t="s">
        <v>2953</v>
      </c>
      <c r="F229" t="s">
        <v>3173</v>
      </c>
      <c r="G229" s="2">
        <v>45836</v>
      </c>
      <c r="H229" s="2">
        <v>45837</v>
      </c>
      <c r="I229" t="s">
        <v>5767</v>
      </c>
      <c r="J229" t="s">
        <v>2949</v>
      </c>
      <c r="K229">
        <v>423191.06</v>
      </c>
      <c r="L229" t="s">
        <v>5775</v>
      </c>
      <c r="M229">
        <v>1</v>
      </c>
    </row>
    <row r="230" spans="1:13" x14ac:dyDescent="0.25">
      <c r="A230">
        <v>229</v>
      </c>
      <c r="B230" t="s">
        <v>241</v>
      </c>
      <c r="C230">
        <v>64</v>
      </c>
      <c r="D230" t="s">
        <v>2947</v>
      </c>
      <c r="E230" t="s">
        <v>2955</v>
      </c>
      <c r="F230" t="s">
        <v>3174</v>
      </c>
      <c r="G230" s="2">
        <v>45652</v>
      </c>
      <c r="H230" s="2">
        <v>45658</v>
      </c>
      <c r="I230" t="s">
        <v>5760</v>
      </c>
      <c r="J230" t="s">
        <v>5770</v>
      </c>
      <c r="K230">
        <v>97266.78</v>
      </c>
      <c r="L230" t="s">
        <v>5774</v>
      </c>
      <c r="M230">
        <v>6</v>
      </c>
    </row>
    <row r="231" spans="1:13" x14ac:dyDescent="0.25">
      <c r="A231">
        <v>230</v>
      </c>
      <c r="B231" t="s">
        <v>242</v>
      </c>
      <c r="C231">
        <v>11</v>
      </c>
      <c r="D231" t="s">
        <v>2948</v>
      </c>
      <c r="E231" t="s">
        <v>2951</v>
      </c>
      <c r="F231" t="s">
        <v>3175</v>
      </c>
      <c r="G231" s="2">
        <v>45789</v>
      </c>
      <c r="H231" s="2">
        <v>45798</v>
      </c>
      <c r="I231" t="s">
        <v>5765</v>
      </c>
      <c r="J231" t="s">
        <v>5768</v>
      </c>
      <c r="K231">
        <v>245722.7</v>
      </c>
      <c r="L231" t="s">
        <v>5773</v>
      </c>
      <c r="M231">
        <v>9</v>
      </c>
    </row>
    <row r="232" spans="1:13" x14ac:dyDescent="0.25">
      <c r="A232">
        <v>231</v>
      </c>
      <c r="B232" t="s">
        <v>243</v>
      </c>
      <c r="C232">
        <v>27</v>
      </c>
      <c r="D232" t="s">
        <v>2948</v>
      </c>
      <c r="E232" t="s">
        <v>2950</v>
      </c>
      <c r="F232" t="s">
        <v>3176</v>
      </c>
      <c r="G232" s="2">
        <v>45825</v>
      </c>
      <c r="H232" s="2">
        <v>45828</v>
      </c>
      <c r="I232" t="s">
        <v>5764</v>
      </c>
      <c r="J232" t="s">
        <v>5772</v>
      </c>
      <c r="K232">
        <v>388474.42</v>
      </c>
      <c r="L232" t="s">
        <v>5774</v>
      </c>
      <c r="M232">
        <v>3</v>
      </c>
    </row>
    <row r="233" spans="1:13" x14ac:dyDescent="0.25">
      <c r="A233">
        <v>232</v>
      </c>
      <c r="B233" t="s">
        <v>244</v>
      </c>
      <c r="C233">
        <v>81</v>
      </c>
      <c r="D233" t="s">
        <v>2948</v>
      </c>
      <c r="E233" t="s">
        <v>2949</v>
      </c>
      <c r="F233" t="s">
        <v>3177</v>
      </c>
      <c r="G233" s="2">
        <v>45647</v>
      </c>
      <c r="H233" s="2">
        <v>45649</v>
      </c>
      <c r="I233" t="s">
        <v>5758</v>
      </c>
      <c r="J233" t="s">
        <v>5770</v>
      </c>
      <c r="K233">
        <v>168449.95</v>
      </c>
      <c r="L233" t="s">
        <v>5774</v>
      </c>
      <c r="M233">
        <v>2</v>
      </c>
    </row>
    <row r="234" spans="1:13" x14ac:dyDescent="0.25">
      <c r="A234">
        <v>233</v>
      </c>
      <c r="B234" t="s">
        <v>245</v>
      </c>
      <c r="C234">
        <v>57</v>
      </c>
      <c r="D234" t="s">
        <v>2948</v>
      </c>
      <c r="E234" t="s">
        <v>2955</v>
      </c>
      <c r="F234" t="s">
        <v>3178</v>
      </c>
      <c r="G234" s="2">
        <v>45705</v>
      </c>
      <c r="H234" s="2">
        <v>45720</v>
      </c>
      <c r="I234" t="s">
        <v>5765</v>
      </c>
      <c r="J234" t="s">
        <v>2949</v>
      </c>
      <c r="K234">
        <v>341442.32</v>
      </c>
      <c r="L234" t="s">
        <v>5775</v>
      </c>
      <c r="M234">
        <v>15</v>
      </c>
    </row>
    <row r="235" spans="1:13" x14ac:dyDescent="0.25">
      <c r="A235">
        <v>234</v>
      </c>
      <c r="B235" t="s">
        <v>246</v>
      </c>
      <c r="C235">
        <v>28</v>
      </c>
      <c r="D235" t="s">
        <v>2948</v>
      </c>
      <c r="E235" t="s">
        <v>2950</v>
      </c>
      <c r="F235" t="s">
        <v>3179</v>
      </c>
      <c r="G235" s="2">
        <v>45772</v>
      </c>
      <c r="H235" s="2">
        <v>45781</v>
      </c>
      <c r="I235" t="s">
        <v>5760</v>
      </c>
      <c r="J235" t="s">
        <v>5771</v>
      </c>
      <c r="K235">
        <v>6041.36</v>
      </c>
      <c r="L235" t="s">
        <v>5774</v>
      </c>
      <c r="M235">
        <v>9</v>
      </c>
    </row>
    <row r="236" spans="1:13" x14ac:dyDescent="0.25">
      <c r="A236">
        <v>235</v>
      </c>
      <c r="B236" t="s">
        <v>247</v>
      </c>
      <c r="C236">
        <v>20</v>
      </c>
      <c r="D236" t="s">
        <v>2948</v>
      </c>
      <c r="E236" t="s">
        <v>2954</v>
      </c>
      <c r="F236" t="s">
        <v>2590</v>
      </c>
      <c r="G236" s="2">
        <v>45871</v>
      </c>
      <c r="H236" s="2">
        <v>45873</v>
      </c>
      <c r="I236" t="s">
        <v>5766</v>
      </c>
      <c r="J236" t="s">
        <v>2949</v>
      </c>
      <c r="K236">
        <v>416274.86</v>
      </c>
      <c r="L236" t="s">
        <v>5773</v>
      </c>
      <c r="M236">
        <v>2</v>
      </c>
    </row>
    <row r="237" spans="1:13" x14ac:dyDescent="0.25">
      <c r="A237">
        <v>236</v>
      </c>
      <c r="B237" t="s">
        <v>248</v>
      </c>
      <c r="C237">
        <v>88</v>
      </c>
      <c r="D237" t="s">
        <v>2947</v>
      </c>
      <c r="E237" t="s">
        <v>2953</v>
      </c>
      <c r="F237" t="s">
        <v>3180</v>
      </c>
      <c r="G237" s="2">
        <v>45875</v>
      </c>
      <c r="H237" s="2">
        <v>45884</v>
      </c>
      <c r="I237" t="s">
        <v>5762</v>
      </c>
      <c r="J237" t="s">
        <v>5769</v>
      </c>
      <c r="K237">
        <v>209953.35</v>
      </c>
      <c r="L237" t="s">
        <v>5775</v>
      </c>
      <c r="M237">
        <v>9</v>
      </c>
    </row>
    <row r="238" spans="1:13" x14ac:dyDescent="0.25">
      <c r="A238">
        <v>237</v>
      </c>
      <c r="B238" t="s">
        <v>249</v>
      </c>
      <c r="C238">
        <v>86</v>
      </c>
      <c r="D238" t="s">
        <v>2948</v>
      </c>
      <c r="E238" t="s">
        <v>2952</v>
      </c>
      <c r="F238" t="s">
        <v>3181</v>
      </c>
      <c r="G238" s="2">
        <v>45549</v>
      </c>
      <c r="H238" s="2">
        <v>45553</v>
      </c>
      <c r="I238" t="s">
        <v>5760</v>
      </c>
      <c r="J238" t="s">
        <v>5768</v>
      </c>
      <c r="K238">
        <v>141154.41</v>
      </c>
      <c r="L238" t="s">
        <v>5774</v>
      </c>
      <c r="M238">
        <v>4</v>
      </c>
    </row>
    <row r="239" spans="1:13" x14ac:dyDescent="0.25">
      <c r="A239">
        <v>238</v>
      </c>
      <c r="B239" t="s">
        <v>250</v>
      </c>
      <c r="C239">
        <v>12</v>
      </c>
      <c r="D239" t="s">
        <v>2948</v>
      </c>
      <c r="E239" t="s">
        <v>2954</v>
      </c>
      <c r="F239" t="s">
        <v>3182</v>
      </c>
      <c r="G239" s="2">
        <v>45563</v>
      </c>
      <c r="H239" s="2">
        <v>45572</v>
      </c>
      <c r="I239" t="s">
        <v>5766</v>
      </c>
      <c r="J239" t="s">
        <v>5768</v>
      </c>
      <c r="K239">
        <v>296161.78999999998</v>
      </c>
      <c r="L239" t="s">
        <v>5773</v>
      </c>
      <c r="M239">
        <v>9</v>
      </c>
    </row>
    <row r="240" spans="1:13" x14ac:dyDescent="0.25">
      <c r="A240">
        <v>239</v>
      </c>
      <c r="B240" t="s">
        <v>251</v>
      </c>
      <c r="C240">
        <v>22</v>
      </c>
      <c r="D240" t="s">
        <v>2947</v>
      </c>
      <c r="E240" t="s">
        <v>2949</v>
      </c>
      <c r="F240" t="s">
        <v>3183</v>
      </c>
      <c r="G240" s="2">
        <v>45763</v>
      </c>
      <c r="H240" s="2">
        <v>45765</v>
      </c>
      <c r="I240" t="s">
        <v>5762</v>
      </c>
      <c r="J240" t="s">
        <v>5768</v>
      </c>
      <c r="K240">
        <v>133766.38</v>
      </c>
      <c r="L240" t="s">
        <v>5775</v>
      </c>
      <c r="M240">
        <v>2</v>
      </c>
    </row>
    <row r="241" spans="1:13" x14ac:dyDescent="0.25">
      <c r="A241">
        <v>240</v>
      </c>
      <c r="B241" t="s">
        <v>252</v>
      </c>
      <c r="C241">
        <v>13</v>
      </c>
      <c r="D241" t="s">
        <v>2948</v>
      </c>
      <c r="E241" t="s">
        <v>2952</v>
      </c>
      <c r="F241" t="s">
        <v>3184</v>
      </c>
      <c r="G241" s="2">
        <v>45870</v>
      </c>
      <c r="H241" s="2">
        <v>45878</v>
      </c>
      <c r="I241" t="s">
        <v>5765</v>
      </c>
      <c r="J241" t="s">
        <v>5770</v>
      </c>
      <c r="K241">
        <v>221321.31</v>
      </c>
      <c r="L241" t="s">
        <v>5773</v>
      </c>
      <c r="M241">
        <v>8</v>
      </c>
    </row>
    <row r="242" spans="1:13" x14ac:dyDescent="0.25">
      <c r="A242">
        <v>241</v>
      </c>
      <c r="B242" t="s">
        <v>253</v>
      </c>
      <c r="C242">
        <v>74</v>
      </c>
      <c r="D242" t="s">
        <v>2947</v>
      </c>
      <c r="E242" t="s">
        <v>2951</v>
      </c>
      <c r="F242" t="s">
        <v>3185</v>
      </c>
      <c r="G242" s="2">
        <v>45700</v>
      </c>
      <c r="H242" s="2">
        <v>45711</v>
      </c>
      <c r="I242" t="s">
        <v>5758</v>
      </c>
      <c r="J242" t="s">
        <v>5771</v>
      </c>
      <c r="K242">
        <v>231025.29</v>
      </c>
      <c r="L242" t="s">
        <v>5775</v>
      </c>
      <c r="M242">
        <v>11</v>
      </c>
    </row>
    <row r="243" spans="1:13" x14ac:dyDescent="0.25">
      <c r="A243">
        <v>242</v>
      </c>
      <c r="B243" t="s">
        <v>254</v>
      </c>
      <c r="C243">
        <v>67</v>
      </c>
      <c r="D243" t="s">
        <v>2947</v>
      </c>
      <c r="E243" t="s">
        <v>2952</v>
      </c>
      <c r="F243" t="s">
        <v>3186</v>
      </c>
      <c r="G243" s="2">
        <v>45553</v>
      </c>
      <c r="H243" s="2">
        <v>45554</v>
      </c>
      <c r="I243" t="s">
        <v>5765</v>
      </c>
      <c r="J243" t="s">
        <v>5771</v>
      </c>
      <c r="K243">
        <v>374143.37</v>
      </c>
      <c r="L243" t="s">
        <v>5773</v>
      </c>
      <c r="M243">
        <v>1</v>
      </c>
    </row>
    <row r="244" spans="1:13" x14ac:dyDescent="0.25">
      <c r="A244">
        <v>243</v>
      </c>
      <c r="B244" t="s">
        <v>255</v>
      </c>
      <c r="C244">
        <v>87</v>
      </c>
      <c r="D244" t="s">
        <v>2947</v>
      </c>
      <c r="E244" t="s">
        <v>2953</v>
      </c>
      <c r="F244" t="s">
        <v>3187</v>
      </c>
      <c r="G244" s="2">
        <v>45609</v>
      </c>
      <c r="H244" s="2">
        <v>45621</v>
      </c>
      <c r="I244" t="s">
        <v>5765</v>
      </c>
      <c r="J244" t="s">
        <v>5770</v>
      </c>
      <c r="K244">
        <v>478638.82</v>
      </c>
      <c r="L244" t="s">
        <v>5773</v>
      </c>
      <c r="M244">
        <v>12</v>
      </c>
    </row>
    <row r="245" spans="1:13" x14ac:dyDescent="0.25">
      <c r="A245">
        <v>244</v>
      </c>
      <c r="B245" t="s">
        <v>256</v>
      </c>
      <c r="C245">
        <v>90</v>
      </c>
      <c r="D245" t="s">
        <v>2947</v>
      </c>
      <c r="E245" t="s">
        <v>2954</v>
      </c>
      <c r="F245" t="s">
        <v>3188</v>
      </c>
      <c r="G245" s="2">
        <v>45746</v>
      </c>
      <c r="H245" s="2">
        <v>45760</v>
      </c>
      <c r="I245" t="s">
        <v>5758</v>
      </c>
      <c r="J245" t="s">
        <v>5770</v>
      </c>
      <c r="K245">
        <v>97553.98</v>
      </c>
      <c r="L245" t="s">
        <v>5773</v>
      </c>
      <c r="M245">
        <v>14</v>
      </c>
    </row>
    <row r="246" spans="1:13" x14ac:dyDescent="0.25">
      <c r="A246">
        <v>245</v>
      </c>
      <c r="B246" t="s">
        <v>257</v>
      </c>
      <c r="C246">
        <v>38</v>
      </c>
      <c r="D246" t="s">
        <v>2948</v>
      </c>
      <c r="E246" t="s">
        <v>2953</v>
      </c>
      <c r="F246" t="s">
        <v>3189</v>
      </c>
      <c r="G246" s="2">
        <v>45845</v>
      </c>
      <c r="H246" s="2">
        <v>45854</v>
      </c>
      <c r="I246" t="s">
        <v>5762</v>
      </c>
      <c r="J246" t="s">
        <v>5772</v>
      </c>
      <c r="K246">
        <v>434233.33</v>
      </c>
      <c r="L246" t="s">
        <v>5773</v>
      </c>
      <c r="M246">
        <v>9</v>
      </c>
    </row>
    <row r="247" spans="1:13" x14ac:dyDescent="0.25">
      <c r="A247">
        <v>246</v>
      </c>
      <c r="B247" t="s">
        <v>258</v>
      </c>
      <c r="C247">
        <v>41</v>
      </c>
      <c r="D247" t="s">
        <v>2947</v>
      </c>
      <c r="E247" t="s">
        <v>2954</v>
      </c>
      <c r="F247" t="s">
        <v>3190</v>
      </c>
      <c r="G247" s="2">
        <v>45584</v>
      </c>
      <c r="H247" s="2">
        <v>45598</v>
      </c>
      <c r="I247" t="s">
        <v>5767</v>
      </c>
      <c r="J247" t="s">
        <v>5772</v>
      </c>
      <c r="K247">
        <v>31123.48</v>
      </c>
      <c r="L247" t="s">
        <v>5775</v>
      </c>
      <c r="M247">
        <v>14</v>
      </c>
    </row>
    <row r="248" spans="1:13" x14ac:dyDescent="0.25">
      <c r="A248">
        <v>247</v>
      </c>
      <c r="B248" t="s">
        <v>259</v>
      </c>
      <c r="C248">
        <v>4</v>
      </c>
      <c r="D248" t="s">
        <v>2948</v>
      </c>
      <c r="E248" t="s">
        <v>2953</v>
      </c>
      <c r="F248" t="s">
        <v>3191</v>
      </c>
      <c r="G248" s="2">
        <v>45821</v>
      </c>
      <c r="H248" s="2">
        <v>45834</v>
      </c>
      <c r="I248" t="s">
        <v>5766</v>
      </c>
      <c r="J248" t="s">
        <v>5769</v>
      </c>
      <c r="K248">
        <v>469726.51</v>
      </c>
      <c r="L248" t="s">
        <v>5774</v>
      </c>
      <c r="M248">
        <v>13</v>
      </c>
    </row>
    <row r="249" spans="1:13" x14ac:dyDescent="0.25">
      <c r="A249">
        <v>248</v>
      </c>
      <c r="B249" t="s">
        <v>260</v>
      </c>
      <c r="C249">
        <v>29</v>
      </c>
      <c r="D249" t="s">
        <v>2948</v>
      </c>
      <c r="E249" t="s">
        <v>2951</v>
      </c>
      <c r="F249" t="s">
        <v>2813</v>
      </c>
      <c r="G249" s="2">
        <v>45667</v>
      </c>
      <c r="H249" s="2">
        <v>45681</v>
      </c>
      <c r="I249" t="s">
        <v>5760</v>
      </c>
      <c r="J249" t="s">
        <v>5768</v>
      </c>
      <c r="K249">
        <v>72857.460000000006</v>
      </c>
      <c r="L249" t="s">
        <v>5774</v>
      </c>
      <c r="M249">
        <v>14</v>
      </c>
    </row>
    <row r="250" spans="1:13" x14ac:dyDescent="0.25">
      <c r="A250">
        <v>249</v>
      </c>
      <c r="B250" t="s">
        <v>261</v>
      </c>
      <c r="C250">
        <v>27</v>
      </c>
      <c r="D250" t="s">
        <v>2948</v>
      </c>
      <c r="E250" t="s">
        <v>2950</v>
      </c>
      <c r="F250" t="s">
        <v>3192</v>
      </c>
      <c r="G250" s="2">
        <v>45794</v>
      </c>
      <c r="H250" s="2">
        <v>45806</v>
      </c>
      <c r="I250" t="s">
        <v>5759</v>
      </c>
      <c r="J250" t="s">
        <v>5768</v>
      </c>
      <c r="K250">
        <v>424125.57</v>
      </c>
      <c r="L250" t="s">
        <v>5775</v>
      </c>
      <c r="M250">
        <v>12</v>
      </c>
    </row>
    <row r="251" spans="1:13" x14ac:dyDescent="0.25">
      <c r="A251">
        <v>250</v>
      </c>
      <c r="B251" t="s">
        <v>262</v>
      </c>
      <c r="C251">
        <v>65</v>
      </c>
      <c r="D251" t="s">
        <v>2948</v>
      </c>
      <c r="E251" t="s">
        <v>2949</v>
      </c>
      <c r="F251" t="s">
        <v>3193</v>
      </c>
      <c r="G251" s="2">
        <v>45837</v>
      </c>
      <c r="H251" s="2">
        <v>45844</v>
      </c>
      <c r="I251" t="s">
        <v>5760</v>
      </c>
      <c r="J251" t="s">
        <v>5770</v>
      </c>
      <c r="K251">
        <v>239303.07</v>
      </c>
      <c r="L251" t="s">
        <v>5774</v>
      </c>
      <c r="M251">
        <v>7</v>
      </c>
    </row>
    <row r="252" spans="1:13" x14ac:dyDescent="0.25">
      <c r="A252">
        <v>251</v>
      </c>
      <c r="B252" t="s">
        <v>263</v>
      </c>
      <c r="C252">
        <v>78</v>
      </c>
      <c r="D252" t="s">
        <v>2947</v>
      </c>
      <c r="E252" t="s">
        <v>2952</v>
      </c>
      <c r="F252" t="s">
        <v>3194</v>
      </c>
      <c r="G252" s="2">
        <v>45858</v>
      </c>
      <c r="H252" s="2">
        <v>45873</v>
      </c>
      <c r="I252" t="s">
        <v>5763</v>
      </c>
      <c r="J252" t="s">
        <v>5768</v>
      </c>
      <c r="K252">
        <v>351315.08</v>
      </c>
      <c r="L252" t="s">
        <v>5773</v>
      </c>
      <c r="M252">
        <v>15</v>
      </c>
    </row>
    <row r="253" spans="1:13" x14ac:dyDescent="0.25">
      <c r="A253">
        <v>252</v>
      </c>
      <c r="B253" t="s">
        <v>264</v>
      </c>
      <c r="C253">
        <v>25</v>
      </c>
      <c r="D253" t="s">
        <v>2948</v>
      </c>
      <c r="E253" t="s">
        <v>2954</v>
      </c>
      <c r="F253" t="s">
        <v>3195</v>
      </c>
      <c r="G253" s="2">
        <v>45789</v>
      </c>
      <c r="H253" s="2">
        <v>45801</v>
      </c>
      <c r="I253" t="s">
        <v>5763</v>
      </c>
      <c r="J253" t="s">
        <v>5769</v>
      </c>
      <c r="K253">
        <v>386213.4</v>
      </c>
      <c r="L253" t="s">
        <v>5774</v>
      </c>
      <c r="M253">
        <v>12</v>
      </c>
    </row>
    <row r="254" spans="1:13" x14ac:dyDescent="0.25">
      <c r="A254">
        <v>253</v>
      </c>
      <c r="B254" t="s">
        <v>265</v>
      </c>
      <c r="C254">
        <v>23</v>
      </c>
      <c r="D254" t="s">
        <v>2948</v>
      </c>
      <c r="E254" t="s">
        <v>2951</v>
      </c>
      <c r="F254" t="s">
        <v>3196</v>
      </c>
      <c r="G254" s="2">
        <v>45584</v>
      </c>
      <c r="H254" s="2">
        <v>45599</v>
      </c>
      <c r="I254" t="s">
        <v>5762</v>
      </c>
      <c r="J254" t="s">
        <v>5771</v>
      </c>
      <c r="K254">
        <v>496664.09</v>
      </c>
      <c r="L254" t="s">
        <v>5774</v>
      </c>
      <c r="M254">
        <v>15</v>
      </c>
    </row>
    <row r="255" spans="1:13" x14ac:dyDescent="0.25">
      <c r="A255">
        <v>254</v>
      </c>
      <c r="B255" t="s">
        <v>266</v>
      </c>
      <c r="C255">
        <v>53</v>
      </c>
      <c r="D255" t="s">
        <v>2948</v>
      </c>
      <c r="E255" t="s">
        <v>2955</v>
      </c>
      <c r="F255" t="s">
        <v>3197</v>
      </c>
      <c r="G255" s="2">
        <v>45585</v>
      </c>
      <c r="H255" s="2">
        <v>45591</v>
      </c>
      <c r="I255" t="s">
        <v>5760</v>
      </c>
      <c r="J255" t="s">
        <v>5770</v>
      </c>
      <c r="K255">
        <v>458777.31</v>
      </c>
      <c r="L255" t="s">
        <v>5774</v>
      </c>
      <c r="M255">
        <v>6</v>
      </c>
    </row>
    <row r="256" spans="1:13" x14ac:dyDescent="0.25">
      <c r="A256">
        <v>255</v>
      </c>
      <c r="B256" t="s">
        <v>267</v>
      </c>
      <c r="C256">
        <v>81</v>
      </c>
      <c r="D256" t="s">
        <v>2948</v>
      </c>
      <c r="E256" t="s">
        <v>2949</v>
      </c>
      <c r="F256" t="s">
        <v>3198</v>
      </c>
      <c r="G256" s="2">
        <v>45651</v>
      </c>
      <c r="H256" s="2">
        <v>45664</v>
      </c>
      <c r="I256" t="s">
        <v>5762</v>
      </c>
      <c r="J256" t="s">
        <v>5772</v>
      </c>
      <c r="K256">
        <v>289156.58</v>
      </c>
      <c r="L256" t="s">
        <v>5773</v>
      </c>
      <c r="M256">
        <v>13</v>
      </c>
    </row>
    <row r="257" spans="1:13" x14ac:dyDescent="0.25">
      <c r="A257">
        <v>256</v>
      </c>
      <c r="B257" t="s">
        <v>268</v>
      </c>
      <c r="C257">
        <v>66</v>
      </c>
      <c r="D257" t="s">
        <v>2947</v>
      </c>
      <c r="E257" t="s">
        <v>2950</v>
      </c>
      <c r="F257" t="s">
        <v>3199</v>
      </c>
      <c r="G257" s="2">
        <v>45802</v>
      </c>
      <c r="H257" s="2">
        <v>45809</v>
      </c>
      <c r="I257" t="s">
        <v>5762</v>
      </c>
      <c r="J257" t="s">
        <v>5769</v>
      </c>
      <c r="K257">
        <v>453366.59</v>
      </c>
      <c r="L257" t="s">
        <v>5774</v>
      </c>
      <c r="M257">
        <v>7</v>
      </c>
    </row>
    <row r="258" spans="1:13" x14ac:dyDescent="0.25">
      <c r="A258">
        <v>257</v>
      </c>
      <c r="B258" t="s">
        <v>269</v>
      </c>
      <c r="C258">
        <v>10</v>
      </c>
      <c r="D258" t="s">
        <v>2948</v>
      </c>
      <c r="E258" t="s">
        <v>2952</v>
      </c>
      <c r="F258" t="s">
        <v>3200</v>
      </c>
      <c r="G258" s="2">
        <v>45776</v>
      </c>
      <c r="H258" s="2">
        <v>45779</v>
      </c>
      <c r="I258" t="s">
        <v>5767</v>
      </c>
      <c r="J258" t="s">
        <v>5771</v>
      </c>
      <c r="K258">
        <v>298933.71999999997</v>
      </c>
      <c r="L258" t="s">
        <v>5773</v>
      </c>
      <c r="M258">
        <v>3</v>
      </c>
    </row>
    <row r="259" spans="1:13" x14ac:dyDescent="0.25">
      <c r="A259">
        <v>258</v>
      </c>
      <c r="B259" t="s">
        <v>270</v>
      </c>
      <c r="C259">
        <v>50</v>
      </c>
      <c r="D259" t="s">
        <v>2948</v>
      </c>
      <c r="E259" t="s">
        <v>2955</v>
      </c>
      <c r="F259" t="s">
        <v>3201</v>
      </c>
      <c r="G259" s="2">
        <v>45592</v>
      </c>
      <c r="H259" s="2">
        <v>45604</v>
      </c>
      <c r="I259" t="s">
        <v>5767</v>
      </c>
      <c r="J259" t="s">
        <v>2949</v>
      </c>
      <c r="K259">
        <v>50287.74</v>
      </c>
      <c r="L259" t="s">
        <v>5775</v>
      </c>
      <c r="M259">
        <v>12</v>
      </c>
    </row>
    <row r="260" spans="1:13" x14ac:dyDescent="0.25">
      <c r="A260">
        <v>259</v>
      </c>
      <c r="B260" t="s">
        <v>271</v>
      </c>
      <c r="C260">
        <v>37</v>
      </c>
      <c r="D260" t="s">
        <v>2947</v>
      </c>
      <c r="E260" t="s">
        <v>2949</v>
      </c>
      <c r="F260" t="s">
        <v>3202</v>
      </c>
      <c r="G260" s="2">
        <v>45626</v>
      </c>
      <c r="H260" s="2">
        <v>45627</v>
      </c>
      <c r="I260" t="s">
        <v>5760</v>
      </c>
      <c r="J260" t="s">
        <v>5769</v>
      </c>
      <c r="K260">
        <v>243899.75</v>
      </c>
      <c r="L260" t="s">
        <v>5773</v>
      </c>
      <c r="M260">
        <v>1</v>
      </c>
    </row>
    <row r="261" spans="1:13" x14ac:dyDescent="0.25">
      <c r="A261">
        <v>260</v>
      </c>
      <c r="B261" t="s">
        <v>272</v>
      </c>
      <c r="C261">
        <v>10</v>
      </c>
      <c r="D261" t="s">
        <v>2948</v>
      </c>
      <c r="E261" t="s">
        <v>2950</v>
      </c>
      <c r="F261" t="s">
        <v>3203</v>
      </c>
      <c r="G261" s="2">
        <v>45831</v>
      </c>
      <c r="H261" s="2">
        <v>45834</v>
      </c>
      <c r="I261" t="s">
        <v>5761</v>
      </c>
      <c r="J261" t="s">
        <v>5769</v>
      </c>
      <c r="K261">
        <v>132240.22</v>
      </c>
      <c r="L261" t="s">
        <v>5773</v>
      </c>
      <c r="M261">
        <v>3</v>
      </c>
    </row>
    <row r="262" spans="1:13" x14ac:dyDescent="0.25">
      <c r="A262">
        <v>261</v>
      </c>
      <c r="B262" t="s">
        <v>273</v>
      </c>
      <c r="C262">
        <v>14</v>
      </c>
      <c r="D262" t="s">
        <v>2948</v>
      </c>
      <c r="E262" t="s">
        <v>2954</v>
      </c>
      <c r="F262" t="s">
        <v>3204</v>
      </c>
      <c r="G262" s="2">
        <v>45851</v>
      </c>
      <c r="H262" s="2">
        <v>45857</v>
      </c>
      <c r="I262" t="s">
        <v>5766</v>
      </c>
      <c r="J262" t="s">
        <v>5772</v>
      </c>
      <c r="K262">
        <v>238395.51</v>
      </c>
      <c r="L262" t="s">
        <v>5774</v>
      </c>
      <c r="M262">
        <v>6</v>
      </c>
    </row>
    <row r="263" spans="1:13" x14ac:dyDescent="0.25">
      <c r="A263">
        <v>262</v>
      </c>
      <c r="B263" t="s">
        <v>274</v>
      </c>
      <c r="C263">
        <v>73</v>
      </c>
      <c r="D263" t="s">
        <v>2947</v>
      </c>
      <c r="E263" t="s">
        <v>2954</v>
      </c>
      <c r="F263" t="s">
        <v>3205</v>
      </c>
      <c r="G263" s="2">
        <v>45738</v>
      </c>
      <c r="H263" s="2">
        <v>45740</v>
      </c>
      <c r="I263" t="s">
        <v>5767</v>
      </c>
      <c r="J263" t="s">
        <v>5772</v>
      </c>
      <c r="K263">
        <v>244087.92</v>
      </c>
      <c r="L263" t="s">
        <v>5774</v>
      </c>
      <c r="M263">
        <v>2</v>
      </c>
    </row>
    <row r="264" spans="1:13" x14ac:dyDescent="0.25">
      <c r="A264">
        <v>263</v>
      </c>
      <c r="B264" t="s">
        <v>275</v>
      </c>
      <c r="C264">
        <v>40</v>
      </c>
      <c r="D264" t="s">
        <v>2948</v>
      </c>
      <c r="E264" t="s">
        <v>2951</v>
      </c>
      <c r="F264" t="s">
        <v>3206</v>
      </c>
      <c r="G264" s="2">
        <v>45835</v>
      </c>
      <c r="H264" s="2">
        <v>45840</v>
      </c>
      <c r="I264" t="s">
        <v>5760</v>
      </c>
      <c r="J264" t="s">
        <v>5770</v>
      </c>
      <c r="K264">
        <v>316698.81</v>
      </c>
      <c r="L264" t="s">
        <v>5773</v>
      </c>
      <c r="M264">
        <v>5</v>
      </c>
    </row>
    <row r="265" spans="1:13" x14ac:dyDescent="0.25">
      <c r="A265">
        <v>264</v>
      </c>
      <c r="B265" t="s">
        <v>276</v>
      </c>
      <c r="C265">
        <v>53</v>
      </c>
      <c r="D265" t="s">
        <v>2948</v>
      </c>
      <c r="E265" t="s">
        <v>2950</v>
      </c>
      <c r="F265" t="s">
        <v>3207</v>
      </c>
      <c r="G265" s="2">
        <v>45783</v>
      </c>
      <c r="H265" s="2">
        <v>45787</v>
      </c>
      <c r="I265" t="s">
        <v>5758</v>
      </c>
      <c r="J265" t="s">
        <v>5770</v>
      </c>
      <c r="K265">
        <v>312277.06</v>
      </c>
      <c r="L265" t="s">
        <v>5773</v>
      </c>
      <c r="M265">
        <v>4</v>
      </c>
    </row>
    <row r="266" spans="1:13" x14ac:dyDescent="0.25">
      <c r="A266">
        <v>265</v>
      </c>
      <c r="B266" t="s">
        <v>277</v>
      </c>
      <c r="C266">
        <v>66</v>
      </c>
      <c r="D266" t="s">
        <v>2947</v>
      </c>
      <c r="E266" t="s">
        <v>2949</v>
      </c>
      <c r="F266" t="s">
        <v>3208</v>
      </c>
      <c r="G266" s="2">
        <v>45750</v>
      </c>
      <c r="H266" s="2">
        <v>45764</v>
      </c>
      <c r="I266" t="s">
        <v>5761</v>
      </c>
      <c r="J266" t="s">
        <v>5769</v>
      </c>
      <c r="K266">
        <v>380917.15</v>
      </c>
      <c r="L266" t="s">
        <v>5773</v>
      </c>
      <c r="M266">
        <v>14</v>
      </c>
    </row>
    <row r="267" spans="1:13" x14ac:dyDescent="0.25">
      <c r="A267">
        <v>266</v>
      </c>
      <c r="B267" t="s">
        <v>278</v>
      </c>
      <c r="C267">
        <v>43</v>
      </c>
      <c r="D267" t="s">
        <v>2947</v>
      </c>
      <c r="E267" t="s">
        <v>2953</v>
      </c>
      <c r="F267" t="s">
        <v>3209</v>
      </c>
      <c r="G267" s="2">
        <v>45833</v>
      </c>
      <c r="H267" s="2">
        <v>45837</v>
      </c>
      <c r="I267" t="s">
        <v>5765</v>
      </c>
      <c r="J267" t="s">
        <v>5768</v>
      </c>
      <c r="K267">
        <v>474981.25</v>
      </c>
      <c r="L267" t="s">
        <v>5775</v>
      </c>
      <c r="M267">
        <v>4</v>
      </c>
    </row>
    <row r="268" spans="1:13" x14ac:dyDescent="0.25">
      <c r="A268">
        <v>267</v>
      </c>
      <c r="B268" t="s">
        <v>279</v>
      </c>
      <c r="C268">
        <v>59</v>
      </c>
      <c r="D268" t="s">
        <v>2947</v>
      </c>
      <c r="E268" t="s">
        <v>2951</v>
      </c>
      <c r="F268" t="s">
        <v>3210</v>
      </c>
      <c r="G268" s="2">
        <v>45788</v>
      </c>
      <c r="H268" s="2">
        <v>45791</v>
      </c>
      <c r="I268" t="s">
        <v>5766</v>
      </c>
      <c r="J268" t="s">
        <v>5771</v>
      </c>
      <c r="K268">
        <v>270932.13</v>
      </c>
      <c r="L268" t="s">
        <v>5775</v>
      </c>
      <c r="M268">
        <v>3</v>
      </c>
    </row>
    <row r="269" spans="1:13" x14ac:dyDescent="0.25">
      <c r="A269">
        <v>268</v>
      </c>
      <c r="B269" t="s">
        <v>280</v>
      </c>
      <c r="C269">
        <v>80</v>
      </c>
      <c r="D269" t="s">
        <v>2947</v>
      </c>
      <c r="E269" t="s">
        <v>2949</v>
      </c>
      <c r="F269" t="s">
        <v>3211</v>
      </c>
      <c r="G269" s="2">
        <v>45630</v>
      </c>
      <c r="H269" s="2">
        <v>45632</v>
      </c>
      <c r="I269" t="s">
        <v>5761</v>
      </c>
      <c r="J269" t="s">
        <v>5771</v>
      </c>
      <c r="K269">
        <v>288672.90000000002</v>
      </c>
      <c r="L269" t="s">
        <v>5774</v>
      </c>
      <c r="M269">
        <v>2</v>
      </c>
    </row>
    <row r="270" spans="1:13" x14ac:dyDescent="0.25">
      <c r="A270">
        <v>269</v>
      </c>
      <c r="B270" t="s">
        <v>281</v>
      </c>
      <c r="C270">
        <v>15</v>
      </c>
      <c r="D270" t="s">
        <v>2947</v>
      </c>
      <c r="E270" t="s">
        <v>2953</v>
      </c>
      <c r="F270" t="s">
        <v>3212</v>
      </c>
      <c r="G270" s="2">
        <v>45779</v>
      </c>
      <c r="H270" s="2">
        <v>45791</v>
      </c>
      <c r="I270" t="s">
        <v>5764</v>
      </c>
      <c r="J270" t="s">
        <v>5770</v>
      </c>
      <c r="K270">
        <v>125638.86</v>
      </c>
      <c r="L270" t="s">
        <v>5775</v>
      </c>
      <c r="M270">
        <v>12</v>
      </c>
    </row>
    <row r="271" spans="1:13" x14ac:dyDescent="0.25">
      <c r="A271">
        <v>270</v>
      </c>
      <c r="B271" t="s">
        <v>282</v>
      </c>
      <c r="C271">
        <v>33</v>
      </c>
      <c r="D271" t="s">
        <v>2947</v>
      </c>
      <c r="E271" t="s">
        <v>2951</v>
      </c>
      <c r="F271" t="s">
        <v>3213</v>
      </c>
      <c r="G271" s="2">
        <v>45872</v>
      </c>
      <c r="H271" s="2">
        <v>45875</v>
      </c>
      <c r="I271" t="s">
        <v>5758</v>
      </c>
      <c r="J271" t="s">
        <v>5769</v>
      </c>
      <c r="K271">
        <v>461825.46</v>
      </c>
      <c r="L271" t="s">
        <v>5774</v>
      </c>
      <c r="M271">
        <v>3</v>
      </c>
    </row>
    <row r="272" spans="1:13" x14ac:dyDescent="0.25">
      <c r="A272">
        <v>271</v>
      </c>
      <c r="B272" t="s">
        <v>283</v>
      </c>
      <c r="C272">
        <v>79</v>
      </c>
      <c r="D272" t="s">
        <v>2948</v>
      </c>
      <c r="E272" t="s">
        <v>2955</v>
      </c>
      <c r="F272" t="s">
        <v>3214</v>
      </c>
      <c r="G272" s="2">
        <v>45907</v>
      </c>
      <c r="H272" s="2">
        <v>45909</v>
      </c>
      <c r="I272" t="s">
        <v>5760</v>
      </c>
      <c r="J272" t="s">
        <v>5772</v>
      </c>
      <c r="K272">
        <v>44611.87</v>
      </c>
      <c r="L272" t="s">
        <v>5774</v>
      </c>
      <c r="M272">
        <v>2</v>
      </c>
    </row>
    <row r="273" spans="1:13" x14ac:dyDescent="0.25">
      <c r="A273">
        <v>272</v>
      </c>
      <c r="B273" t="s">
        <v>284</v>
      </c>
      <c r="C273">
        <v>64</v>
      </c>
      <c r="D273" t="s">
        <v>2948</v>
      </c>
      <c r="E273" t="s">
        <v>2951</v>
      </c>
      <c r="F273" t="s">
        <v>3215</v>
      </c>
      <c r="G273" s="2">
        <v>45574</v>
      </c>
      <c r="H273" s="2">
        <v>45575</v>
      </c>
      <c r="I273" t="s">
        <v>5765</v>
      </c>
      <c r="J273" t="s">
        <v>5772</v>
      </c>
      <c r="K273">
        <v>459128.29</v>
      </c>
      <c r="L273" t="s">
        <v>5774</v>
      </c>
      <c r="M273">
        <v>1</v>
      </c>
    </row>
    <row r="274" spans="1:13" x14ac:dyDescent="0.25">
      <c r="A274">
        <v>273</v>
      </c>
      <c r="B274" t="s">
        <v>285</v>
      </c>
      <c r="C274">
        <v>87</v>
      </c>
      <c r="D274" t="s">
        <v>2947</v>
      </c>
      <c r="E274" t="s">
        <v>2954</v>
      </c>
      <c r="F274" t="s">
        <v>3216</v>
      </c>
      <c r="G274" s="2">
        <v>45908</v>
      </c>
      <c r="H274" s="2">
        <v>45910</v>
      </c>
      <c r="I274" t="s">
        <v>5760</v>
      </c>
      <c r="J274" t="s">
        <v>5768</v>
      </c>
      <c r="K274">
        <v>348344.45</v>
      </c>
      <c r="L274" t="s">
        <v>5775</v>
      </c>
      <c r="M274">
        <v>2</v>
      </c>
    </row>
    <row r="275" spans="1:13" x14ac:dyDescent="0.25">
      <c r="A275">
        <v>274</v>
      </c>
      <c r="B275" t="s">
        <v>286</v>
      </c>
      <c r="C275">
        <v>32</v>
      </c>
      <c r="D275" t="s">
        <v>2947</v>
      </c>
      <c r="E275" t="s">
        <v>2950</v>
      </c>
      <c r="F275" t="s">
        <v>3217</v>
      </c>
      <c r="G275" s="2">
        <v>45778</v>
      </c>
      <c r="H275" s="2">
        <v>45789</v>
      </c>
      <c r="I275" t="s">
        <v>5765</v>
      </c>
      <c r="J275" t="s">
        <v>5771</v>
      </c>
      <c r="K275">
        <v>388448.08</v>
      </c>
      <c r="L275" t="s">
        <v>5775</v>
      </c>
      <c r="M275">
        <v>11</v>
      </c>
    </row>
    <row r="276" spans="1:13" x14ac:dyDescent="0.25">
      <c r="A276">
        <v>275</v>
      </c>
      <c r="B276" t="s">
        <v>287</v>
      </c>
      <c r="C276">
        <v>41</v>
      </c>
      <c r="D276" t="s">
        <v>2948</v>
      </c>
      <c r="E276" t="s">
        <v>2949</v>
      </c>
      <c r="F276" t="s">
        <v>3218</v>
      </c>
      <c r="G276" s="2">
        <v>45560</v>
      </c>
      <c r="H276" s="2">
        <v>45569</v>
      </c>
      <c r="I276" t="s">
        <v>5765</v>
      </c>
      <c r="J276" t="s">
        <v>5771</v>
      </c>
      <c r="K276">
        <v>15140.09</v>
      </c>
      <c r="L276" t="s">
        <v>5773</v>
      </c>
      <c r="M276">
        <v>9</v>
      </c>
    </row>
    <row r="277" spans="1:13" x14ac:dyDescent="0.25">
      <c r="A277">
        <v>276</v>
      </c>
      <c r="B277" t="s">
        <v>288</v>
      </c>
      <c r="C277">
        <v>13</v>
      </c>
      <c r="D277" t="s">
        <v>2948</v>
      </c>
      <c r="E277" t="s">
        <v>2953</v>
      </c>
      <c r="F277" t="s">
        <v>3219</v>
      </c>
      <c r="G277" s="2">
        <v>45860</v>
      </c>
      <c r="H277" s="2">
        <v>45866</v>
      </c>
      <c r="I277" t="s">
        <v>5762</v>
      </c>
      <c r="J277" t="s">
        <v>5768</v>
      </c>
      <c r="K277">
        <v>26087.52</v>
      </c>
      <c r="L277" t="s">
        <v>5774</v>
      </c>
      <c r="M277">
        <v>6</v>
      </c>
    </row>
    <row r="278" spans="1:13" x14ac:dyDescent="0.25">
      <c r="A278">
        <v>277</v>
      </c>
      <c r="B278" t="s">
        <v>289</v>
      </c>
      <c r="C278">
        <v>5</v>
      </c>
      <c r="D278" t="s">
        <v>2948</v>
      </c>
      <c r="E278" t="s">
        <v>2949</v>
      </c>
      <c r="F278" t="s">
        <v>3220</v>
      </c>
      <c r="G278" s="2">
        <v>45561</v>
      </c>
      <c r="H278" s="2">
        <v>45573</v>
      </c>
      <c r="I278" t="s">
        <v>5764</v>
      </c>
      <c r="J278" t="s">
        <v>5770</v>
      </c>
      <c r="K278">
        <v>22716.49</v>
      </c>
      <c r="L278" t="s">
        <v>5774</v>
      </c>
      <c r="M278">
        <v>12</v>
      </c>
    </row>
    <row r="279" spans="1:13" x14ac:dyDescent="0.25">
      <c r="A279">
        <v>278</v>
      </c>
      <c r="B279" t="s">
        <v>290</v>
      </c>
      <c r="C279">
        <v>23</v>
      </c>
      <c r="D279" t="s">
        <v>2948</v>
      </c>
      <c r="E279" t="s">
        <v>2949</v>
      </c>
      <c r="F279" t="s">
        <v>3221</v>
      </c>
      <c r="G279" s="2">
        <v>45862</v>
      </c>
      <c r="H279" s="2">
        <v>45871</v>
      </c>
      <c r="I279" t="s">
        <v>5766</v>
      </c>
      <c r="J279" t="s">
        <v>5769</v>
      </c>
      <c r="K279">
        <v>359884.85</v>
      </c>
      <c r="L279" t="s">
        <v>5775</v>
      </c>
      <c r="M279">
        <v>9</v>
      </c>
    </row>
    <row r="280" spans="1:13" x14ac:dyDescent="0.25">
      <c r="A280">
        <v>279</v>
      </c>
      <c r="B280" t="s">
        <v>291</v>
      </c>
      <c r="C280">
        <v>36</v>
      </c>
      <c r="D280" t="s">
        <v>2948</v>
      </c>
      <c r="E280" t="s">
        <v>2951</v>
      </c>
      <c r="F280" t="s">
        <v>3222</v>
      </c>
      <c r="G280" s="2">
        <v>45568</v>
      </c>
      <c r="H280" s="2">
        <v>45573</v>
      </c>
      <c r="I280" t="s">
        <v>5766</v>
      </c>
      <c r="J280" t="s">
        <v>5769</v>
      </c>
      <c r="K280">
        <v>493436.08</v>
      </c>
      <c r="L280" t="s">
        <v>5773</v>
      </c>
      <c r="M280">
        <v>5</v>
      </c>
    </row>
    <row r="281" spans="1:13" x14ac:dyDescent="0.25">
      <c r="A281">
        <v>280</v>
      </c>
      <c r="B281" t="s">
        <v>292</v>
      </c>
      <c r="C281">
        <v>40</v>
      </c>
      <c r="D281" t="s">
        <v>2947</v>
      </c>
      <c r="E281" t="s">
        <v>2955</v>
      </c>
      <c r="F281" t="s">
        <v>3223</v>
      </c>
      <c r="G281" s="2">
        <v>45652</v>
      </c>
      <c r="H281" s="2">
        <v>45653</v>
      </c>
      <c r="I281" t="s">
        <v>5766</v>
      </c>
      <c r="J281" t="s">
        <v>5772</v>
      </c>
      <c r="K281">
        <v>392446.12</v>
      </c>
      <c r="L281" t="s">
        <v>5774</v>
      </c>
      <c r="M281">
        <v>1</v>
      </c>
    </row>
    <row r="282" spans="1:13" x14ac:dyDescent="0.25">
      <c r="A282">
        <v>281</v>
      </c>
      <c r="B282" t="s">
        <v>293</v>
      </c>
      <c r="C282">
        <v>30</v>
      </c>
      <c r="D282" t="s">
        <v>2948</v>
      </c>
      <c r="E282" t="s">
        <v>2950</v>
      </c>
      <c r="F282" t="s">
        <v>3224</v>
      </c>
      <c r="G282" s="2">
        <v>45724</v>
      </c>
      <c r="H282" s="2">
        <v>45725</v>
      </c>
      <c r="I282" t="s">
        <v>5759</v>
      </c>
      <c r="J282" t="s">
        <v>5772</v>
      </c>
      <c r="K282">
        <v>221838.89</v>
      </c>
      <c r="L282" t="s">
        <v>5774</v>
      </c>
      <c r="M282">
        <v>1</v>
      </c>
    </row>
    <row r="283" spans="1:13" x14ac:dyDescent="0.25">
      <c r="A283">
        <v>282</v>
      </c>
      <c r="B283" t="s">
        <v>294</v>
      </c>
      <c r="C283">
        <v>22</v>
      </c>
      <c r="D283" t="s">
        <v>2948</v>
      </c>
      <c r="E283" t="s">
        <v>2955</v>
      </c>
      <c r="F283" t="s">
        <v>3225</v>
      </c>
      <c r="G283" s="2">
        <v>45722</v>
      </c>
      <c r="H283" s="2">
        <v>45732</v>
      </c>
      <c r="I283" t="s">
        <v>5758</v>
      </c>
      <c r="J283" t="s">
        <v>5771</v>
      </c>
      <c r="K283">
        <v>31282.82</v>
      </c>
      <c r="L283" t="s">
        <v>5774</v>
      </c>
      <c r="M283">
        <v>10</v>
      </c>
    </row>
    <row r="284" spans="1:13" x14ac:dyDescent="0.25">
      <c r="A284">
        <v>283</v>
      </c>
      <c r="B284" t="s">
        <v>295</v>
      </c>
      <c r="C284">
        <v>55</v>
      </c>
      <c r="D284" t="s">
        <v>2947</v>
      </c>
      <c r="E284" t="s">
        <v>2951</v>
      </c>
      <c r="F284" t="s">
        <v>2531</v>
      </c>
      <c r="G284" s="2">
        <v>45854</v>
      </c>
      <c r="H284" s="2">
        <v>45855</v>
      </c>
      <c r="I284" t="s">
        <v>5761</v>
      </c>
      <c r="J284" t="s">
        <v>5772</v>
      </c>
      <c r="K284">
        <v>80088.37</v>
      </c>
      <c r="L284" t="s">
        <v>5774</v>
      </c>
      <c r="M284">
        <v>1</v>
      </c>
    </row>
    <row r="285" spans="1:13" x14ac:dyDescent="0.25">
      <c r="A285">
        <v>284</v>
      </c>
      <c r="B285" t="s">
        <v>296</v>
      </c>
      <c r="C285">
        <v>67</v>
      </c>
      <c r="D285" t="s">
        <v>2947</v>
      </c>
      <c r="E285" t="s">
        <v>2952</v>
      </c>
      <c r="F285" t="s">
        <v>1400</v>
      </c>
      <c r="G285" s="2">
        <v>45767</v>
      </c>
      <c r="H285" s="2">
        <v>45777</v>
      </c>
      <c r="I285" t="s">
        <v>5765</v>
      </c>
      <c r="J285" t="s">
        <v>5768</v>
      </c>
      <c r="K285">
        <v>407516.73</v>
      </c>
      <c r="L285" t="s">
        <v>5773</v>
      </c>
      <c r="M285">
        <v>10</v>
      </c>
    </row>
    <row r="286" spans="1:13" x14ac:dyDescent="0.25">
      <c r="A286">
        <v>285</v>
      </c>
      <c r="B286" t="s">
        <v>297</v>
      </c>
      <c r="C286">
        <v>25</v>
      </c>
      <c r="D286" t="s">
        <v>2948</v>
      </c>
      <c r="E286" t="s">
        <v>2953</v>
      </c>
      <c r="F286" t="s">
        <v>2539</v>
      </c>
      <c r="G286" s="2">
        <v>45578</v>
      </c>
      <c r="H286" s="2">
        <v>45588</v>
      </c>
      <c r="I286" t="s">
        <v>5761</v>
      </c>
      <c r="J286" t="s">
        <v>5772</v>
      </c>
      <c r="K286">
        <v>310790.03000000003</v>
      </c>
      <c r="L286" t="s">
        <v>5773</v>
      </c>
      <c r="M286">
        <v>10</v>
      </c>
    </row>
    <row r="287" spans="1:13" x14ac:dyDescent="0.25">
      <c r="A287">
        <v>286</v>
      </c>
      <c r="B287" t="s">
        <v>298</v>
      </c>
      <c r="C287">
        <v>5</v>
      </c>
      <c r="D287" t="s">
        <v>2948</v>
      </c>
      <c r="E287" t="s">
        <v>2952</v>
      </c>
      <c r="F287" t="s">
        <v>3226</v>
      </c>
      <c r="G287" s="2">
        <v>45793</v>
      </c>
      <c r="H287" s="2">
        <v>45799</v>
      </c>
      <c r="I287" t="s">
        <v>5764</v>
      </c>
      <c r="J287" t="s">
        <v>2949</v>
      </c>
      <c r="K287">
        <v>435649.29</v>
      </c>
      <c r="L287" t="s">
        <v>5775</v>
      </c>
      <c r="M287">
        <v>6</v>
      </c>
    </row>
    <row r="288" spans="1:13" x14ac:dyDescent="0.25">
      <c r="A288">
        <v>287</v>
      </c>
      <c r="B288" t="s">
        <v>299</v>
      </c>
      <c r="C288">
        <v>5</v>
      </c>
      <c r="D288" t="s">
        <v>2947</v>
      </c>
      <c r="E288" t="s">
        <v>2954</v>
      </c>
      <c r="F288" t="s">
        <v>3227</v>
      </c>
      <c r="G288" s="2">
        <v>45630</v>
      </c>
      <c r="H288" s="2">
        <v>45644</v>
      </c>
      <c r="I288" t="s">
        <v>5758</v>
      </c>
      <c r="J288" t="s">
        <v>5770</v>
      </c>
      <c r="K288">
        <v>463756.54</v>
      </c>
      <c r="L288" t="s">
        <v>5775</v>
      </c>
      <c r="M288">
        <v>14</v>
      </c>
    </row>
    <row r="289" spans="1:13" x14ac:dyDescent="0.25">
      <c r="A289">
        <v>288</v>
      </c>
      <c r="B289" t="s">
        <v>300</v>
      </c>
      <c r="C289">
        <v>84</v>
      </c>
      <c r="D289" t="s">
        <v>2948</v>
      </c>
      <c r="E289" t="s">
        <v>2949</v>
      </c>
      <c r="F289" t="s">
        <v>306</v>
      </c>
      <c r="G289" s="2">
        <v>45847</v>
      </c>
      <c r="H289" s="2">
        <v>45854</v>
      </c>
      <c r="I289" t="s">
        <v>5767</v>
      </c>
      <c r="J289" t="s">
        <v>5768</v>
      </c>
      <c r="K289">
        <v>289474.62</v>
      </c>
      <c r="L289" t="s">
        <v>5774</v>
      </c>
      <c r="M289">
        <v>7</v>
      </c>
    </row>
    <row r="290" spans="1:13" x14ac:dyDescent="0.25">
      <c r="A290">
        <v>289</v>
      </c>
      <c r="B290" t="s">
        <v>301</v>
      </c>
      <c r="C290">
        <v>64</v>
      </c>
      <c r="D290" t="s">
        <v>2948</v>
      </c>
      <c r="E290" t="s">
        <v>2952</v>
      </c>
      <c r="F290" t="s">
        <v>3228</v>
      </c>
      <c r="G290" s="2">
        <v>45786</v>
      </c>
      <c r="H290" s="2">
        <v>45788</v>
      </c>
      <c r="I290" t="s">
        <v>5758</v>
      </c>
      <c r="J290" t="s">
        <v>5769</v>
      </c>
      <c r="K290">
        <v>314364.21999999997</v>
      </c>
      <c r="L290" t="s">
        <v>5775</v>
      </c>
      <c r="M290">
        <v>2</v>
      </c>
    </row>
    <row r="291" spans="1:13" x14ac:dyDescent="0.25">
      <c r="A291">
        <v>290</v>
      </c>
      <c r="B291" t="s">
        <v>302</v>
      </c>
      <c r="C291">
        <v>30</v>
      </c>
      <c r="D291" t="s">
        <v>2948</v>
      </c>
      <c r="E291" t="s">
        <v>2955</v>
      </c>
      <c r="F291" t="s">
        <v>3229</v>
      </c>
      <c r="G291" s="2">
        <v>45642</v>
      </c>
      <c r="H291" s="2">
        <v>45643</v>
      </c>
      <c r="I291" t="s">
        <v>5759</v>
      </c>
      <c r="J291" t="s">
        <v>5769</v>
      </c>
      <c r="K291">
        <v>230829.44</v>
      </c>
      <c r="L291" t="s">
        <v>5773</v>
      </c>
      <c r="M291">
        <v>1</v>
      </c>
    </row>
    <row r="292" spans="1:13" x14ac:dyDescent="0.25">
      <c r="A292">
        <v>291</v>
      </c>
      <c r="B292" t="s">
        <v>303</v>
      </c>
      <c r="C292">
        <v>25</v>
      </c>
      <c r="D292" t="s">
        <v>2947</v>
      </c>
      <c r="E292" t="s">
        <v>2949</v>
      </c>
      <c r="F292" t="s">
        <v>3230</v>
      </c>
      <c r="G292" s="2">
        <v>45579</v>
      </c>
      <c r="H292" s="2">
        <v>45582</v>
      </c>
      <c r="I292" t="s">
        <v>5758</v>
      </c>
      <c r="J292" t="s">
        <v>5771</v>
      </c>
      <c r="K292">
        <v>361593.95</v>
      </c>
      <c r="L292" t="s">
        <v>5774</v>
      </c>
      <c r="M292">
        <v>3</v>
      </c>
    </row>
    <row r="293" spans="1:13" x14ac:dyDescent="0.25">
      <c r="A293">
        <v>292</v>
      </c>
      <c r="B293" t="s">
        <v>304</v>
      </c>
      <c r="C293">
        <v>76</v>
      </c>
      <c r="D293" t="s">
        <v>2948</v>
      </c>
      <c r="E293" t="s">
        <v>2950</v>
      </c>
      <c r="F293" t="s">
        <v>3231</v>
      </c>
      <c r="G293" s="2">
        <v>45789</v>
      </c>
      <c r="H293" s="2">
        <v>45794</v>
      </c>
      <c r="I293" t="s">
        <v>5765</v>
      </c>
      <c r="J293" t="s">
        <v>5772</v>
      </c>
      <c r="K293">
        <v>348520.61</v>
      </c>
      <c r="L293" t="s">
        <v>5774</v>
      </c>
      <c r="M293">
        <v>5</v>
      </c>
    </row>
    <row r="294" spans="1:13" x14ac:dyDescent="0.25">
      <c r="A294">
        <v>293</v>
      </c>
      <c r="B294" t="s">
        <v>305</v>
      </c>
      <c r="C294">
        <v>78</v>
      </c>
      <c r="D294" t="s">
        <v>2947</v>
      </c>
      <c r="E294" t="s">
        <v>2954</v>
      </c>
      <c r="F294" t="s">
        <v>3232</v>
      </c>
      <c r="G294" s="2">
        <v>45901</v>
      </c>
      <c r="H294" s="2">
        <v>45913</v>
      </c>
      <c r="I294" t="s">
        <v>5766</v>
      </c>
      <c r="J294" t="s">
        <v>5772</v>
      </c>
      <c r="K294">
        <v>492171.52000000002</v>
      </c>
      <c r="L294" t="s">
        <v>5774</v>
      </c>
      <c r="M294">
        <v>12</v>
      </c>
    </row>
    <row r="295" spans="1:13" x14ac:dyDescent="0.25">
      <c r="A295">
        <v>294</v>
      </c>
      <c r="B295" t="s">
        <v>306</v>
      </c>
      <c r="C295">
        <v>77</v>
      </c>
      <c r="D295" t="s">
        <v>2947</v>
      </c>
      <c r="E295" t="s">
        <v>2954</v>
      </c>
      <c r="F295" t="s">
        <v>3233</v>
      </c>
      <c r="G295" s="2">
        <v>45874</v>
      </c>
      <c r="H295" s="2">
        <v>45880</v>
      </c>
      <c r="I295" t="s">
        <v>5763</v>
      </c>
      <c r="J295" t="s">
        <v>5769</v>
      </c>
      <c r="K295">
        <v>339650.31</v>
      </c>
      <c r="L295" t="s">
        <v>5775</v>
      </c>
      <c r="M295">
        <v>6</v>
      </c>
    </row>
    <row r="296" spans="1:13" x14ac:dyDescent="0.25">
      <c r="A296">
        <v>295</v>
      </c>
      <c r="B296" t="s">
        <v>307</v>
      </c>
      <c r="C296">
        <v>2</v>
      </c>
      <c r="D296" t="s">
        <v>2947</v>
      </c>
      <c r="E296" t="s">
        <v>2954</v>
      </c>
      <c r="F296" t="s">
        <v>3234</v>
      </c>
      <c r="G296" s="2">
        <v>45812</v>
      </c>
      <c r="H296" s="2">
        <v>45813</v>
      </c>
      <c r="I296" t="s">
        <v>5765</v>
      </c>
      <c r="J296" t="s">
        <v>5770</v>
      </c>
      <c r="K296">
        <v>157704.24</v>
      </c>
      <c r="L296" t="s">
        <v>5774</v>
      </c>
      <c r="M296">
        <v>1</v>
      </c>
    </row>
    <row r="297" spans="1:13" x14ac:dyDescent="0.25">
      <c r="A297">
        <v>296</v>
      </c>
      <c r="B297" t="s">
        <v>308</v>
      </c>
      <c r="C297">
        <v>39</v>
      </c>
      <c r="D297" t="s">
        <v>2947</v>
      </c>
      <c r="E297" t="s">
        <v>2953</v>
      </c>
      <c r="F297" t="s">
        <v>3235</v>
      </c>
      <c r="G297" s="2">
        <v>45793</v>
      </c>
      <c r="H297" s="2">
        <v>45807</v>
      </c>
      <c r="I297" t="s">
        <v>5758</v>
      </c>
      <c r="J297" t="s">
        <v>5770</v>
      </c>
      <c r="K297">
        <v>437372.42</v>
      </c>
      <c r="L297" t="s">
        <v>5775</v>
      </c>
      <c r="M297">
        <v>14</v>
      </c>
    </row>
    <row r="298" spans="1:13" x14ac:dyDescent="0.25">
      <c r="A298">
        <v>297</v>
      </c>
      <c r="B298" t="s">
        <v>309</v>
      </c>
      <c r="C298">
        <v>67</v>
      </c>
      <c r="D298" t="s">
        <v>2948</v>
      </c>
      <c r="E298" t="s">
        <v>2949</v>
      </c>
      <c r="F298" t="s">
        <v>3236</v>
      </c>
      <c r="G298" s="2">
        <v>45577</v>
      </c>
      <c r="H298" s="2">
        <v>45584</v>
      </c>
      <c r="I298" t="s">
        <v>5759</v>
      </c>
      <c r="J298" t="s">
        <v>5772</v>
      </c>
      <c r="K298">
        <v>366073.59999999998</v>
      </c>
      <c r="L298" t="s">
        <v>5774</v>
      </c>
      <c r="M298">
        <v>7</v>
      </c>
    </row>
    <row r="299" spans="1:13" x14ac:dyDescent="0.25">
      <c r="A299">
        <v>298</v>
      </c>
      <c r="B299" t="s">
        <v>310</v>
      </c>
      <c r="C299">
        <v>86</v>
      </c>
      <c r="D299" t="s">
        <v>2948</v>
      </c>
      <c r="E299" t="s">
        <v>2954</v>
      </c>
      <c r="F299" t="s">
        <v>3237</v>
      </c>
      <c r="G299" s="2">
        <v>45549</v>
      </c>
      <c r="H299" s="2">
        <v>45550</v>
      </c>
      <c r="I299" t="s">
        <v>5761</v>
      </c>
      <c r="J299" t="s">
        <v>5769</v>
      </c>
      <c r="K299">
        <v>283817.73</v>
      </c>
      <c r="L299" t="s">
        <v>5774</v>
      </c>
      <c r="M299">
        <v>1</v>
      </c>
    </row>
    <row r="300" spans="1:13" x14ac:dyDescent="0.25">
      <c r="A300">
        <v>299</v>
      </c>
      <c r="B300" t="s">
        <v>311</v>
      </c>
      <c r="C300">
        <v>49</v>
      </c>
      <c r="D300" t="s">
        <v>2948</v>
      </c>
      <c r="E300" t="s">
        <v>2952</v>
      </c>
      <c r="F300" t="s">
        <v>3238</v>
      </c>
      <c r="G300" s="2">
        <v>45695</v>
      </c>
      <c r="H300" s="2">
        <v>45696</v>
      </c>
      <c r="I300" t="s">
        <v>5763</v>
      </c>
      <c r="J300" t="s">
        <v>5772</v>
      </c>
      <c r="K300">
        <v>275769.46000000002</v>
      </c>
      <c r="L300" t="s">
        <v>5773</v>
      </c>
      <c r="M300">
        <v>1</v>
      </c>
    </row>
    <row r="301" spans="1:13" x14ac:dyDescent="0.25">
      <c r="A301">
        <v>300</v>
      </c>
      <c r="B301" t="s">
        <v>312</v>
      </c>
      <c r="C301">
        <v>57</v>
      </c>
      <c r="D301" t="s">
        <v>2947</v>
      </c>
      <c r="E301" t="s">
        <v>2954</v>
      </c>
      <c r="F301" t="s">
        <v>3239</v>
      </c>
      <c r="G301" s="2">
        <v>45721</v>
      </c>
      <c r="H301" s="2">
        <v>45731</v>
      </c>
      <c r="I301" t="s">
        <v>5758</v>
      </c>
      <c r="J301" t="s">
        <v>5769</v>
      </c>
      <c r="K301">
        <v>17843.990000000002</v>
      </c>
      <c r="L301" t="s">
        <v>5773</v>
      </c>
      <c r="M301">
        <v>10</v>
      </c>
    </row>
    <row r="302" spans="1:13" x14ac:dyDescent="0.25">
      <c r="A302">
        <v>301</v>
      </c>
      <c r="B302" t="s">
        <v>313</v>
      </c>
      <c r="C302">
        <v>74</v>
      </c>
      <c r="D302" t="s">
        <v>2947</v>
      </c>
      <c r="E302" t="s">
        <v>2949</v>
      </c>
      <c r="F302" t="s">
        <v>3240</v>
      </c>
      <c r="G302" s="2">
        <v>45622</v>
      </c>
      <c r="H302" s="2">
        <v>45632</v>
      </c>
      <c r="I302" t="s">
        <v>5763</v>
      </c>
      <c r="J302" t="s">
        <v>5771</v>
      </c>
      <c r="K302">
        <v>410002.56</v>
      </c>
      <c r="L302" t="s">
        <v>5774</v>
      </c>
      <c r="M302">
        <v>10</v>
      </c>
    </row>
    <row r="303" spans="1:13" x14ac:dyDescent="0.25">
      <c r="A303">
        <v>302</v>
      </c>
      <c r="B303" t="s">
        <v>314</v>
      </c>
      <c r="C303">
        <v>57</v>
      </c>
      <c r="D303" t="s">
        <v>2948</v>
      </c>
      <c r="E303" t="s">
        <v>2949</v>
      </c>
      <c r="F303" t="s">
        <v>3241</v>
      </c>
      <c r="G303" s="2">
        <v>45587</v>
      </c>
      <c r="H303" s="2">
        <v>45588</v>
      </c>
      <c r="I303" t="s">
        <v>5761</v>
      </c>
      <c r="J303" t="s">
        <v>5770</v>
      </c>
      <c r="K303">
        <v>319051.08</v>
      </c>
      <c r="L303" t="s">
        <v>5775</v>
      </c>
      <c r="M303">
        <v>1</v>
      </c>
    </row>
    <row r="304" spans="1:13" x14ac:dyDescent="0.25">
      <c r="A304">
        <v>303</v>
      </c>
      <c r="B304" t="s">
        <v>315</v>
      </c>
      <c r="C304">
        <v>43</v>
      </c>
      <c r="D304" t="s">
        <v>2947</v>
      </c>
      <c r="E304" t="s">
        <v>2952</v>
      </c>
      <c r="F304" t="s">
        <v>3242</v>
      </c>
      <c r="G304" s="2">
        <v>45748</v>
      </c>
      <c r="H304" s="2">
        <v>45757</v>
      </c>
      <c r="I304" t="s">
        <v>5758</v>
      </c>
      <c r="J304" t="s">
        <v>5771</v>
      </c>
      <c r="K304">
        <v>55850.879999999997</v>
      </c>
      <c r="L304" t="s">
        <v>5774</v>
      </c>
      <c r="M304">
        <v>9</v>
      </c>
    </row>
    <row r="305" spans="1:13" x14ac:dyDescent="0.25">
      <c r="A305">
        <v>304</v>
      </c>
      <c r="B305" t="s">
        <v>316</v>
      </c>
      <c r="C305">
        <v>24</v>
      </c>
      <c r="D305" t="s">
        <v>2948</v>
      </c>
      <c r="E305" t="s">
        <v>2955</v>
      </c>
      <c r="F305" t="s">
        <v>3243</v>
      </c>
      <c r="G305" s="2">
        <v>45632</v>
      </c>
      <c r="H305" s="2">
        <v>45638</v>
      </c>
      <c r="I305" t="s">
        <v>5758</v>
      </c>
      <c r="J305" t="s">
        <v>2949</v>
      </c>
      <c r="K305">
        <v>483244.94</v>
      </c>
      <c r="L305" t="s">
        <v>5774</v>
      </c>
      <c r="M305">
        <v>6</v>
      </c>
    </row>
    <row r="306" spans="1:13" x14ac:dyDescent="0.25">
      <c r="A306">
        <v>305</v>
      </c>
      <c r="B306" t="s">
        <v>317</v>
      </c>
      <c r="C306">
        <v>32</v>
      </c>
      <c r="D306" t="s">
        <v>2948</v>
      </c>
      <c r="E306" t="s">
        <v>2950</v>
      </c>
      <c r="F306" t="s">
        <v>3244</v>
      </c>
      <c r="G306" s="2">
        <v>45632</v>
      </c>
      <c r="H306" s="2">
        <v>45645</v>
      </c>
      <c r="I306" t="s">
        <v>5758</v>
      </c>
      <c r="J306" t="s">
        <v>5770</v>
      </c>
      <c r="K306">
        <v>470925.57</v>
      </c>
      <c r="L306" t="s">
        <v>5773</v>
      </c>
      <c r="M306">
        <v>13</v>
      </c>
    </row>
    <row r="307" spans="1:13" x14ac:dyDescent="0.25">
      <c r="A307">
        <v>306</v>
      </c>
      <c r="B307" t="s">
        <v>318</v>
      </c>
      <c r="C307">
        <v>8</v>
      </c>
      <c r="D307" t="s">
        <v>2947</v>
      </c>
      <c r="E307" t="s">
        <v>2949</v>
      </c>
      <c r="F307" t="s">
        <v>3245</v>
      </c>
      <c r="G307" s="2">
        <v>45644</v>
      </c>
      <c r="H307" s="2">
        <v>45647</v>
      </c>
      <c r="I307" t="s">
        <v>5765</v>
      </c>
      <c r="J307" t="s">
        <v>5772</v>
      </c>
      <c r="K307">
        <v>461172.92</v>
      </c>
      <c r="L307" t="s">
        <v>5773</v>
      </c>
      <c r="M307">
        <v>3</v>
      </c>
    </row>
    <row r="308" spans="1:13" x14ac:dyDescent="0.25">
      <c r="A308">
        <v>307</v>
      </c>
      <c r="B308" t="s">
        <v>319</v>
      </c>
      <c r="C308">
        <v>47</v>
      </c>
      <c r="D308" t="s">
        <v>2947</v>
      </c>
      <c r="E308" t="s">
        <v>2952</v>
      </c>
      <c r="F308" t="s">
        <v>3246</v>
      </c>
      <c r="G308" s="2">
        <v>45579</v>
      </c>
      <c r="H308" s="2">
        <v>45585</v>
      </c>
      <c r="I308" t="s">
        <v>5759</v>
      </c>
      <c r="J308" t="s">
        <v>5769</v>
      </c>
      <c r="K308">
        <v>496363.23</v>
      </c>
      <c r="L308" t="s">
        <v>5774</v>
      </c>
      <c r="M308">
        <v>6</v>
      </c>
    </row>
    <row r="309" spans="1:13" x14ac:dyDescent="0.25">
      <c r="A309">
        <v>308</v>
      </c>
      <c r="B309" t="s">
        <v>320</v>
      </c>
      <c r="C309">
        <v>74</v>
      </c>
      <c r="D309" t="s">
        <v>2947</v>
      </c>
      <c r="E309" t="s">
        <v>2954</v>
      </c>
      <c r="F309" t="s">
        <v>3247</v>
      </c>
      <c r="G309" s="2">
        <v>45803</v>
      </c>
      <c r="H309" s="2">
        <v>45810</v>
      </c>
      <c r="I309" t="s">
        <v>5765</v>
      </c>
      <c r="J309" t="s">
        <v>5771</v>
      </c>
      <c r="K309">
        <v>459996.42</v>
      </c>
      <c r="L309" t="s">
        <v>5774</v>
      </c>
      <c r="M309">
        <v>7</v>
      </c>
    </row>
    <row r="310" spans="1:13" x14ac:dyDescent="0.25">
      <c r="A310">
        <v>309</v>
      </c>
      <c r="B310" t="s">
        <v>321</v>
      </c>
      <c r="C310">
        <v>17</v>
      </c>
      <c r="D310" t="s">
        <v>2948</v>
      </c>
      <c r="E310" t="s">
        <v>2954</v>
      </c>
      <c r="F310" t="s">
        <v>3248</v>
      </c>
      <c r="G310" s="2">
        <v>45776</v>
      </c>
      <c r="H310" s="2">
        <v>45788</v>
      </c>
      <c r="I310" t="s">
        <v>5761</v>
      </c>
      <c r="J310" t="s">
        <v>5771</v>
      </c>
      <c r="K310">
        <v>404769.69</v>
      </c>
      <c r="L310" t="s">
        <v>5775</v>
      </c>
      <c r="M310">
        <v>12</v>
      </c>
    </row>
    <row r="311" spans="1:13" x14ac:dyDescent="0.25">
      <c r="A311">
        <v>310</v>
      </c>
      <c r="B311" t="s">
        <v>322</v>
      </c>
      <c r="C311">
        <v>54</v>
      </c>
      <c r="D311" t="s">
        <v>2948</v>
      </c>
      <c r="E311" t="s">
        <v>2950</v>
      </c>
      <c r="F311" t="s">
        <v>3249</v>
      </c>
      <c r="G311" s="2">
        <v>45828</v>
      </c>
      <c r="H311" s="2">
        <v>45841</v>
      </c>
      <c r="I311" t="s">
        <v>5759</v>
      </c>
      <c r="J311" t="s">
        <v>5769</v>
      </c>
      <c r="K311">
        <v>137572.68</v>
      </c>
      <c r="L311" t="s">
        <v>5775</v>
      </c>
      <c r="M311">
        <v>13</v>
      </c>
    </row>
    <row r="312" spans="1:13" x14ac:dyDescent="0.25">
      <c r="A312">
        <v>311</v>
      </c>
      <c r="B312" t="s">
        <v>323</v>
      </c>
      <c r="C312">
        <v>63</v>
      </c>
      <c r="D312" t="s">
        <v>2948</v>
      </c>
      <c r="E312" t="s">
        <v>2954</v>
      </c>
      <c r="F312" t="s">
        <v>3250</v>
      </c>
      <c r="G312" s="2">
        <v>45720</v>
      </c>
      <c r="H312" s="2">
        <v>45721</v>
      </c>
      <c r="I312" t="s">
        <v>5760</v>
      </c>
      <c r="J312" t="s">
        <v>5770</v>
      </c>
      <c r="K312">
        <v>293847.78000000003</v>
      </c>
      <c r="L312" t="s">
        <v>5773</v>
      </c>
      <c r="M312">
        <v>1</v>
      </c>
    </row>
    <row r="313" spans="1:13" x14ac:dyDescent="0.25">
      <c r="A313">
        <v>312</v>
      </c>
      <c r="B313" t="s">
        <v>324</v>
      </c>
      <c r="C313">
        <v>46</v>
      </c>
      <c r="D313" t="s">
        <v>2948</v>
      </c>
      <c r="E313" t="s">
        <v>2955</v>
      </c>
      <c r="F313" t="s">
        <v>3251</v>
      </c>
      <c r="G313" s="2">
        <v>45683</v>
      </c>
      <c r="H313" s="2">
        <v>45689</v>
      </c>
      <c r="I313" t="s">
        <v>5767</v>
      </c>
      <c r="J313" t="s">
        <v>5768</v>
      </c>
      <c r="K313">
        <v>154778.5</v>
      </c>
      <c r="L313" t="s">
        <v>5774</v>
      </c>
      <c r="M313">
        <v>6</v>
      </c>
    </row>
    <row r="314" spans="1:13" x14ac:dyDescent="0.25">
      <c r="A314">
        <v>313</v>
      </c>
      <c r="B314" t="s">
        <v>325</v>
      </c>
      <c r="C314">
        <v>16</v>
      </c>
      <c r="D314" t="s">
        <v>2947</v>
      </c>
      <c r="E314" t="s">
        <v>2950</v>
      </c>
      <c r="F314" t="s">
        <v>3252</v>
      </c>
      <c r="G314" s="2">
        <v>45720</v>
      </c>
      <c r="H314" s="2">
        <v>45724</v>
      </c>
      <c r="I314" t="s">
        <v>5765</v>
      </c>
      <c r="J314" t="s">
        <v>5770</v>
      </c>
      <c r="K314">
        <v>382063.98</v>
      </c>
      <c r="L314" t="s">
        <v>5773</v>
      </c>
      <c r="M314">
        <v>4</v>
      </c>
    </row>
    <row r="315" spans="1:13" x14ac:dyDescent="0.25">
      <c r="A315">
        <v>314</v>
      </c>
      <c r="B315" t="s">
        <v>326</v>
      </c>
      <c r="C315">
        <v>9</v>
      </c>
      <c r="D315" t="s">
        <v>2948</v>
      </c>
      <c r="E315" t="s">
        <v>2954</v>
      </c>
      <c r="F315" t="s">
        <v>3253</v>
      </c>
      <c r="G315" s="2">
        <v>45806</v>
      </c>
      <c r="H315" s="2">
        <v>45819</v>
      </c>
      <c r="I315" t="s">
        <v>5765</v>
      </c>
      <c r="J315" t="s">
        <v>5769</v>
      </c>
      <c r="K315">
        <v>386514.62</v>
      </c>
      <c r="L315" t="s">
        <v>5773</v>
      </c>
      <c r="M315">
        <v>13</v>
      </c>
    </row>
    <row r="316" spans="1:13" x14ac:dyDescent="0.25">
      <c r="A316">
        <v>315</v>
      </c>
      <c r="B316" t="s">
        <v>327</v>
      </c>
      <c r="C316">
        <v>78</v>
      </c>
      <c r="D316" t="s">
        <v>2948</v>
      </c>
      <c r="E316" t="s">
        <v>2953</v>
      </c>
      <c r="F316" t="s">
        <v>3254</v>
      </c>
      <c r="G316" s="2">
        <v>45865</v>
      </c>
      <c r="H316" s="2">
        <v>45880</v>
      </c>
      <c r="I316" t="s">
        <v>5763</v>
      </c>
      <c r="J316" t="s">
        <v>5770</v>
      </c>
      <c r="K316">
        <v>431704.86</v>
      </c>
      <c r="L316" t="s">
        <v>5773</v>
      </c>
      <c r="M316">
        <v>15</v>
      </c>
    </row>
    <row r="317" spans="1:13" x14ac:dyDescent="0.25">
      <c r="A317">
        <v>316</v>
      </c>
      <c r="B317" t="s">
        <v>328</v>
      </c>
      <c r="C317">
        <v>70</v>
      </c>
      <c r="D317" t="s">
        <v>2948</v>
      </c>
      <c r="E317" t="s">
        <v>2951</v>
      </c>
      <c r="F317" t="s">
        <v>3255</v>
      </c>
      <c r="G317" s="2">
        <v>45594</v>
      </c>
      <c r="H317" s="2">
        <v>45595</v>
      </c>
      <c r="I317" t="s">
        <v>5761</v>
      </c>
      <c r="J317" t="s">
        <v>2949</v>
      </c>
      <c r="K317">
        <v>174028.75</v>
      </c>
      <c r="L317" t="s">
        <v>5774</v>
      </c>
      <c r="M317">
        <v>1</v>
      </c>
    </row>
    <row r="318" spans="1:13" x14ac:dyDescent="0.25">
      <c r="A318">
        <v>317</v>
      </c>
      <c r="B318" t="s">
        <v>329</v>
      </c>
      <c r="C318">
        <v>25</v>
      </c>
      <c r="D318" t="s">
        <v>2947</v>
      </c>
      <c r="E318" t="s">
        <v>2951</v>
      </c>
      <c r="F318" t="s">
        <v>2314</v>
      </c>
      <c r="G318" s="2">
        <v>45822</v>
      </c>
      <c r="H318" s="2">
        <v>45828</v>
      </c>
      <c r="I318" t="s">
        <v>5761</v>
      </c>
      <c r="J318" t="s">
        <v>2949</v>
      </c>
      <c r="K318">
        <v>189612.91</v>
      </c>
      <c r="L318" t="s">
        <v>5773</v>
      </c>
      <c r="M318">
        <v>6</v>
      </c>
    </row>
    <row r="319" spans="1:13" x14ac:dyDescent="0.25">
      <c r="A319">
        <v>318</v>
      </c>
      <c r="B319" t="s">
        <v>330</v>
      </c>
      <c r="C319">
        <v>47</v>
      </c>
      <c r="D319" t="s">
        <v>2947</v>
      </c>
      <c r="E319" t="s">
        <v>2950</v>
      </c>
      <c r="F319" t="s">
        <v>3256</v>
      </c>
      <c r="G319" s="2">
        <v>45621</v>
      </c>
      <c r="H319" s="2">
        <v>45627</v>
      </c>
      <c r="I319" t="s">
        <v>5765</v>
      </c>
      <c r="J319" t="s">
        <v>5770</v>
      </c>
      <c r="K319">
        <v>56791.51</v>
      </c>
      <c r="L319" t="s">
        <v>5774</v>
      </c>
      <c r="M319">
        <v>6</v>
      </c>
    </row>
    <row r="320" spans="1:13" x14ac:dyDescent="0.25">
      <c r="A320">
        <v>319</v>
      </c>
      <c r="B320" t="s">
        <v>331</v>
      </c>
      <c r="C320">
        <v>7</v>
      </c>
      <c r="D320" t="s">
        <v>2947</v>
      </c>
      <c r="E320" t="s">
        <v>2950</v>
      </c>
      <c r="F320" t="s">
        <v>3257</v>
      </c>
      <c r="G320" s="2">
        <v>45665</v>
      </c>
      <c r="H320" s="2">
        <v>45668</v>
      </c>
      <c r="I320" t="s">
        <v>5762</v>
      </c>
      <c r="J320" t="s">
        <v>5770</v>
      </c>
      <c r="K320">
        <v>275443.38</v>
      </c>
      <c r="L320" t="s">
        <v>5773</v>
      </c>
      <c r="M320">
        <v>3</v>
      </c>
    </row>
    <row r="321" spans="1:13" x14ac:dyDescent="0.25">
      <c r="A321">
        <v>320</v>
      </c>
      <c r="B321" t="s">
        <v>332</v>
      </c>
      <c r="C321">
        <v>6</v>
      </c>
      <c r="D321" t="s">
        <v>2947</v>
      </c>
      <c r="E321" t="s">
        <v>2954</v>
      </c>
      <c r="F321" t="s">
        <v>3258</v>
      </c>
      <c r="G321" s="2">
        <v>45739</v>
      </c>
      <c r="H321" s="2">
        <v>45742</v>
      </c>
      <c r="I321" t="s">
        <v>5760</v>
      </c>
      <c r="J321" t="s">
        <v>2949</v>
      </c>
      <c r="K321">
        <v>282106.74</v>
      </c>
      <c r="L321" t="s">
        <v>5774</v>
      </c>
      <c r="M321">
        <v>3</v>
      </c>
    </row>
    <row r="322" spans="1:13" x14ac:dyDescent="0.25">
      <c r="A322">
        <v>321</v>
      </c>
      <c r="B322" t="s">
        <v>333</v>
      </c>
      <c r="C322">
        <v>12</v>
      </c>
      <c r="D322" t="s">
        <v>2947</v>
      </c>
      <c r="E322" t="s">
        <v>2951</v>
      </c>
      <c r="F322" t="s">
        <v>3259</v>
      </c>
      <c r="G322" s="2">
        <v>45696</v>
      </c>
      <c r="H322" s="2">
        <v>45711</v>
      </c>
      <c r="I322" t="s">
        <v>5765</v>
      </c>
      <c r="J322" t="s">
        <v>5772</v>
      </c>
      <c r="K322">
        <v>43836</v>
      </c>
      <c r="L322" t="s">
        <v>5775</v>
      </c>
      <c r="M322">
        <v>15</v>
      </c>
    </row>
    <row r="323" spans="1:13" x14ac:dyDescent="0.25">
      <c r="A323">
        <v>322</v>
      </c>
      <c r="B323" t="s">
        <v>334</v>
      </c>
      <c r="C323">
        <v>82</v>
      </c>
      <c r="D323" t="s">
        <v>2948</v>
      </c>
      <c r="E323" t="s">
        <v>2951</v>
      </c>
      <c r="F323" t="s">
        <v>3260</v>
      </c>
      <c r="G323" s="2">
        <v>45602</v>
      </c>
      <c r="H323" s="2">
        <v>45603</v>
      </c>
      <c r="I323" t="s">
        <v>5762</v>
      </c>
      <c r="J323" t="s">
        <v>5772</v>
      </c>
      <c r="K323">
        <v>230331.73</v>
      </c>
      <c r="L323" t="s">
        <v>5775</v>
      </c>
      <c r="M323">
        <v>1</v>
      </c>
    </row>
    <row r="324" spans="1:13" x14ac:dyDescent="0.25">
      <c r="A324">
        <v>323</v>
      </c>
      <c r="B324" t="s">
        <v>335</v>
      </c>
      <c r="C324">
        <v>50</v>
      </c>
      <c r="D324" t="s">
        <v>2947</v>
      </c>
      <c r="E324" t="s">
        <v>2951</v>
      </c>
      <c r="F324" t="s">
        <v>3261</v>
      </c>
      <c r="G324" s="2">
        <v>45831</v>
      </c>
      <c r="H324" s="2">
        <v>45841</v>
      </c>
      <c r="I324" t="s">
        <v>5761</v>
      </c>
      <c r="J324" t="s">
        <v>5771</v>
      </c>
      <c r="K324">
        <v>378778.21</v>
      </c>
      <c r="L324" t="s">
        <v>5774</v>
      </c>
      <c r="M324">
        <v>10</v>
      </c>
    </row>
    <row r="325" spans="1:13" x14ac:dyDescent="0.25">
      <c r="A325">
        <v>324</v>
      </c>
      <c r="B325" t="s">
        <v>336</v>
      </c>
      <c r="C325">
        <v>6</v>
      </c>
      <c r="D325" t="s">
        <v>2947</v>
      </c>
      <c r="E325" t="s">
        <v>2955</v>
      </c>
      <c r="F325" t="s">
        <v>3262</v>
      </c>
      <c r="G325" s="2">
        <v>45576</v>
      </c>
      <c r="H325" s="2">
        <v>45581</v>
      </c>
      <c r="I325" t="s">
        <v>5761</v>
      </c>
      <c r="J325" t="s">
        <v>2949</v>
      </c>
      <c r="K325">
        <v>327990.95</v>
      </c>
      <c r="L325" t="s">
        <v>5774</v>
      </c>
      <c r="M325">
        <v>5</v>
      </c>
    </row>
    <row r="326" spans="1:13" x14ac:dyDescent="0.25">
      <c r="A326">
        <v>325</v>
      </c>
      <c r="B326" t="s">
        <v>337</v>
      </c>
      <c r="C326">
        <v>61</v>
      </c>
      <c r="D326" t="s">
        <v>2947</v>
      </c>
      <c r="E326" t="s">
        <v>2949</v>
      </c>
      <c r="F326" t="s">
        <v>3263</v>
      </c>
      <c r="G326" s="2">
        <v>45643</v>
      </c>
      <c r="H326" s="2">
        <v>45647</v>
      </c>
      <c r="I326" t="s">
        <v>5764</v>
      </c>
      <c r="J326" t="s">
        <v>5771</v>
      </c>
      <c r="K326">
        <v>131317.54999999999</v>
      </c>
      <c r="L326" t="s">
        <v>5774</v>
      </c>
      <c r="M326">
        <v>4</v>
      </c>
    </row>
    <row r="327" spans="1:13" x14ac:dyDescent="0.25">
      <c r="A327">
        <v>326</v>
      </c>
      <c r="B327" t="s">
        <v>338</v>
      </c>
      <c r="C327">
        <v>52</v>
      </c>
      <c r="D327" t="s">
        <v>2948</v>
      </c>
      <c r="E327" t="s">
        <v>2952</v>
      </c>
      <c r="F327" t="s">
        <v>3264</v>
      </c>
      <c r="G327" s="2">
        <v>45572</v>
      </c>
      <c r="H327" s="2">
        <v>45574</v>
      </c>
      <c r="I327" t="s">
        <v>5760</v>
      </c>
      <c r="J327" t="s">
        <v>5770</v>
      </c>
      <c r="K327">
        <v>465651.27</v>
      </c>
      <c r="L327" t="s">
        <v>5775</v>
      </c>
      <c r="M327">
        <v>2</v>
      </c>
    </row>
    <row r="328" spans="1:13" x14ac:dyDescent="0.25">
      <c r="A328">
        <v>327</v>
      </c>
      <c r="B328" t="s">
        <v>339</v>
      </c>
      <c r="C328">
        <v>61</v>
      </c>
      <c r="D328" t="s">
        <v>2948</v>
      </c>
      <c r="E328" t="s">
        <v>2953</v>
      </c>
      <c r="F328" t="s">
        <v>3265</v>
      </c>
      <c r="G328" s="2">
        <v>45683</v>
      </c>
      <c r="H328" s="2">
        <v>45688</v>
      </c>
      <c r="I328" t="s">
        <v>5767</v>
      </c>
      <c r="J328" t="s">
        <v>5768</v>
      </c>
      <c r="K328">
        <v>236016.78</v>
      </c>
      <c r="L328" t="s">
        <v>5774</v>
      </c>
      <c r="M328">
        <v>5</v>
      </c>
    </row>
    <row r="329" spans="1:13" x14ac:dyDescent="0.25">
      <c r="A329">
        <v>328</v>
      </c>
      <c r="B329" t="s">
        <v>340</v>
      </c>
      <c r="C329">
        <v>31</v>
      </c>
      <c r="D329" t="s">
        <v>2948</v>
      </c>
      <c r="E329" t="s">
        <v>2951</v>
      </c>
      <c r="F329" t="s">
        <v>3266</v>
      </c>
      <c r="G329" s="2">
        <v>45833</v>
      </c>
      <c r="H329" s="2">
        <v>45846</v>
      </c>
      <c r="I329" t="s">
        <v>5765</v>
      </c>
      <c r="J329" t="s">
        <v>2949</v>
      </c>
      <c r="K329">
        <v>355542.21</v>
      </c>
      <c r="L329" t="s">
        <v>5774</v>
      </c>
      <c r="M329">
        <v>13</v>
      </c>
    </row>
    <row r="330" spans="1:13" x14ac:dyDescent="0.25">
      <c r="A330">
        <v>329</v>
      </c>
      <c r="B330" t="s">
        <v>341</v>
      </c>
      <c r="C330">
        <v>51</v>
      </c>
      <c r="D330" t="s">
        <v>2948</v>
      </c>
      <c r="E330" t="s">
        <v>2949</v>
      </c>
      <c r="F330" t="s">
        <v>3267</v>
      </c>
      <c r="G330" s="2">
        <v>45778</v>
      </c>
      <c r="H330" s="2">
        <v>45792</v>
      </c>
      <c r="I330" t="s">
        <v>5763</v>
      </c>
      <c r="J330" t="s">
        <v>5768</v>
      </c>
      <c r="K330">
        <v>42430.06</v>
      </c>
      <c r="L330" t="s">
        <v>5774</v>
      </c>
      <c r="M330">
        <v>14</v>
      </c>
    </row>
    <row r="331" spans="1:13" x14ac:dyDescent="0.25">
      <c r="A331">
        <v>330</v>
      </c>
      <c r="B331" t="s">
        <v>342</v>
      </c>
      <c r="C331">
        <v>62</v>
      </c>
      <c r="D331" t="s">
        <v>2948</v>
      </c>
      <c r="E331" t="s">
        <v>2954</v>
      </c>
      <c r="F331" t="s">
        <v>3268</v>
      </c>
      <c r="G331" s="2">
        <v>45611</v>
      </c>
      <c r="H331" s="2">
        <v>45618</v>
      </c>
      <c r="I331" t="s">
        <v>5765</v>
      </c>
      <c r="J331" t="s">
        <v>5770</v>
      </c>
      <c r="K331">
        <v>499979.28</v>
      </c>
      <c r="L331" t="s">
        <v>5774</v>
      </c>
      <c r="M331">
        <v>7</v>
      </c>
    </row>
    <row r="332" spans="1:13" x14ac:dyDescent="0.25">
      <c r="A332">
        <v>331</v>
      </c>
      <c r="B332" t="s">
        <v>343</v>
      </c>
      <c r="C332">
        <v>75</v>
      </c>
      <c r="D332" t="s">
        <v>2948</v>
      </c>
      <c r="E332" t="s">
        <v>2951</v>
      </c>
      <c r="F332" t="s">
        <v>3269</v>
      </c>
      <c r="G332" s="2">
        <v>45875</v>
      </c>
      <c r="H332" s="2">
        <v>45890</v>
      </c>
      <c r="I332" t="s">
        <v>5759</v>
      </c>
      <c r="J332" t="s">
        <v>5770</v>
      </c>
      <c r="K332">
        <v>297193.84000000003</v>
      </c>
      <c r="L332" t="s">
        <v>5774</v>
      </c>
      <c r="M332">
        <v>15</v>
      </c>
    </row>
    <row r="333" spans="1:13" x14ac:dyDescent="0.25">
      <c r="A333">
        <v>332</v>
      </c>
      <c r="B333" t="s">
        <v>344</v>
      </c>
      <c r="C333">
        <v>31</v>
      </c>
      <c r="D333" t="s">
        <v>2948</v>
      </c>
      <c r="E333" t="s">
        <v>2952</v>
      </c>
      <c r="F333" t="s">
        <v>3270</v>
      </c>
      <c r="G333" s="2">
        <v>45775</v>
      </c>
      <c r="H333" s="2">
        <v>45778</v>
      </c>
      <c r="I333" t="s">
        <v>5761</v>
      </c>
      <c r="J333" t="s">
        <v>5771</v>
      </c>
      <c r="K333">
        <v>71696.14</v>
      </c>
      <c r="L333" t="s">
        <v>5775</v>
      </c>
      <c r="M333">
        <v>3</v>
      </c>
    </row>
    <row r="334" spans="1:13" x14ac:dyDescent="0.25">
      <c r="A334">
        <v>333</v>
      </c>
      <c r="B334" t="s">
        <v>345</v>
      </c>
      <c r="C334">
        <v>64</v>
      </c>
      <c r="D334" t="s">
        <v>2948</v>
      </c>
      <c r="E334" t="s">
        <v>2951</v>
      </c>
      <c r="F334" t="s">
        <v>3271</v>
      </c>
      <c r="G334" s="2">
        <v>45805</v>
      </c>
      <c r="H334" s="2">
        <v>45816</v>
      </c>
      <c r="I334" t="s">
        <v>5767</v>
      </c>
      <c r="J334" t="s">
        <v>5772</v>
      </c>
      <c r="K334">
        <v>180142.15</v>
      </c>
      <c r="L334" t="s">
        <v>5774</v>
      </c>
      <c r="M334">
        <v>11</v>
      </c>
    </row>
    <row r="335" spans="1:13" x14ac:dyDescent="0.25">
      <c r="A335">
        <v>334</v>
      </c>
      <c r="B335" t="s">
        <v>346</v>
      </c>
      <c r="C335">
        <v>36</v>
      </c>
      <c r="D335" t="s">
        <v>2948</v>
      </c>
      <c r="E335" t="s">
        <v>2950</v>
      </c>
      <c r="F335" t="s">
        <v>3272</v>
      </c>
      <c r="G335" s="2">
        <v>45555</v>
      </c>
      <c r="H335" s="2">
        <v>45568</v>
      </c>
      <c r="I335" t="s">
        <v>5763</v>
      </c>
      <c r="J335" t="s">
        <v>5769</v>
      </c>
      <c r="K335">
        <v>393176.87</v>
      </c>
      <c r="L335" t="s">
        <v>5774</v>
      </c>
      <c r="M335">
        <v>13</v>
      </c>
    </row>
    <row r="336" spans="1:13" x14ac:dyDescent="0.25">
      <c r="A336">
        <v>335</v>
      </c>
      <c r="B336" t="s">
        <v>347</v>
      </c>
      <c r="C336">
        <v>90</v>
      </c>
      <c r="D336" t="s">
        <v>2947</v>
      </c>
      <c r="E336" t="s">
        <v>2952</v>
      </c>
      <c r="F336" t="s">
        <v>3273</v>
      </c>
      <c r="G336" s="2">
        <v>45723</v>
      </c>
      <c r="H336" s="2">
        <v>45729</v>
      </c>
      <c r="I336" t="s">
        <v>5759</v>
      </c>
      <c r="J336" t="s">
        <v>5771</v>
      </c>
      <c r="K336">
        <v>234795.14</v>
      </c>
      <c r="L336" t="s">
        <v>5775</v>
      </c>
      <c r="M336">
        <v>6</v>
      </c>
    </row>
    <row r="337" spans="1:13" x14ac:dyDescent="0.25">
      <c r="A337">
        <v>336</v>
      </c>
      <c r="B337" t="s">
        <v>348</v>
      </c>
      <c r="C337">
        <v>76</v>
      </c>
      <c r="D337" t="s">
        <v>2947</v>
      </c>
      <c r="E337" t="s">
        <v>2951</v>
      </c>
      <c r="F337" t="s">
        <v>3274</v>
      </c>
      <c r="G337" s="2">
        <v>45586</v>
      </c>
      <c r="H337" s="2">
        <v>45589</v>
      </c>
      <c r="I337" t="s">
        <v>5759</v>
      </c>
      <c r="J337" t="s">
        <v>5768</v>
      </c>
      <c r="K337">
        <v>233183.76</v>
      </c>
      <c r="L337" t="s">
        <v>5773</v>
      </c>
      <c r="M337">
        <v>3</v>
      </c>
    </row>
    <row r="338" spans="1:13" x14ac:dyDescent="0.25">
      <c r="A338">
        <v>337</v>
      </c>
      <c r="B338" t="s">
        <v>349</v>
      </c>
      <c r="C338">
        <v>26</v>
      </c>
      <c r="D338" t="s">
        <v>2947</v>
      </c>
      <c r="E338" t="s">
        <v>2953</v>
      </c>
      <c r="F338" t="s">
        <v>3275</v>
      </c>
      <c r="G338" s="2">
        <v>45817</v>
      </c>
      <c r="H338" s="2">
        <v>45832</v>
      </c>
      <c r="I338" t="s">
        <v>5765</v>
      </c>
      <c r="J338" t="s">
        <v>5769</v>
      </c>
      <c r="K338">
        <v>167170.47</v>
      </c>
      <c r="L338" t="s">
        <v>5775</v>
      </c>
      <c r="M338">
        <v>15</v>
      </c>
    </row>
    <row r="339" spans="1:13" x14ac:dyDescent="0.25">
      <c r="A339">
        <v>338</v>
      </c>
      <c r="B339" t="s">
        <v>350</v>
      </c>
      <c r="C339">
        <v>51</v>
      </c>
      <c r="D339" t="s">
        <v>2948</v>
      </c>
      <c r="E339" t="s">
        <v>2955</v>
      </c>
      <c r="F339" t="s">
        <v>3276</v>
      </c>
      <c r="G339" s="2">
        <v>45849</v>
      </c>
      <c r="H339" s="2">
        <v>45857</v>
      </c>
      <c r="I339" t="s">
        <v>5759</v>
      </c>
      <c r="J339" t="s">
        <v>5771</v>
      </c>
      <c r="K339">
        <v>299917.15000000002</v>
      </c>
      <c r="L339" t="s">
        <v>5775</v>
      </c>
      <c r="M339">
        <v>8</v>
      </c>
    </row>
    <row r="340" spans="1:13" x14ac:dyDescent="0.25">
      <c r="A340">
        <v>339</v>
      </c>
      <c r="B340" t="s">
        <v>351</v>
      </c>
      <c r="C340">
        <v>44</v>
      </c>
      <c r="D340" t="s">
        <v>2948</v>
      </c>
      <c r="E340" t="s">
        <v>2953</v>
      </c>
      <c r="F340" t="s">
        <v>3277</v>
      </c>
      <c r="G340" s="2">
        <v>45624</v>
      </c>
      <c r="H340" s="2">
        <v>45629</v>
      </c>
      <c r="I340" t="s">
        <v>5759</v>
      </c>
      <c r="J340" t="s">
        <v>5771</v>
      </c>
      <c r="K340">
        <v>480593.75</v>
      </c>
      <c r="L340" t="s">
        <v>5774</v>
      </c>
      <c r="M340">
        <v>5</v>
      </c>
    </row>
    <row r="341" spans="1:13" x14ac:dyDescent="0.25">
      <c r="A341">
        <v>340</v>
      </c>
      <c r="B341" t="s">
        <v>352</v>
      </c>
      <c r="C341">
        <v>39</v>
      </c>
      <c r="D341" t="s">
        <v>2947</v>
      </c>
      <c r="E341" t="s">
        <v>2949</v>
      </c>
      <c r="F341" t="s">
        <v>3278</v>
      </c>
      <c r="G341" s="2">
        <v>45636</v>
      </c>
      <c r="H341" s="2">
        <v>45648</v>
      </c>
      <c r="I341" t="s">
        <v>5767</v>
      </c>
      <c r="J341" t="s">
        <v>5768</v>
      </c>
      <c r="K341">
        <v>318977.13</v>
      </c>
      <c r="L341" t="s">
        <v>5775</v>
      </c>
      <c r="M341">
        <v>12</v>
      </c>
    </row>
    <row r="342" spans="1:13" x14ac:dyDescent="0.25">
      <c r="A342">
        <v>341</v>
      </c>
      <c r="B342" t="s">
        <v>353</v>
      </c>
      <c r="C342">
        <v>51</v>
      </c>
      <c r="D342" t="s">
        <v>2947</v>
      </c>
      <c r="E342" t="s">
        <v>2951</v>
      </c>
      <c r="F342" t="s">
        <v>3279</v>
      </c>
      <c r="G342" s="2">
        <v>45700</v>
      </c>
      <c r="H342" s="2">
        <v>45708</v>
      </c>
      <c r="I342" t="s">
        <v>5763</v>
      </c>
      <c r="J342" t="s">
        <v>2949</v>
      </c>
      <c r="K342">
        <v>429983.05</v>
      </c>
      <c r="L342" t="s">
        <v>5774</v>
      </c>
      <c r="M342">
        <v>8</v>
      </c>
    </row>
    <row r="343" spans="1:13" x14ac:dyDescent="0.25">
      <c r="A343">
        <v>342</v>
      </c>
      <c r="B343" t="s">
        <v>354</v>
      </c>
      <c r="C343">
        <v>74</v>
      </c>
      <c r="D343" t="s">
        <v>2948</v>
      </c>
      <c r="E343" t="s">
        <v>2953</v>
      </c>
      <c r="F343" t="s">
        <v>2567</v>
      </c>
      <c r="G343" s="2">
        <v>45826</v>
      </c>
      <c r="H343" s="2">
        <v>45828</v>
      </c>
      <c r="I343" t="s">
        <v>5759</v>
      </c>
      <c r="J343" t="s">
        <v>2949</v>
      </c>
      <c r="K343">
        <v>266014.59000000003</v>
      </c>
      <c r="L343" t="s">
        <v>5775</v>
      </c>
      <c r="M343">
        <v>2</v>
      </c>
    </row>
    <row r="344" spans="1:13" x14ac:dyDescent="0.25">
      <c r="A344">
        <v>343</v>
      </c>
      <c r="B344" t="s">
        <v>355</v>
      </c>
      <c r="C344">
        <v>8</v>
      </c>
      <c r="D344" t="s">
        <v>2947</v>
      </c>
      <c r="E344" t="s">
        <v>2954</v>
      </c>
      <c r="F344" t="s">
        <v>3280</v>
      </c>
      <c r="G344" s="2">
        <v>45739</v>
      </c>
      <c r="H344" s="2">
        <v>45743</v>
      </c>
      <c r="I344" t="s">
        <v>5767</v>
      </c>
      <c r="J344" t="s">
        <v>5769</v>
      </c>
      <c r="K344">
        <v>415006.31</v>
      </c>
      <c r="L344" t="s">
        <v>5774</v>
      </c>
      <c r="M344">
        <v>4</v>
      </c>
    </row>
    <row r="345" spans="1:13" x14ac:dyDescent="0.25">
      <c r="A345">
        <v>344</v>
      </c>
      <c r="B345" t="s">
        <v>356</v>
      </c>
      <c r="C345">
        <v>30</v>
      </c>
      <c r="D345" t="s">
        <v>2948</v>
      </c>
      <c r="E345" t="s">
        <v>2955</v>
      </c>
      <c r="F345" t="s">
        <v>3281</v>
      </c>
      <c r="G345" s="2">
        <v>45809</v>
      </c>
      <c r="H345" s="2">
        <v>45821</v>
      </c>
      <c r="I345" t="s">
        <v>5760</v>
      </c>
      <c r="J345" t="s">
        <v>5768</v>
      </c>
      <c r="K345">
        <v>210278.7</v>
      </c>
      <c r="L345" t="s">
        <v>5774</v>
      </c>
      <c r="M345">
        <v>12</v>
      </c>
    </row>
    <row r="346" spans="1:13" x14ac:dyDescent="0.25">
      <c r="A346">
        <v>345</v>
      </c>
      <c r="B346" t="s">
        <v>357</v>
      </c>
      <c r="C346">
        <v>34</v>
      </c>
      <c r="D346" t="s">
        <v>2948</v>
      </c>
      <c r="E346" t="s">
        <v>2953</v>
      </c>
      <c r="F346" t="s">
        <v>3282</v>
      </c>
      <c r="G346" s="2">
        <v>45845</v>
      </c>
      <c r="H346" s="2">
        <v>45848</v>
      </c>
      <c r="I346" t="s">
        <v>5759</v>
      </c>
      <c r="J346" t="s">
        <v>5768</v>
      </c>
      <c r="K346">
        <v>412657.39</v>
      </c>
      <c r="L346" t="s">
        <v>5775</v>
      </c>
      <c r="M346">
        <v>3</v>
      </c>
    </row>
    <row r="347" spans="1:13" x14ac:dyDescent="0.25">
      <c r="A347">
        <v>346</v>
      </c>
      <c r="B347" t="s">
        <v>358</v>
      </c>
      <c r="C347">
        <v>64</v>
      </c>
      <c r="D347" t="s">
        <v>2947</v>
      </c>
      <c r="E347" t="s">
        <v>2954</v>
      </c>
      <c r="F347" t="s">
        <v>3283</v>
      </c>
      <c r="G347" s="2">
        <v>45797</v>
      </c>
      <c r="H347" s="2">
        <v>45805</v>
      </c>
      <c r="I347" t="s">
        <v>5761</v>
      </c>
      <c r="J347" t="s">
        <v>5771</v>
      </c>
      <c r="K347">
        <v>309490.18</v>
      </c>
      <c r="L347" t="s">
        <v>5774</v>
      </c>
      <c r="M347">
        <v>8</v>
      </c>
    </row>
    <row r="348" spans="1:13" x14ac:dyDescent="0.25">
      <c r="A348">
        <v>347</v>
      </c>
      <c r="B348" t="s">
        <v>359</v>
      </c>
      <c r="C348">
        <v>10</v>
      </c>
      <c r="D348" t="s">
        <v>2947</v>
      </c>
      <c r="E348" t="s">
        <v>2949</v>
      </c>
      <c r="F348" t="s">
        <v>3284</v>
      </c>
      <c r="G348" s="2">
        <v>45736</v>
      </c>
      <c r="H348" s="2">
        <v>45738</v>
      </c>
      <c r="I348" t="s">
        <v>5761</v>
      </c>
      <c r="J348" t="s">
        <v>2949</v>
      </c>
      <c r="K348">
        <v>70616.17</v>
      </c>
      <c r="L348" t="s">
        <v>5773</v>
      </c>
      <c r="M348">
        <v>2</v>
      </c>
    </row>
    <row r="349" spans="1:13" x14ac:dyDescent="0.25">
      <c r="A349">
        <v>348</v>
      </c>
      <c r="B349" t="s">
        <v>360</v>
      </c>
      <c r="C349">
        <v>8</v>
      </c>
      <c r="D349" t="s">
        <v>2948</v>
      </c>
      <c r="E349" t="s">
        <v>2949</v>
      </c>
      <c r="F349" t="s">
        <v>3285</v>
      </c>
      <c r="G349" s="2">
        <v>45908</v>
      </c>
      <c r="H349" s="2">
        <v>45922</v>
      </c>
      <c r="I349" t="s">
        <v>5762</v>
      </c>
      <c r="J349" t="s">
        <v>5769</v>
      </c>
      <c r="K349">
        <v>488170.15</v>
      </c>
      <c r="L349" t="s">
        <v>5773</v>
      </c>
      <c r="M349">
        <v>14</v>
      </c>
    </row>
    <row r="350" spans="1:13" x14ac:dyDescent="0.25">
      <c r="A350">
        <v>349</v>
      </c>
      <c r="B350" t="s">
        <v>361</v>
      </c>
      <c r="C350">
        <v>27</v>
      </c>
      <c r="D350" t="s">
        <v>2948</v>
      </c>
      <c r="E350" t="s">
        <v>2953</v>
      </c>
      <c r="F350" t="s">
        <v>3286</v>
      </c>
      <c r="G350" s="2">
        <v>45757</v>
      </c>
      <c r="H350" s="2">
        <v>45766</v>
      </c>
      <c r="I350" t="s">
        <v>5758</v>
      </c>
      <c r="J350" t="s">
        <v>5771</v>
      </c>
      <c r="K350">
        <v>158609.49</v>
      </c>
      <c r="L350" t="s">
        <v>5775</v>
      </c>
      <c r="M350">
        <v>9</v>
      </c>
    </row>
    <row r="351" spans="1:13" x14ac:dyDescent="0.25">
      <c r="A351">
        <v>350</v>
      </c>
      <c r="B351" t="s">
        <v>362</v>
      </c>
      <c r="C351">
        <v>1</v>
      </c>
      <c r="D351" t="s">
        <v>2947</v>
      </c>
      <c r="E351" t="s">
        <v>2953</v>
      </c>
      <c r="F351" t="s">
        <v>3287</v>
      </c>
      <c r="G351" s="2">
        <v>45600</v>
      </c>
      <c r="H351" s="2">
        <v>45606</v>
      </c>
      <c r="I351" t="s">
        <v>5759</v>
      </c>
      <c r="J351" t="s">
        <v>2949</v>
      </c>
      <c r="K351">
        <v>195271.09</v>
      </c>
      <c r="L351" t="s">
        <v>5775</v>
      </c>
      <c r="M351">
        <v>6</v>
      </c>
    </row>
    <row r="352" spans="1:13" x14ac:dyDescent="0.25">
      <c r="A352">
        <v>351</v>
      </c>
      <c r="B352" t="s">
        <v>363</v>
      </c>
      <c r="C352">
        <v>33</v>
      </c>
      <c r="D352" t="s">
        <v>2948</v>
      </c>
      <c r="E352" t="s">
        <v>2952</v>
      </c>
      <c r="F352" t="s">
        <v>3288</v>
      </c>
      <c r="G352" s="2">
        <v>45803</v>
      </c>
      <c r="H352" s="2">
        <v>45814</v>
      </c>
      <c r="I352" t="s">
        <v>5763</v>
      </c>
      <c r="J352" t="s">
        <v>2949</v>
      </c>
      <c r="K352">
        <v>486152.4</v>
      </c>
      <c r="L352" t="s">
        <v>5774</v>
      </c>
      <c r="M352">
        <v>11</v>
      </c>
    </row>
    <row r="353" spans="1:13" x14ac:dyDescent="0.25">
      <c r="A353">
        <v>352</v>
      </c>
      <c r="B353" t="s">
        <v>364</v>
      </c>
      <c r="C353">
        <v>57</v>
      </c>
      <c r="D353" t="s">
        <v>2948</v>
      </c>
      <c r="E353" t="s">
        <v>2949</v>
      </c>
      <c r="F353" t="s">
        <v>3289</v>
      </c>
      <c r="G353" s="2">
        <v>45593</v>
      </c>
      <c r="H353" s="2">
        <v>45599</v>
      </c>
      <c r="I353" t="s">
        <v>5763</v>
      </c>
      <c r="J353" t="s">
        <v>5770</v>
      </c>
      <c r="K353">
        <v>63425.06</v>
      </c>
      <c r="L353" t="s">
        <v>5775</v>
      </c>
      <c r="M353">
        <v>6</v>
      </c>
    </row>
    <row r="354" spans="1:13" x14ac:dyDescent="0.25">
      <c r="A354">
        <v>353</v>
      </c>
      <c r="B354" t="s">
        <v>365</v>
      </c>
      <c r="C354">
        <v>71</v>
      </c>
      <c r="D354" t="s">
        <v>2948</v>
      </c>
      <c r="E354" t="s">
        <v>2949</v>
      </c>
      <c r="F354" t="s">
        <v>3290</v>
      </c>
      <c r="G354" s="2">
        <v>45897</v>
      </c>
      <c r="H354" s="2">
        <v>45909</v>
      </c>
      <c r="I354" t="s">
        <v>5766</v>
      </c>
      <c r="J354" t="s">
        <v>5770</v>
      </c>
      <c r="K354">
        <v>184287.98</v>
      </c>
      <c r="L354" t="s">
        <v>5774</v>
      </c>
      <c r="M354">
        <v>12</v>
      </c>
    </row>
    <row r="355" spans="1:13" x14ac:dyDescent="0.25">
      <c r="A355">
        <v>354</v>
      </c>
      <c r="B355" t="s">
        <v>366</v>
      </c>
      <c r="C355">
        <v>65</v>
      </c>
      <c r="D355" t="s">
        <v>2947</v>
      </c>
      <c r="E355" t="s">
        <v>2955</v>
      </c>
      <c r="F355" t="s">
        <v>3291</v>
      </c>
      <c r="G355" s="2">
        <v>45821</v>
      </c>
      <c r="H355" s="2">
        <v>45823</v>
      </c>
      <c r="I355" t="s">
        <v>5760</v>
      </c>
      <c r="J355" t="s">
        <v>5771</v>
      </c>
      <c r="K355">
        <v>350778.51</v>
      </c>
      <c r="L355" t="s">
        <v>5775</v>
      </c>
      <c r="M355">
        <v>2</v>
      </c>
    </row>
    <row r="356" spans="1:13" x14ac:dyDescent="0.25">
      <c r="A356">
        <v>355</v>
      </c>
      <c r="B356" t="s">
        <v>367</v>
      </c>
      <c r="C356">
        <v>90</v>
      </c>
      <c r="D356" t="s">
        <v>2948</v>
      </c>
      <c r="E356" t="s">
        <v>2954</v>
      </c>
      <c r="F356" t="s">
        <v>3292</v>
      </c>
      <c r="G356" s="2">
        <v>45709</v>
      </c>
      <c r="H356" s="2">
        <v>45716</v>
      </c>
      <c r="I356" t="s">
        <v>5762</v>
      </c>
      <c r="J356" t="s">
        <v>2949</v>
      </c>
      <c r="K356">
        <v>145829.29999999999</v>
      </c>
      <c r="L356" t="s">
        <v>5773</v>
      </c>
      <c r="M356">
        <v>7</v>
      </c>
    </row>
    <row r="357" spans="1:13" x14ac:dyDescent="0.25">
      <c r="A357">
        <v>356</v>
      </c>
      <c r="B357" t="s">
        <v>368</v>
      </c>
      <c r="C357">
        <v>36</v>
      </c>
      <c r="D357" t="s">
        <v>2948</v>
      </c>
      <c r="E357" t="s">
        <v>2955</v>
      </c>
      <c r="F357" t="s">
        <v>3293</v>
      </c>
      <c r="G357" s="2">
        <v>45891</v>
      </c>
      <c r="H357" s="2">
        <v>45895</v>
      </c>
      <c r="I357" t="s">
        <v>5761</v>
      </c>
      <c r="J357" t="s">
        <v>5770</v>
      </c>
      <c r="K357">
        <v>54764.12</v>
      </c>
      <c r="L357" t="s">
        <v>5774</v>
      </c>
      <c r="M357">
        <v>4</v>
      </c>
    </row>
    <row r="358" spans="1:13" x14ac:dyDescent="0.25">
      <c r="A358">
        <v>357</v>
      </c>
      <c r="B358" t="s">
        <v>369</v>
      </c>
      <c r="C358">
        <v>15</v>
      </c>
      <c r="D358" t="s">
        <v>2947</v>
      </c>
      <c r="E358" t="s">
        <v>2950</v>
      </c>
      <c r="F358" t="s">
        <v>3294</v>
      </c>
      <c r="G358" s="2">
        <v>45710</v>
      </c>
      <c r="H358" s="2">
        <v>45718</v>
      </c>
      <c r="I358" t="s">
        <v>5759</v>
      </c>
      <c r="J358" t="s">
        <v>5769</v>
      </c>
      <c r="K358">
        <v>30259.19</v>
      </c>
      <c r="L358" t="s">
        <v>5775</v>
      </c>
      <c r="M358">
        <v>8</v>
      </c>
    </row>
    <row r="359" spans="1:13" x14ac:dyDescent="0.25">
      <c r="A359">
        <v>358</v>
      </c>
      <c r="B359" t="s">
        <v>370</v>
      </c>
      <c r="C359">
        <v>74</v>
      </c>
      <c r="D359" t="s">
        <v>2948</v>
      </c>
      <c r="E359" t="s">
        <v>2949</v>
      </c>
      <c r="F359" t="s">
        <v>3295</v>
      </c>
      <c r="G359" s="2">
        <v>45883</v>
      </c>
      <c r="H359" s="2">
        <v>45888</v>
      </c>
      <c r="I359" t="s">
        <v>5765</v>
      </c>
      <c r="J359" t="s">
        <v>5768</v>
      </c>
      <c r="K359">
        <v>293485.24</v>
      </c>
      <c r="L359" t="s">
        <v>5773</v>
      </c>
      <c r="M359">
        <v>5</v>
      </c>
    </row>
    <row r="360" spans="1:13" x14ac:dyDescent="0.25">
      <c r="A360">
        <v>359</v>
      </c>
      <c r="B360" t="s">
        <v>371</v>
      </c>
      <c r="C360">
        <v>78</v>
      </c>
      <c r="D360" t="s">
        <v>2947</v>
      </c>
      <c r="E360" t="s">
        <v>2954</v>
      </c>
      <c r="F360" t="s">
        <v>3296</v>
      </c>
      <c r="G360" s="2">
        <v>45854</v>
      </c>
      <c r="H360" s="2">
        <v>45857</v>
      </c>
      <c r="I360" t="s">
        <v>5764</v>
      </c>
      <c r="J360" t="s">
        <v>5770</v>
      </c>
      <c r="K360">
        <v>463356.39</v>
      </c>
      <c r="L360" t="s">
        <v>5773</v>
      </c>
      <c r="M360">
        <v>3</v>
      </c>
    </row>
    <row r="361" spans="1:13" x14ac:dyDescent="0.25">
      <c r="A361">
        <v>360</v>
      </c>
      <c r="B361" t="s">
        <v>372</v>
      </c>
      <c r="C361">
        <v>59</v>
      </c>
      <c r="D361" t="s">
        <v>2948</v>
      </c>
      <c r="E361" t="s">
        <v>2953</v>
      </c>
      <c r="F361" t="s">
        <v>3297</v>
      </c>
      <c r="G361" s="2">
        <v>45586</v>
      </c>
      <c r="H361" s="2">
        <v>45590</v>
      </c>
      <c r="I361" t="s">
        <v>5765</v>
      </c>
      <c r="J361" t="s">
        <v>5769</v>
      </c>
      <c r="K361">
        <v>462882.72</v>
      </c>
      <c r="L361" t="s">
        <v>5774</v>
      </c>
      <c r="M361">
        <v>4</v>
      </c>
    </row>
    <row r="362" spans="1:13" x14ac:dyDescent="0.25">
      <c r="A362">
        <v>361</v>
      </c>
      <c r="B362" t="s">
        <v>373</v>
      </c>
      <c r="C362">
        <v>88</v>
      </c>
      <c r="D362" t="s">
        <v>2947</v>
      </c>
      <c r="E362" t="s">
        <v>2951</v>
      </c>
      <c r="F362" t="s">
        <v>3298</v>
      </c>
      <c r="G362" s="2">
        <v>45712</v>
      </c>
      <c r="H362" s="2">
        <v>45724</v>
      </c>
      <c r="I362" t="s">
        <v>5764</v>
      </c>
      <c r="J362" t="s">
        <v>5768</v>
      </c>
      <c r="K362">
        <v>252942.26</v>
      </c>
      <c r="L362" t="s">
        <v>5775</v>
      </c>
      <c r="M362">
        <v>12</v>
      </c>
    </row>
    <row r="363" spans="1:13" x14ac:dyDescent="0.25">
      <c r="A363">
        <v>362</v>
      </c>
      <c r="B363" t="s">
        <v>374</v>
      </c>
      <c r="C363">
        <v>33</v>
      </c>
      <c r="D363" t="s">
        <v>2948</v>
      </c>
      <c r="E363" t="s">
        <v>2951</v>
      </c>
      <c r="F363" t="s">
        <v>3299</v>
      </c>
      <c r="G363" s="2">
        <v>45755</v>
      </c>
      <c r="H363" s="2">
        <v>45765</v>
      </c>
      <c r="I363" t="s">
        <v>5760</v>
      </c>
      <c r="J363" t="s">
        <v>5768</v>
      </c>
      <c r="K363">
        <v>95194.76</v>
      </c>
      <c r="L363" t="s">
        <v>5774</v>
      </c>
      <c r="M363">
        <v>10</v>
      </c>
    </row>
    <row r="364" spans="1:13" x14ac:dyDescent="0.25">
      <c r="A364">
        <v>363</v>
      </c>
      <c r="B364" t="s">
        <v>375</v>
      </c>
      <c r="C364">
        <v>43</v>
      </c>
      <c r="D364" t="s">
        <v>2947</v>
      </c>
      <c r="E364" t="s">
        <v>2954</v>
      </c>
      <c r="F364" t="s">
        <v>3300</v>
      </c>
      <c r="G364" s="2">
        <v>45610</v>
      </c>
      <c r="H364" s="2">
        <v>45612</v>
      </c>
      <c r="I364" t="s">
        <v>5765</v>
      </c>
      <c r="J364" t="s">
        <v>2949</v>
      </c>
      <c r="K364">
        <v>379439.86</v>
      </c>
      <c r="L364" t="s">
        <v>5775</v>
      </c>
      <c r="M364">
        <v>2</v>
      </c>
    </row>
    <row r="365" spans="1:13" x14ac:dyDescent="0.25">
      <c r="A365">
        <v>364</v>
      </c>
      <c r="B365" t="s">
        <v>376</v>
      </c>
      <c r="C365">
        <v>60</v>
      </c>
      <c r="D365" t="s">
        <v>2948</v>
      </c>
      <c r="E365" t="s">
        <v>2949</v>
      </c>
      <c r="F365" t="s">
        <v>3301</v>
      </c>
      <c r="G365" s="2">
        <v>45704</v>
      </c>
      <c r="H365" s="2">
        <v>45718</v>
      </c>
      <c r="I365" t="s">
        <v>5764</v>
      </c>
      <c r="J365" t="s">
        <v>5772</v>
      </c>
      <c r="K365">
        <v>107985.88</v>
      </c>
      <c r="L365" t="s">
        <v>5773</v>
      </c>
      <c r="M365">
        <v>14</v>
      </c>
    </row>
    <row r="366" spans="1:13" x14ac:dyDescent="0.25">
      <c r="A366">
        <v>365</v>
      </c>
      <c r="B366" t="s">
        <v>377</v>
      </c>
      <c r="C366">
        <v>13</v>
      </c>
      <c r="D366" t="s">
        <v>2947</v>
      </c>
      <c r="E366" t="s">
        <v>2951</v>
      </c>
      <c r="F366" t="s">
        <v>3302</v>
      </c>
      <c r="G366" s="2">
        <v>45601</v>
      </c>
      <c r="H366" s="2">
        <v>45604</v>
      </c>
      <c r="I366" t="s">
        <v>5762</v>
      </c>
      <c r="J366" t="s">
        <v>2949</v>
      </c>
      <c r="K366">
        <v>11871.68</v>
      </c>
      <c r="L366" t="s">
        <v>5775</v>
      </c>
      <c r="M366">
        <v>3</v>
      </c>
    </row>
    <row r="367" spans="1:13" x14ac:dyDescent="0.25">
      <c r="A367">
        <v>366</v>
      </c>
      <c r="B367" t="s">
        <v>378</v>
      </c>
      <c r="C367">
        <v>71</v>
      </c>
      <c r="D367" t="s">
        <v>2948</v>
      </c>
      <c r="E367" t="s">
        <v>2951</v>
      </c>
      <c r="F367" t="s">
        <v>3303</v>
      </c>
      <c r="G367" s="2">
        <v>45750</v>
      </c>
      <c r="H367" s="2">
        <v>45754</v>
      </c>
      <c r="I367" t="s">
        <v>5763</v>
      </c>
      <c r="J367" t="s">
        <v>5768</v>
      </c>
      <c r="K367">
        <v>125503.5</v>
      </c>
      <c r="L367" t="s">
        <v>5774</v>
      </c>
      <c r="M367">
        <v>4</v>
      </c>
    </row>
    <row r="368" spans="1:13" x14ac:dyDescent="0.25">
      <c r="A368">
        <v>367</v>
      </c>
      <c r="B368" t="s">
        <v>379</v>
      </c>
      <c r="C368">
        <v>66</v>
      </c>
      <c r="D368" t="s">
        <v>2948</v>
      </c>
      <c r="E368" t="s">
        <v>2951</v>
      </c>
      <c r="F368" t="s">
        <v>3304</v>
      </c>
      <c r="G368" s="2">
        <v>45549</v>
      </c>
      <c r="H368" s="2">
        <v>45560</v>
      </c>
      <c r="I368" t="s">
        <v>5763</v>
      </c>
      <c r="J368" t="s">
        <v>5768</v>
      </c>
      <c r="K368">
        <v>386288.04</v>
      </c>
      <c r="L368" t="s">
        <v>5773</v>
      </c>
      <c r="M368">
        <v>11</v>
      </c>
    </row>
    <row r="369" spans="1:13" x14ac:dyDescent="0.25">
      <c r="A369">
        <v>368</v>
      </c>
      <c r="B369" t="s">
        <v>380</v>
      </c>
      <c r="C369">
        <v>66</v>
      </c>
      <c r="D369" t="s">
        <v>2947</v>
      </c>
      <c r="E369" t="s">
        <v>2950</v>
      </c>
      <c r="F369" t="s">
        <v>3305</v>
      </c>
      <c r="G369" s="2">
        <v>45886</v>
      </c>
      <c r="H369" s="2">
        <v>45896</v>
      </c>
      <c r="I369" t="s">
        <v>5763</v>
      </c>
      <c r="J369" t="s">
        <v>5768</v>
      </c>
      <c r="K369">
        <v>301131.65999999997</v>
      </c>
      <c r="L369" t="s">
        <v>5774</v>
      </c>
      <c r="M369">
        <v>10</v>
      </c>
    </row>
    <row r="370" spans="1:13" x14ac:dyDescent="0.25">
      <c r="A370">
        <v>369</v>
      </c>
      <c r="B370" t="s">
        <v>381</v>
      </c>
      <c r="C370">
        <v>71</v>
      </c>
      <c r="D370" t="s">
        <v>2947</v>
      </c>
      <c r="E370" t="s">
        <v>2951</v>
      </c>
      <c r="F370" t="s">
        <v>3306</v>
      </c>
      <c r="G370" s="2">
        <v>45800</v>
      </c>
      <c r="H370" s="2">
        <v>45803</v>
      </c>
      <c r="I370" t="s">
        <v>5759</v>
      </c>
      <c r="J370" t="s">
        <v>5769</v>
      </c>
      <c r="K370">
        <v>240861.71</v>
      </c>
      <c r="L370" t="s">
        <v>5773</v>
      </c>
      <c r="M370">
        <v>3</v>
      </c>
    </row>
    <row r="371" spans="1:13" x14ac:dyDescent="0.25">
      <c r="A371">
        <v>370</v>
      </c>
      <c r="B371" t="s">
        <v>382</v>
      </c>
      <c r="C371">
        <v>11</v>
      </c>
      <c r="D371" t="s">
        <v>2948</v>
      </c>
      <c r="E371" t="s">
        <v>2950</v>
      </c>
      <c r="F371" t="s">
        <v>3307</v>
      </c>
      <c r="G371" s="2">
        <v>45744</v>
      </c>
      <c r="H371" s="2">
        <v>45754</v>
      </c>
      <c r="I371" t="s">
        <v>5763</v>
      </c>
      <c r="J371" t="s">
        <v>5770</v>
      </c>
      <c r="K371">
        <v>437149.09</v>
      </c>
      <c r="L371" t="s">
        <v>5773</v>
      </c>
      <c r="M371">
        <v>10</v>
      </c>
    </row>
    <row r="372" spans="1:13" x14ac:dyDescent="0.25">
      <c r="A372">
        <v>371</v>
      </c>
      <c r="B372" t="s">
        <v>383</v>
      </c>
      <c r="C372">
        <v>57</v>
      </c>
      <c r="D372" t="s">
        <v>2947</v>
      </c>
      <c r="E372" t="s">
        <v>2953</v>
      </c>
      <c r="F372" t="s">
        <v>3308</v>
      </c>
      <c r="G372" s="2">
        <v>45878</v>
      </c>
      <c r="H372" s="2">
        <v>45880</v>
      </c>
      <c r="I372" t="s">
        <v>5763</v>
      </c>
      <c r="J372" t="s">
        <v>2949</v>
      </c>
      <c r="K372">
        <v>464317.64</v>
      </c>
      <c r="L372" t="s">
        <v>5773</v>
      </c>
      <c r="M372">
        <v>2</v>
      </c>
    </row>
    <row r="373" spans="1:13" x14ac:dyDescent="0.25">
      <c r="A373">
        <v>372</v>
      </c>
      <c r="B373" t="s">
        <v>384</v>
      </c>
      <c r="C373">
        <v>3</v>
      </c>
      <c r="D373" t="s">
        <v>2947</v>
      </c>
      <c r="E373" t="s">
        <v>2955</v>
      </c>
      <c r="F373" t="s">
        <v>3258</v>
      </c>
      <c r="G373" s="2">
        <v>45876</v>
      </c>
      <c r="H373" s="2">
        <v>45889</v>
      </c>
      <c r="I373" t="s">
        <v>5760</v>
      </c>
      <c r="J373" t="s">
        <v>5769</v>
      </c>
      <c r="K373">
        <v>151188.74</v>
      </c>
      <c r="L373" t="s">
        <v>5773</v>
      </c>
      <c r="M373">
        <v>13</v>
      </c>
    </row>
    <row r="374" spans="1:13" x14ac:dyDescent="0.25">
      <c r="A374">
        <v>373</v>
      </c>
      <c r="B374" t="s">
        <v>385</v>
      </c>
      <c r="C374">
        <v>79</v>
      </c>
      <c r="D374" t="s">
        <v>2947</v>
      </c>
      <c r="E374" t="s">
        <v>2952</v>
      </c>
      <c r="F374" t="s">
        <v>3309</v>
      </c>
      <c r="G374" s="2">
        <v>45707</v>
      </c>
      <c r="H374" s="2">
        <v>45708</v>
      </c>
      <c r="I374" t="s">
        <v>5763</v>
      </c>
      <c r="J374" t="s">
        <v>5770</v>
      </c>
      <c r="K374">
        <v>142314.56</v>
      </c>
      <c r="L374" t="s">
        <v>5773</v>
      </c>
      <c r="M374">
        <v>1</v>
      </c>
    </row>
    <row r="375" spans="1:13" x14ac:dyDescent="0.25">
      <c r="A375">
        <v>374</v>
      </c>
      <c r="B375" t="s">
        <v>386</v>
      </c>
      <c r="C375">
        <v>24</v>
      </c>
      <c r="D375" t="s">
        <v>2947</v>
      </c>
      <c r="E375" t="s">
        <v>2954</v>
      </c>
      <c r="F375" t="s">
        <v>3310</v>
      </c>
      <c r="G375" s="2">
        <v>45808</v>
      </c>
      <c r="H375" s="2">
        <v>45813</v>
      </c>
      <c r="I375" t="s">
        <v>5758</v>
      </c>
      <c r="J375" t="s">
        <v>5770</v>
      </c>
      <c r="K375">
        <v>311541.59999999998</v>
      </c>
      <c r="L375" t="s">
        <v>5773</v>
      </c>
      <c r="M375">
        <v>5</v>
      </c>
    </row>
    <row r="376" spans="1:13" x14ac:dyDescent="0.25">
      <c r="A376">
        <v>375</v>
      </c>
      <c r="B376" t="s">
        <v>387</v>
      </c>
      <c r="C376">
        <v>39</v>
      </c>
      <c r="D376" t="s">
        <v>2948</v>
      </c>
      <c r="E376" t="s">
        <v>2952</v>
      </c>
      <c r="F376" t="s">
        <v>3311</v>
      </c>
      <c r="G376" s="2">
        <v>45809</v>
      </c>
      <c r="H376" s="2">
        <v>45824</v>
      </c>
      <c r="I376" t="s">
        <v>5765</v>
      </c>
      <c r="J376" t="s">
        <v>5768</v>
      </c>
      <c r="K376">
        <v>332307.52</v>
      </c>
      <c r="L376" t="s">
        <v>5775</v>
      </c>
      <c r="M376">
        <v>15</v>
      </c>
    </row>
    <row r="377" spans="1:13" x14ac:dyDescent="0.25">
      <c r="A377">
        <v>376</v>
      </c>
      <c r="B377" t="s">
        <v>388</v>
      </c>
      <c r="C377">
        <v>70</v>
      </c>
      <c r="D377" t="s">
        <v>2947</v>
      </c>
      <c r="E377" t="s">
        <v>2953</v>
      </c>
      <c r="F377" t="s">
        <v>3312</v>
      </c>
      <c r="G377" s="2">
        <v>45857</v>
      </c>
      <c r="H377" s="2">
        <v>45861</v>
      </c>
      <c r="I377" t="s">
        <v>5758</v>
      </c>
      <c r="J377" t="s">
        <v>5769</v>
      </c>
      <c r="K377">
        <v>27573.71</v>
      </c>
      <c r="L377" t="s">
        <v>5774</v>
      </c>
      <c r="M377">
        <v>4</v>
      </c>
    </row>
    <row r="378" spans="1:13" x14ac:dyDescent="0.25">
      <c r="A378">
        <v>377</v>
      </c>
      <c r="B378" t="s">
        <v>389</v>
      </c>
      <c r="C378">
        <v>80</v>
      </c>
      <c r="D378" t="s">
        <v>2948</v>
      </c>
      <c r="E378" t="s">
        <v>2955</v>
      </c>
      <c r="F378" t="s">
        <v>3313</v>
      </c>
      <c r="G378" s="2">
        <v>45746</v>
      </c>
      <c r="H378" s="2">
        <v>45757</v>
      </c>
      <c r="I378" t="s">
        <v>5762</v>
      </c>
      <c r="J378" t="s">
        <v>5772</v>
      </c>
      <c r="K378">
        <v>194742.07</v>
      </c>
      <c r="L378" t="s">
        <v>5775</v>
      </c>
      <c r="M378">
        <v>11</v>
      </c>
    </row>
    <row r="379" spans="1:13" x14ac:dyDescent="0.25">
      <c r="A379">
        <v>378</v>
      </c>
      <c r="B379" t="s">
        <v>390</v>
      </c>
      <c r="C379">
        <v>69</v>
      </c>
      <c r="D379" t="s">
        <v>2947</v>
      </c>
      <c r="E379" t="s">
        <v>2952</v>
      </c>
      <c r="F379" t="s">
        <v>3314</v>
      </c>
      <c r="G379" s="2">
        <v>45696</v>
      </c>
      <c r="H379" s="2">
        <v>45697</v>
      </c>
      <c r="I379" t="s">
        <v>5764</v>
      </c>
      <c r="J379" t="s">
        <v>5772</v>
      </c>
      <c r="K379">
        <v>109084.62</v>
      </c>
      <c r="L379" t="s">
        <v>5775</v>
      </c>
      <c r="M379">
        <v>1</v>
      </c>
    </row>
    <row r="380" spans="1:13" x14ac:dyDescent="0.25">
      <c r="A380">
        <v>379</v>
      </c>
      <c r="B380" t="s">
        <v>391</v>
      </c>
      <c r="C380">
        <v>8</v>
      </c>
      <c r="D380" t="s">
        <v>2948</v>
      </c>
      <c r="E380" t="s">
        <v>2951</v>
      </c>
      <c r="F380" t="s">
        <v>3315</v>
      </c>
      <c r="G380" s="2">
        <v>45584</v>
      </c>
      <c r="H380" s="2">
        <v>45586</v>
      </c>
      <c r="I380" t="s">
        <v>5766</v>
      </c>
      <c r="J380" t="s">
        <v>5770</v>
      </c>
      <c r="K380">
        <v>41048.639999999999</v>
      </c>
      <c r="L380" t="s">
        <v>5774</v>
      </c>
      <c r="M380">
        <v>2</v>
      </c>
    </row>
    <row r="381" spans="1:13" x14ac:dyDescent="0.25">
      <c r="A381">
        <v>380</v>
      </c>
      <c r="B381" t="s">
        <v>392</v>
      </c>
      <c r="C381">
        <v>79</v>
      </c>
      <c r="D381" t="s">
        <v>2947</v>
      </c>
      <c r="E381" t="s">
        <v>2955</v>
      </c>
      <c r="F381" t="s">
        <v>3316</v>
      </c>
      <c r="G381" s="2">
        <v>45866</v>
      </c>
      <c r="H381" s="2">
        <v>45873</v>
      </c>
      <c r="I381" t="s">
        <v>5758</v>
      </c>
      <c r="J381" t="s">
        <v>2949</v>
      </c>
      <c r="K381">
        <v>82420.58</v>
      </c>
      <c r="L381" t="s">
        <v>5774</v>
      </c>
      <c r="M381">
        <v>7</v>
      </c>
    </row>
    <row r="382" spans="1:13" x14ac:dyDescent="0.25">
      <c r="A382">
        <v>381</v>
      </c>
      <c r="B382" t="s">
        <v>393</v>
      </c>
      <c r="C382">
        <v>55</v>
      </c>
      <c r="D382" t="s">
        <v>2948</v>
      </c>
      <c r="E382" t="s">
        <v>2952</v>
      </c>
      <c r="F382" t="s">
        <v>973</v>
      </c>
      <c r="G382" s="2">
        <v>45837</v>
      </c>
      <c r="H382" s="2">
        <v>45845</v>
      </c>
      <c r="I382" t="s">
        <v>5762</v>
      </c>
      <c r="J382" t="s">
        <v>5772</v>
      </c>
      <c r="K382">
        <v>311088.40000000002</v>
      </c>
      <c r="L382" t="s">
        <v>5774</v>
      </c>
      <c r="M382">
        <v>8</v>
      </c>
    </row>
    <row r="383" spans="1:13" x14ac:dyDescent="0.25">
      <c r="A383">
        <v>382</v>
      </c>
      <c r="B383" t="s">
        <v>394</v>
      </c>
      <c r="C383">
        <v>24</v>
      </c>
      <c r="D383" t="s">
        <v>2948</v>
      </c>
      <c r="E383" t="s">
        <v>2950</v>
      </c>
      <c r="F383" t="s">
        <v>3317</v>
      </c>
      <c r="G383" s="2">
        <v>45731</v>
      </c>
      <c r="H383" s="2">
        <v>45733</v>
      </c>
      <c r="I383" t="s">
        <v>5765</v>
      </c>
      <c r="J383" t="s">
        <v>5768</v>
      </c>
      <c r="K383">
        <v>390485.3</v>
      </c>
      <c r="L383" t="s">
        <v>5773</v>
      </c>
      <c r="M383">
        <v>2</v>
      </c>
    </row>
    <row r="384" spans="1:13" x14ac:dyDescent="0.25">
      <c r="A384">
        <v>383</v>
      </c>
      <c r="B384" t="s">
        <v>395</v>
      </c>
      <c r="C384">
        <v>38</v>
      </c>
      <c r="D384" t="s">
        <v>2947</v>
      </c>
      <c r="E384" t="s">
        <v>2950</v>
      </c>
      <c r="F384" t="s">
        <v>3318</v>
      </c>
      <c r="G384" s="2">
        <v>45586</v>
      </c>
      <c r="H384" s="2">
        <v>45599</v>
      </c>
      <c r="I384" t="s">
        <v>5761</v>
      </c>
      <c r="J384" t="s">
        <v>5769</v>
      </c>
      <c r="K384">
        <v>334356.74</v>
      </c>
      <c r="L384" t="s">
        <v>5774</v>
      </c>
      <c r="M384">
        <v>13</v>
      </c>
    </row>
    <row r="385" spans="1:13" x14ac:dyDescent="0.25">
      <c r="A385">
        <v>384</v>
      </c>
      <c r="B385" t="s">
        <v>396</v>
      </c>
      <c r="C385">
        <v>33</v>
      </c>
      <c r="D385" t="s">
        <v>2948</v>
      </c>
      <c r="E385" t="s">
        <v>2949</v>
      </c>
      <c r="F385" t="s">
        <v>3319</v>
      </c>
      <c r="G385" s="2">
        <v>45558</v>
      </c>
      <c r="H385" s="2">
        <v>45560</v>
      </c>
      <c r="I385" t="s">
        <v>5759</v>
      </c>
      <c r="J385" t="s">
        <v>5769</v>
      </c>
      <c r="K385">
        <v>314178.92</v>
      </c>
      <c r="L385" t="s">
        <v>5773</v>
      </c>
      <c r="M385">
        <v>2</v>
      </c>
    </row>
    <row r="386" spans="1:13" x14ac:dyDescent="0.25">
      <c r="A386">
        <v>385</v>
      </c>
      <c r="B386" t="s">
        <v>397</v>
      </c>
      <c r="C386">
        <v>81</v>
      </c>
      <c r="D386" t="s">
        <v>2947</v>
      </c>
      <c r="E386" t="s">
        <v>2954</v>
      </c>
      <c r="F386" t="s">
        <v>3320</v>
      </c>
      <c r="G386" s="2">
        <v>45783</v>
      </c>
      <c r="H386" s="2">
        <v>45784</v>
      </c>
      <c r="I386" t="s">
        <v>5761</v>
      </c>
      <c r="J386" t="s">
        <v>5769</v>
      </c>
      <c r="K386">
        <v>439052.73</v>
      </c>
      <c r="L386" t="s">
        <v>5774</v>
      </c>
      <c r="M386">
        <v>1</v>
      </c>
    </row>
    <row r="387" spans="1:13" x14ac:dyDescent="0.25">
      <c r="A387">
        <v>386</v>
      </c>
      <c r="B387" t="s">
        <v>398</v>
      </c>
      <c r="C387">
        <v>88</v>
      </c>
      <c r="D387" t="s">
        <v>2947</v>
      </c>
      <c r="E387" t="s">
        <v>2949</v>
      </c>
      <c r="F387" t="s">
        <v>3321</v>
      </c>
      <c r="G387" s="2">
        <v>45763</v>
      </c>
      <c r="H387" s="2">
        <v>45775</v>
      </c>
      <c r="I387" t="s">
        <v>5760</v>
      </c>
      <c r="J387" t="s">
        <v>2949</v>
      </c>
      <c r="K387">
        <v>103603.81</v>
      </c>
      <c r="L387" t="s">
        <v>5773</v>
      </c>
      <c r="M387">
        <v>12</v>
      </c>
    </row>
    <row r="388" spans="1:13" x14ac:dyDescent="0.25">
      <c r="A388">
        <v>387</v>
      </c>
      <c r="B388" t="s">
        <v>399</v>
      </c>
      <c r="C388">
        <v>17</v>
      </c>
      <c r="D388" t="s">
        <v>2948</v>
      </c>
      <c r="E388" t="s">
        <v>2953</v>
      </c>
      <c r="F388" t="s">
        <v>3322</v>
      </c>
      <c r="G388" s="2">
        <v>45770</v>
      </c>
      <c r="H388" s="2">
        <v>45778</v>
      </c>
      <c r="I388" t="s">
        <v>5763</v>
      </c>
      <c r="J388" t="s">
        <v>2949</v>
      </c>
      <c r="K388">
        <v>392148.53</v>
      </c>
      <c r="L388" t="s">
        <v>5775</v>
      </c>
      <c r="M388">
        <v>8</v>
      </c>
    </row>
    <row r="389" spans="1:13" x14ac:dyDescent="0.25">
      <c r="A389">
        <v>388</v>
      </c>
      <c r="B389" t="s">
        <v>400</v>
      </c>
      <c r="C389">
        <v>63</v>
      </c>
      <c r="D389" t="s">
        <v>2947</v>
      </c>
      <c r="E389" t="s">
        <v>2954</v>
      </c>
      <c r="F389" t="s">
        <v>3323</v>
      </c>
      <c r="G389" s="2">
        <v>45708</v>
      </c>
      <c r="H389" s="2">
        <v>45712</v>
      </c>
      <c r="I389" t="s">
        <v>5762</v>
      </c>
      <c r="J389" t="s">
        <v>5772</v>
      </c>
      <c r="K389">
        <v>82323.16</v>
      </c>
      <c r="L389" t="s">
        <v>5774</v>
      </c>
      <c r="M389">
        <v>4</v>
      </c>
    </row>
    <row r="390" spans="1:13" x14ac:dyDescent="0.25">
      <c r="A390">
        <v>389</v>
      </c>
      <c r="B390" t="s">
        <v>401</v>
      </c>
      <c r="C390">
        <v>7</v>
      </c>
      <c r="D390" t="s">
        <v>2947</v>
      </c>
      <c r="E390" t="s">
        <v>2951</v>
      </c>
      <c r="F390" t="s">
        <v>3324</v>
      </c>
      <c r="G390" s="2">
        <v>45854</v>
      </c>
      <c r="H390" s="2">
        <v>45868</v>
      </c>
      <c r="I390" t="s">
        <v>5762</v>
      </c>
      <c r="J390" t="s">
        <v>5768</v>
      </c>
      <c r="K390">
        <v>452617.1</v>
      </c>
      <c r="L390" t="s">
        <v>5773</v>
      </c>
      <c r="M390">
        <v>14</v>
      </c>
    </row>
    <row r="391" spans="1:13" x14ac:dyDescent="0.25">
      <c r="A391">
        <v>390</v>
      </c>
      <c r="B391" t="s">
        <v>402</v>
      </c>
      <c r="C391">
        <v>63</v>
      </c>
      <c r="D391" t="s">
        <v>2948</v>
      </c>
      <c r="E391" t="s">
        <v>2955</v>
      </c>
      <c r="F391" t="s">
        <v>850</v>
      </c>
      <c r="G391" s="2">
        <v>45646</v>
      </c>
      <c r="H391" s="2">
        <v>45657</v>
      </c>
      <c r="I391" t="s">
        <v>5762</v>
      </c>
      <c r="J391" t="s">
        <v>5769</v>
      </c>
      <c r="K391">
        <v>143222.47</v>
      </c>
      <c r="L391" t="s">
        <v>5773</v>
      </c>
      <c r="M391">
        <v>11</v>
      </c>
    </row>
    <row r="392" spans="1:13" x14ac:dyDescent="0.25">
      <c r="A392">
        <v>391</v>
      </c>
      <c r="B392" t="s">
        <v>403</v>
      </c>
      <c r="C392">
        <v>45</v>
      </c>
      <c r="D392" t="s">
        <v>2947</v>
      </c>
      <c r="E392" t="s">
        <v>2955</v>
      </c>
      <c r="F392" t="s">
        <v>3325</v>
      </c>
      <c r="G392" s="2">
        <v>45812</v>
      </c>
      <c r="H392" s="2">
        <v>45827</v>
      </c>
      <c r="I392" t="s">
        <v>5759</v>
      </c>
      <c r="J392" t="s">
        <v>5771</v>
      </c>
      <c r="K392">
        <v>17829.759999999998</v>
      </c>
      <c r="L392" t="s">
        <v>5774</v>
      </c>
      <c r="M392">
        <v>15</v>
      </c>
    </row>
    <row r="393" spans="1:13" x14ac:dyDescent="0.25">
      <c r="A393">
        <v>392</v>
      </c>
      <c r="B393" t="s">
        <v>404</v>
      </c>
      <c r="C393">
        <v>60</v>
      </c>
      <c r="D393" t="s">
        <v>2948</v>
      </c>
      <c r="E393" t="s">
        <v>2953</v>
      </c>
      <c r="F393" t="s">
        <v>3326</v>
      </c>
      <c r="G393" s="2">
        <v>45696</v>
      </c>
      <c r="H393" s="2">
        <v>45703</v>
      </c>
      <c r="I393" t="s">
        <v>5766</v>
      </c>
      <c r="J393" t="s">
        <v>5772</v>
      </c>
      <c r="K393">
        <v>495180.79</v>
      </c>
      <c r="L393" t="s">
        <v>5774</v>
      </c>
      <c r="M393">
        <v>7</v>
      </c>
    </row>
    <row r="394" spans="1:13" x14ac:dyDescent="0.25">
      <c r="A394">
        <v>393</v>
      </c>
      <c r="B394" t="s">
        <v>405</v>
      </c>
      <c r="C394">
        <v>8</v>
      </c>
      <c r="D394" t="s">
        <v>2947</v>
      </c>
      <c r="E394" t="s">
        <v>2950</v>
      </c>
      <c r="F394" t="s">
        <v>3327</v>
      </c>
      <c r="G394" s="2">
        <v>45905</v>
      </c>
      <c r="H394" s="2">
        <v>45908</v>
      </c>
      <c r="I394" t="s">
        <v>5761</v>
      </c>
      <c r="J394" t="s">
        <v>5771</v>
      </c>
      <c r="K394">
        <v>404526.14</v>
      </c>
      <c r="L394" t="s">
        <v>5775</v>
      </c>
      <c r="M394">
        <v>3</v>
      </c>
    </row>
    <row r="395" spans="1:13" x14ac:dyDescent="0.25">
      <c r="A395">
        <v>394</v>
      </c>
      <c r="B395" t="s">
        <v>406</v>
      </c>
      <c r="C395">
        <v>7</v>
      </c>
      <c r="D395" t="s">
        <v>2948</v>
      </c>
      <c r="E395" t="s">
        <v>2955</v>
      </c>
      <c r="F395" t="s">
        <v>3328</v>
      </c>
      <c r="G395" s="2">
        <v>45773</v>
      </c>
      <c r="H395" s="2">
        <v>45777</v>
      </c>
      <c r="I395" t="s">
        <v>5759</v>
      </c>
      <c r="J395" t="s">
        <v>5771</v>
      </c>
      <c r="K395">
        <v>254128.63</v>
      </c>
      <c r="L395" t="s">
        <v>5774</v>
      </c>
      <c r="M395">
        <v>4</v>
      </c>
    </row>
    <row r="396" spans="1:13" x14ac:dyDescent="0.25">
      <c r="A396">
        <v>395</v>
      </c>
      <c r="B396" t="s">
        <v>407</v>
      </c>
      <c r="C396">
        <v>26</v>
      </c>
      <c r="D396" t="s">
        <v>2948</v>
      </c>
      <c r="E396" t="s">
        <v>2949</v>
      </c>
      <c r="F396" t="s">
        <v>3329</v>
      </c>
      <c r="G396" s="2">
        <v>45841</v>
      </c>
      <c r="H396" s="2">
        <v>45846</v>
      </c>
      <c r="I396" t="s">
        <v>5762</v>
      </c>
      <c r="J396" t="s">
        <v>5772</v>
      </c>
      <c r="K396">
        <v>35301.43</v>
      </c>
      <c r="L396" t="s">
        <v>5773</v>
      </c>
      <c r="M396">
        <v>5</v>
      </c>
    </row>
    <row r="397" spans="1:13" x14ac:dyDescent="0.25">
      <c r="A397">
        <v>396</v>
      </c>
      <c r="B397" t="s">
        <v>408</v>
      </c>
      <c r="C397">
        <v>50</v>
      </c>
      <c r="D397" t="s">
        <v>2948</v>
      </c>
      <c r="E397" t="s">
        <v>2951</v>
      </c>
      <c r="F397" t="s">
        <v>3330</v>
      </c>
      <c r="G397" s="2">
        <v>45594</v>
      </c>
      <c r="H397" s="2">
        <v>45600</v>
      </c>
      <c r="I397" t="s">
        <v>5763</v>
      </c>
      <c r="J397" t="s">
        <v>5771</v>
      </c>
      <c r="K397">
        <v>171259.09</v>
      </c>
      <c r="L397" t="s">
        <v>5773</v>
      </c>
      <c r="M397">
        <v>6</v>
      </c>
    </row>
    <row r="398" spans="1:13" x14ac:dyDescent="0.25">
      <c r="A398">
        <v>397</v>
      </c>
      <c r="B398" t="s">
        <v>409</v>
      </c>
      <c r="C398">
        <v>80</v>
      </c>
      <c r="D398" t="s">
        <v>2947</v>
      </c>
      <c r="E398" t="s">
        <v>2951</v>
      </c>
      <c r="F398" t="s">
        <v>3331</v>
      </c>
      <c r="G398" s="2">
        <v>45764</v>
      </c>
      <c r="H398" s="2">
        <v>45767</v>
      </c>
      <c r="I398" t="s">
        <v>5761</v>
      </c>
      <c r="J398" t="s">
        <v>5772</v>
      </c>
      <c r="K398">
        <v>255874</v>
      </c>
      <c r="L398" t="s">
        <v>5775</v>
      </c>
      <c r="M398">
        <v>3</v>
      </c>
    </row>
    <row r="399" spans="1:13" x14ac:dyDescent="0.25">
      <c r="A399">
        <v>398</v>
      </c>
      <c r="B399" t="s">
        <v>410</v>
      </c>
      <c r="C399">
        <v>76</v>
      </c>
      <c r="D399" t="s">
        <v>2948</v>
      </c>
      <c r="E399" t="s">
        <v>2949</v>
      </c>
      <c r="F399" t="s">
        <v>718</v>
      </c>
      <c r="G399" s="2">
        <v>45794</v>
      </c>
      <c r="H399" s="2">
        <v>45799</v>
      </c>
      <c r="I399" t="s">
        <v>5763</v>
      </c>
      <c r="J399" t="s">
        <v>5771</v>
      </c>
      <c r="K399">
        <v>77081.31</v>
      </c>
      <c r="L399" t="s">
        <v>5775</v>
      </c>
      <c r="M399">
        <v>5</v>
      </c>
    </row>
    <row r="400" spans="1:13" x14ac:dyDescent="0.25">
      <c r="A400">
        <v>399</v>
      </c>
      <c r="B400" t="s">
        <v>411</v>
      </c>
      <c r="C400">
        <v>49</v>
      </c>
      <c r="D400" t="s">
        <v>2948</v>
      </c>
      <c r="E400" t="s">
        <v>2950</v>
      </c>
      <c r="F400" t="s">
        <v>3332</v>
      </c>
      <c r="G400" s="2">
        <v>45680</v>
      </c>
      <c r="H400" s="2">
        <v>45692</v>
      </c>
      <c r="I400" t="s">
        <v>5767</v>
      </c>
      <c r="J400" t="s">
        <v>2949</v>
      </c>
      <c r="K400">
        <v>380149.5</v>
      </c>
      <c r="L400" t="s">
        <v>5774</v>
      </c>
      <c r="M400">
        <v>12</v>
      </c>
    </row>
    <row r="401" spans="1:13" x14ac:dyDescent="0.25">
      <c r="A401">
        <v>400</v>
      </c>
      <c r="B401" t="s">
        <v>412</v>
      </c>
      <c r="C401">
        <v>47</v>
      </c>
      <c r="D401" t="s">
        <v>2947</v>
      </c>
      <c r="E401" t="s">
        <v>2952</v>
      </c>
      <c r="F401" t="s">
        <v>3333</v>
      </c>
      <c r="G401" s="2">
        <v>45753</v>
      </c>
      <c r="H401" s="2">
        <v>45761</v>
      </c>
      <c r="I401" t="s">
        <v>5758</v>
      </c>
      <c r="J401" t="s">
        <v>5772</v>
      </c>
      <c r="K401">
        <v>459868.29</v>
      </c>
      <c r="L401" t="s">
        <v>5774</v>
      </c>
      <c r="M401">
        <v>8</v>
      </c>
    </row>
    <row r="402" spans="1:13" x14ac:dyDescent="0.25">
      <c r="A402">
        <v>401</v>
      </c>
      <c r="B402" t="s">
        <v>413</v>
      </c>
      <c r="C402">
        <v>10</v>
      </c>
      <c r="D402" t="s">
        <v>2947</v>
      </c>
      <c r="E402" t="s">
        <v>2952</v>
      </c>
      <c r="F402" t="s">
        <v>3334</v>
      </c>
      <c r="G402" s="2">
        <v>45773</v>
      </c>
      <c r="H402" s="2">
        <v>45782</v>
      </c>
      <c r="I402" t="s">
        <v>5758</v>
      </c>
      <c r="J402" t="s">
        <v>5770</v>
      </c>
      <c r="K402">
        <v>309582.73</v>
      </c>
      <c r="L402" t="s">
        <v>5775</v>
      </c>
      <c r="M402">
        <v>9</v>
      </c>
    </row>
    <row r="403" spans="1:13" x14ac:dyDescent="0.25">
      <c r="A403">
        <v>402</v>
      </c>
      <c r="B403" t="s">
        <v>414</v>
      </c>
      <c r="C403">
        <v>19</v>
      </c>
      <c r="D403" t="s">
        <v>2948</v>
      </c>
      <c r="E403" t="s">
        <v>2955</v>
      </c>
      <c r="F403" t="s">
        <v>3335</v>
      </c>
      <c r="G403" s="2">
        <v>45639</v>
      </c>
      <c r="H403" s="2">
        <v>45650</v>
      </c>
      <c r="I403" t="s">
        <v>5764</v>
      </c>
      <c r="J403" t="s">
        <v>5772</v>
      </c>
      <c r="K403">
        <v>393474.96</v>
      </c>
      <c r="L403" t="s">
        <v>5775</v>
      </c>
      <c r="M403">
        <v>11</v>
      </c>
    </row>
    <row r="404" spans="1:13" x14ac:dyDescent="0.25">
      <c r="A404">
        <v>403</v>
      </c>
      <c r="B404" t="s">
        <v>415</v>
      </c>
      <c r="C404">
        <v>52</v>
      </c>
      <c r="D404" t="s">
        <v>2947</v>
      </c>
      <c r="E404" t="s">
        <v>2951</v>
      </c>
      <c r="F404" t="s">
        <v>3336</v>
      </c>
      <c r="G404" s="2">
        <v>45641</v>
      </c>
      <c r="H404" s="2">
        <v>45642</v>
      </c>
      <c r="I404" t="s">
        <v>5758</v>
      </c>
      <c r="J404" t="s">
        <v>5771</v>
      </c>
      <c r="K404">
        <v>455780.7</v>
      </c>
      <c r="L404" t="s">
        <v>5775</v>
      </c>
      <c r="M404">
        <v>1</v>
      </c>
    </row>
    <row r="405" spans="1:13" x14ac:dyDescent="0.25">
      <c r="A405">
        <v>404</v>
      </c>
      <c r="B405" t="s">
        <v>416</v>
      </c>
      <c r="C405">
        <v>88</v>
      </c>
      <c r="D405" t="s">
        <v>2947</v>
      </c>
      <c r="E405" t="s">
        <v>2951</v>
      </c>
      <c r="F405" t="s">
        <v>2821</v>
      </c>
      <c r="G405" s="2">
        <v>45569</v>
      </c>
      <c r="H405" s="2">
        <v>45582</v>
      </c>
      <c r="I405" t="s">
        <v>5762</v>
      </c>
      <c r="J405" t="s">
        <v>5768</v>
      </c>
      <c r="K405">
        <v>106693.94</v>
      </c>
      <c r="L405" t="s">
        <v>5773</v>
      </c>
      <c r="M405">
        <v>13</v>
      </c>
    </row>
    <row r="406" spans="1:13" x14ac:dyDescent="0.25">
      <c r="A406">
        <v>405</v>
      </c>
      <c r="B406" t="s">
        <v>417</v>
      </c>
      <c r="C406">
        <v>36</v>
      </c>
      <c r="D406" t="s">
        <v>2947</v>
      </c>
      <c r="E406" t="s">
        <v>2955</v>
      </c>
      <c r="F406" t="s">
        <v>3337</v>
      </c>
      <c r="G406" s="2">
        <v>45873</v>
      </c>
      <c r="H406" s="2">
        <v>45878</v>
      </c>
      <c r="I406" t="s">
        <v>5767</v>
      </c>
      <c r="J406" t="s">
        <v>5770</v>
      </c>
      <c r="K406">
        <v>327567.07</v>
      </c>
      <c r="L406" t="s">
        <v>5774</v>
      </c>
      <c r="M406">
        <v>5</v>
      </c>
    </row>
    <row r="407" spans="1:13" x14ac:dyDescent="0.25">
      <c r="A407">
        <v>406</v>
      </c>
      <c r="B407" t="s">
        <v>418</v>
      </c>
      <c r="C407">
        <v>20</v>
      </c>
      <c r="D407" t="s">
        <v>2947</v>
      </c>
      <c r="E407" t="s">
        <v>2949</v>
      </c>
      <c r="F407" t="s">
        <v>3338</v>
      </c>
      <c r="G407" s="2">
        <v>45670</v>
      </c>
      <c r="H407" s="2">
        <v>45680</v>
      </c>
      <c r="I407" t="s">
        <v>5764</v>
      </c>
      <c r="J407" t="s">
        <v>2949</v>
      </c>
      <c r="K407">
        <v>450267.01</v>
      </c>
      <c r="L407" t="s">
        <v>5775</v>
      </c>
      <c r="M407">
        <v>10</v>
      </c>
    </row>
    <row r="408" spans="1:13" x14ac:dyDescent="0.25">
      <c r="A408">
        <v>407</v>
      </c>
      <c r="B408" t="s">
        <v>419</v>
      </c>
      <c r="C408">
        <v>27</v>
      </c>
      <c r="D408" t="s">
        <v>2948</v>
      </c>
      <c r="E408" t="s">
        <v>2952</v>
      </c>
      <c r="F408" t="s">
        <v>3339</v>
      </c>
      <c r="G408" s="2">
        <v>45684</v>
      </c>
      <c r="H408" s="2">
        <v>45685</v>
      </c>
      <c r="I408" t="s">
        <v>5759</v>
      </c>
      <c r="J408" t="s">
        <v>5770</v>
      </c>
      <c r="K408">
        <v>498970.08</v>
      </c>
      <c r="L408" t="s">
        <v>5774</v>
      </c>
      <c r="M408">
        <v>1</v>
      </c>
    </row>
    <row r="409" spans="1:13" x14ac:dyDescent="0.25">
      <c r="A409">
        <v>408</v>
      </c>
      <c r="B409" t="s">
        <v>420</v>
      </c>
      <c r="C409">
        <v>20</v>
      </c>
      <c r="D409" t="s">
        <v>2948</v>
      </c>
      <c r="E409" t="s">
        <v>2952</v>
      </c>
      <c r="F409" t="s">
        <v>3340</v>
      </c>
      <c r="G409" s="2">
        <v>45665</v>
      </c>
      <c r="H409" s="2">
        <v>45670</v>
      </c>
      <c r="I409" t="s">
        <v>5758</v>
      </c>
      <c r="J409" t="s">
        <v>2949</v>
      </c>
      <c r="K409">
        <v>445663.89</v>
      </c>
      <c r="L409" t="s">
        <v>5773</v>
      </c>
      <c r="M409">
        <v>5</v>
      </c>
    </row>
    <row r="410" spans="1:13" x14ac:dyDescent="0.25">
      <c r="A410">
        <v>409</v>
      </c>
      <c r="B410" t="s">
        <v>421</v>
      </c>
      <c r="C410">
        <v>75</v>
      </c>
      <c r="D410" t="s">
        <v>2948</v>
      </c>
      <c r="E410" t="s">
        <v>2953</v>
      </c>
      <c r="F410" t="s">
        <v>3341</v>
      </c>
      <c r="G410" s="2">
        <v>45884</v>
      </c>
      <c r="H410" s="2">
        <v>45885</v>
      </c>
      <c r="I410" t="s">
        <v>5766</v>
      </c>
      <c r="J410" t="s">
        <v>5768</v>
      </c>
      <c r="K410">
        <v>415016.58</v>
      </c>
      <c r="L410" t="s">
        <v>5773</v>
      </c>
      <c r="M410">
        <v>1</v>
      </c>
    </row>
    <row r="411" spans="1:13" x14ac:dyDescent="0.25">
      <c r="A411">
        <v>410</v>
      </c>
      <c r="B411" t="s">
        <v>422</v>
      </c>
      <c r="C411">
        <v>30</v>
      </c>
      <c r="D411" t="s">
        <v>2947</v>
      </c>
      <c r="E411" t="s">
        <v>2951</v>
      </c>
      <c r="F411" t="s">
        <v>3342</v>
      </c>
      <c r="G411" s="2">
        <v>45703</v>
      </c>
      <c r="H411" s="2">
        <v>45717</v>
      </c>
      <c r="I411" t="s">
        <v>5762</v>
      </c>
      <c r="J411" t="s">
        <v>5770</v>
      </c>
      <c r="K411">
        <v>254015.57</v>
      </c>
      <c r="L411" t="s">
        <v>5773</v>
      </c>
      <c r="M411">
        <v>14</v>
      </c>
    </row>
    <row r="412" spans="1:13" x14ac:dyDescent="0.25">
      <c r="A412">
        <v>411</v>
      </c>
      <c r="B412" t="s">
        <v>423</v>
      </c>
      <c r="C412">
        <v>25</v>
      </c>
      <c r="D412" t="s">
        <v>2947</v>
      </c>
      <c r="E412" t="s">
        <v>2952</v>
      </c>
      <c r="F412" t="s">
        <v>3343</v>
      </c>
      <c r="G412" s="2">
        <v>45661</v>
      </c>
      <c r="H412" s="2">
        <v>45666</v>
      </c>
      <c r="I412" t="s">
        <v>5766</v>
      </c>
      <c r="J412" t="s">
        <v>5772</v>
      </c>
      <c r="K412">
        <v>229110.82</v>
      </c>
      <c r="L412" t="s">
        <v>5774</v>
      </c>
      <c r="M412">
        <v>5</v>
      </c>
    </row>
    <row r="413" spans="1:13" x14ac:dyDescent="0.25">
      <c r="A413">
        <v>412</v>
      </c>
      <c r="B413" t="s">
        <v>424</v>
      </c>
      <c r="C413">
        <v>59</v>
      </c>
      <c r="D413" t="s">
        <v>2947</v>
      </c>
      <c r="E413" t="s">
        <v>2954</v>
      </c>
      <c r="F413" t="s">
        <v>3344</v>
      </c>
      <c r="G413" s="2">
        <v>45780</v>
      </c>
      <c r="H413" s="2">
        <v>45784</v>
      </c>
      <c r="I413" t="s">
        <v>5760</v>
      </c>
      <c r="J413" t="s">
        <v>5770</v>
      </c>
      <c r="K413">
        <v>330595.78000000003</v>
      </c>
      <c r="L413" t="s">
        <v>5773</v>
      </c>
      <c r="M413">
        <v>4</v>
      </c>
    </row>
    <row r="414" spans="1:13" x14ac:dyDescent="0.25">
      <c r="A414">
        <v>413</v>
      </c>
      <c r="B414" t="s">
        <v>425</v>
      </c>
      <c r="C414">
        <v>36</v>
      </c>
      <c r="D414" t="s">
        <v>2947</v>
      </c>
      <c r="E414" t="s">
        <v>2951</v>
      </c>
      <c r="F414" t="s">
        <v>1226</v>
      </c>
      <c r="G414" s="2">
        <v>45613</v>
      </c>
      <c r="H414" s="2">
        <v>45621</v>
      </c>
      <c r="I414" t="s">
        <v>5765</v>
      </c>
      <c r="J414" t="s">
        <v>5770</v>
      </c>
      <c r="K414">
        <v>450674</v>
      </c>
      <c r="L414" t="s">
        <v>5775</v>
      </c>
      <c r="M414">
        <v>8</v>
      </c>
    </row>
    <row r="415" spans="1:13" x14ac:dyDescent="0.25">
      <c r="A415">
        <v>414</v>
      </c>
      <c r="B415" t="s">
        <v>426</v>
      </c>
      <c r="C415">
        <v>20</v>
      </c>
      <c r="D415" t="s">
        <v>2948</v>
      </c>
      <c r="E415" t="s">
        <v>2953</v>
      </c>
      <c r="F415" t="s">
        <v>3345</v>
      </c>
      <c r="G415" s="2">
        <v>45557</v>
      </c>
      <c r="H415" s="2">
        <v>45568</v>
      </c>
      <c r="I415" t="s">
        <v>5758</v>
      </c>
      <c r="J415" t="s">
        <v>5770</v>
      </c>
      <c r="K415">
        <v>227005.34</v>
      </c>
      <c r="L415" t="s">
        <v>5775</v>
      </c>
      <c r="M415">
        <v>11</v>
      </c>
    </row>
    <row r="416" spans="1:13" x14ac:dyDescent="0.25">
      <c r="A416">
        <v>415</v>
      </c>
      <c r="B416" t="s">
        <v>427</v>
      </c>
      <c r="C416">
        <v>29</v>
      </c>
      <c r="D416" t="s">
        <v>2948</v>
      </c>
      <c r="E416" t="s">
        <v>2950</v>
      </c>
      <c r="F416" t="s">
        <v>3346</v>
      </c>
      <c r="G416" s="2">
        <v>45599</v>
      </c>
      <c r="H416" s="2">
        <v>45610</v>
      </c>
      <c r="I416" t="s">
        <v>5767</v>
      </c>
      <c r="J416" t="s">
        <v>5768</v>
      </c>
      <c r="K416">
        <v>452747.38</v>
      </c>
      <c r="L416" t="s">
        <v>5774</v>
      </c>
      <c r="M416">
        <v>11</v>
      </c>
    </row>
    <row r="417" spans="1:13" x14ac:dyDescent="0.25">
      <c r="A417">
        <v>416</v>
      </c>
      <c r="B417" t="s">
        <v>428</v>
      </c>
      <c r="C417">
        <v>4</v>
      </c>
      <c r="D417" t="s">
        <v>2948</v>
      </c>
      <c r="E417" t="s">
        <v>2951</v>
      </c>
      <c r="F417" t="s">
        <v>3347</v>
      </c>
      <c r="G417" s="2">
        <v>45766</v>
      </c>
      <c r="H417" s="2">
        <v>45777</v>
      </c>
      <c r="I417" t="s">
        <v>5758</v>
      </c>
      <c r="J417" t="s">
        <v>5769</v>
      </c>
      <c r="K417">
        <v>490711.7</v>
      </c>
      <c r="L417" t="s">
        <v>5774</v>
      </c>
      <c r="M417">
        <v>11</v>
      </c>
    </row>
    <row r="418" spans="1:13" x14ac:dyDescent="0.25">
      <c r="A418">
        <v>417</v>
      </c>
      <c r="B418" t="s">
        <v>429</v>
      </c>
      <c r="C418">
        <v>82</v>
      </c>
      <c r="D418" t="s">
        <v>2947</v>
      </c>
      <c r="E418" t="s">
        <v>2951</v>
      </c>
      <c r="F418" t="s">
        <v>3348</v>
      </c>
      <c r="G418" s="2">
        <v>45584</v>
      </c>
      <c r="H418" s="2">
        <v>45592</v>
      </c>
      <c r="I418" t="s">
        <v>5762</v>
      </c>
      <c r="J418" t="s">
        <v>5768</v>
      </c>
      <c r="K418">
        <v>395786.79</v>
      </c>
      <c r="L418" t="s">
        <v>5774</v>
      </c>
      <c r="M418">
        <v>8</v>
      </c>
    </row>
    <row r="419" spans="1:13" x14ac:dyDescent="0.25">
      <c r="A419">
        <v>418</v>
      </c>
      <c r="B419" t="s">
        <v>430</v>
      </c>
      <c r="C419">
        <v>70</v>
      </c>
      <c r="D419" t="s">
        <v>2947</v>
      </c>
      <c r="E419" t="s">
        <v>2954</v>
      </c>
      <c r="F419" t="s">
        <v>808</v>
      </c>
      <c r="G419" s="2">
        <v>45906</v>
      </c>
      <c r="H419" s="2">
        <v>45914</v>
      </c>
      <c r="I419" t="s">
        <v>5765</v>
      </c>
      <c r="J419" t="s">
        <v>5769</v>
      </c>
      <c r="K419">
        <v>479076.82</v>
      </c>
      <c r="L419" t="s">
        <v>5773</v>
      </c>
      <c r="M419">
        <v>8</v>
      </c>
    </row>
    <row r="420" spans="1:13" x14ac:dyDescent="0.25">
      <c r="A420">
        <v>419</v>
      </c>
      <c r="B420" t="s">
        <v>431</v>
      </c>
      <c r="C420">
        <v>34</v>
      </c>
      <c r="D420" t="s">
        <v>2947</v>
      </c>
      <c r="E420" t="s">
        <v>2954</v>
      </c>
      <c r="F420" t="s">
        <v>3349</v>
      </c>
      <c r="G420" s="2">
        <v>45808</v>
      </c>
      <c r="H420" s="2">
        <v>45813</v>
      </c>
      <c r="I420" t="s">
        <v>5759</v>
      </c>
      <c r="J420" t="s">
        <v>5768</v>
      </c>
      <c r="K420">
        <v>223750.86</v>
      </c>
      <c r="L420" t="s">
        <v>5775</v>
      </c>
      <c r="M420">
        <v>5</v>
      </c>
    </row>
    <row r="421" spans="1:13" x14ac:dyDescent="0.25">
      <c r="A421">
        <v>420</v>
      </c>
      <c r="B421" t="s">
        <v>432</v>
      </c>
      <c r="C421">
        <v>10</v>
      </c>
      <c r="D421" t="s">
        <v>2947</v>
      </c>
      <c r="E421" t="s">
        <v>2953</v>
      </c>
      <c r="F421" t="s">
        <v>3350</v>
      </c>
      <c r="G421" s="2">
        <v>45743</v>
      </c>
      <c r="H421" s="2">
        <v>45745</v>
      </c>
      <c r="I421" t="s">
        <v>5767</v>
      </c>
      <c r="J421" t="s">
        <v>5769</v>
      </c>
      <c r="K421">
        <v>307078.24</v>
      </c>
      <c r="L421" t="s">
        <v>5773</v>
      </c>
      <c r="M421">
        <v>2</v>
      </c>
    </row>
    <row r="422" spans="1:13" x14ac:dyDescent="0.25">
      <c r="A422">
        <v>421</v>
      </c>
      <c r="B422" t="s">
        <v>433</v>
      </c>
      <c r="C422">
        <v>27</v>
      </c>
      <c r="D422" t="s">
        <v>2947</v>
      </c>
      <c r="E422" t="s">
        <v>2954</v>
      </c>
      <c r="F422" t="s">
        <v>3351</v>
      </c>
      <c r="G422" s="2">
        <v>45797</v>
      </c>
      <c r="H422" s="2">
        <v>45809</v>
      </c>
      <c r="I422" t="s">
        <v>5765</v>
      </c>
      <c r="J422" t="s">
        <v>5769</v>
      </c>
      <c r="K422">
        <v>324178.82</v>
      </c>
      <c r="L422" t="s">
        <v>5775</v>
      </c>
      <c r="M422">
        <v>12</v>
      </c>
    </row>
    <row r="423" spans="1:13" x14ac:dyDescent="0.25">
      <c r="A423">
        <v>422</v>
      </c>
      <c r="B423" t="s">
        <v>434</v>
      </c>
      <c r="C423">
        <v>53</v>
      </c>
      <c r="D423" t="s">
        <v>2947</v>
      </c>
      <c r="E423" t="s">
        <v>2953</v>
      </c>
      <c r="F423" t="s">
        <v>3352</v>
      </c>
      <c r="G423" s="2">
        <v>45647</v>
      </c>
      <c r="H423" s="2">
        <v>45649</v>
      </c>
      <c r="I423" t="s">
        <v>5760</v>
      </c>
      <c r="J423" t="s">
        <v>2949</v>
      </c>
      <c r="K423">
        <v>413720.86</v>
      </c>
      <c r="L423" t="s">
        <v>5774</v>
      </c>
      <c r="M423">
        <v>2</v>
      </c>
    </row>
    <row r="424" spans="1:13" x14ac:dyDescent="0.25">
      <c r="A424">
        <v>423</v>
      </c>
      <c r="B424" t="s">
        <v>435</v>
      </c>
      <c r="C424">
        <v>54</v>
      </c>
      <c r="D424" t="s">
        <v>2948</v>
      </c>
      <c r="E424" t="s">
        <v>2949</v>
      </c>
      <c r="F424" t="s">
        <v>3353</v>
      </c>
      <c r="G424" s="2">
        <v>45801</v>
      </c>
      <c r="H424" s="2">
        <v>45806</v>
      </c>
      <c r="I424" t="s">
        <v>5763</v>
      </c>
      <c r="J424" t="s">
        <v>5769</v>
      </c>
      <c r="K424">
        <v>26158.240000000002</v>
      </c>
      <c r="L424" t="s">
        <v>5775</v>
      </c>
      <c r="M424">
        <v>5</v>
      </c>
    </row>
    <row r="425" spans="1:13" x14ac:dyDescent="0.25">
      <c r="A425">
        <v>424</v>
      </c>
      <c r="B425" t="s">
        <v>436</v>
      </c>
      <c r="C425">
        <v>28</v>
      </c>
      <c r="D425" t="s">
        <v>2947</v>
      </c>
      <c r="E425" t="s">
        <v>2953</v>
      </c>
      <c r="F425" t="s">
        <v>3354</v>
      </c>
      <c r="G425" s="2">
        <v>45905</v>
      </c>
      <c r="H425" s="2">
        <v>45909</v>
      </c>
      <c r="I425" t="s">
        <v>5758</v>
      </c>
      <c r="J425" t="s">
        <v>5769</v>
      </c>
      <c r="K425">
        <v>110207.56</v>
      </c>
      <c r="L425" t="s">
        <v>5775</v>
      </c>
      <c r="M425">
        <v>4</v>
      </c>
    </row>
    <row r="426" spans="1:13" x14ac:dyDescent="0.25">
      <c r="A426">
        <v>425</v>
      </c>
      <c r="B426" t="s">
        <v>437</v>
      </c>
      <c r="C426">
        <v>46</v>
      </c>
      <c r="D426" t="s">
        <v>2947</v>
      </c>
      <c r="E426" t="s">
        <v>2952</v>
      </c>
      <c r="F426" t="s">
        <v>3355</v>
      </c>
      <c r="G426" s="2">
        <v>45712</v>
      </c>
      <c r="H426" s="2">
        <v>45722</v>
      </c>
      <c r="I426" t="s">
        <v>5764</v>
      </c>
      <c r="J426" t="s">
        <v>5769</v>
      </c>
      <c r="K426">
        <v>374332.04</v>
      </c>
      <c r="L426" t="s">
        <v>5774</v>
      </c>
      <c r="M426">
        <v>10</v>
      </c>
    </row>
    <row r="427" spans="1:13" x14ac:dyDescent="0.25">
      <c r="A427">
        <v>426</v>
      </c>
      <c r="B427" t="s">
        <v>438</v>
      </c>
      <c r="C427">
        <v>83</v>
      </c>
      <c r="D427" t="s">
        <v>2948</v>
      </c>
      <c r="E427" t="s">
        <v>2949</v>
      </c>
      <c r="F427" t="s">
        <v>3356</v>
      </c>
      <c r="G427" s="2">
        <v>45768</v>
      </c>
      <c r="H427" s="2">
        <v>45778</v>
      </c>
      <c r="I427" t="s">
        <v>5764</v>
      </c>
      <c r="J427" t="s">
        <v>5769</v>
      </c>
      <c r="K427">
        <v>451301.91</v>
      </c>
      <c r="L427" t="s">
        <v>5774</v>
      </c>
      <c r="M427">
        <v>10</v>
      </c>
    </row>
    <row r="428" spans="1:13" x14ac:dyDescent="0.25">
      <c r="A428">
        <v>427</v>
      </c>
      <c r="B428" t="s">
        <v>439</v>
      </c>
      <c r="C428">
        <v>79</v>
      </c>
      <c r="D428" t="s">
        <v>2948</v>
      </c>
      <c r="E428" t="s">
        <v>2952</v>
      </c>
      <c r="F428" t="s">
        <v>3357</v>
      </c>
      <c r="G428" s="2">
        <v>45902</v>
      </c>
      <c r="H428" s="2">
        <v>45913</v>
      </c>
      <c r="I428" t="s">
        <v>5761</v>
      </c>
      <c r="J428" t="s">
        <v>5771</v>
      </c>
      <c r="K428">
        <v>498125.32</v>
      </c>
      <c r="L428" t="s">
        <v>5773</v>
      </c>
      <c r="M428">
        <v>11</v>
      </c>
    </row>
    <row r="429" spans="1:13" x14ac:dyDescent="0.25">
      <c r="A429">
        <v>428</v>
      </c>
      <c r="B429" t="s">
        <v>440</v>
      </c>
      <c r="C429">
        <v>33</v>
      </c>
      <c r="D429" t="s">
        <v>2948</v>
      </c>
      <c r="E429" t="s">
        <v>2955</v>
      </c>
      <c r="F429" t="s">
        <v>3358</v>
      </c>
      <c r="G429" s="2">
        <v>45785</v>
      </c>
      <c r="H429" s="2">
        <v>45788</v>
      </c>
      <c r="I429" t="s">
        <v>5764</v>
      </c>
      <c r="J429" t="s">
        <v>5771</v>
      </c>
      <c r="K429">
        <v>408026.7</v>
      </c>
      <c r="L429" t="s">
        <v>5775</v>
      </c>
      <c r="M429">
        <v>3</v>
      </c>
    </row>
    <row r="430" spans="1:13" x14ac:dyDescent="0.25">
      <c r="A430">
        <v>429</v>
      </c>
      <c r="B430" t="s">
        <v>441</v>
      </c>
      <c r="C430">
        <v>17</v>
      </c>
      <c r="D430" t="s">
        <v>2948</v>
      </c>
      <c r="E430" t="s">
        <v>2950</v>
      </c>
      <c r="F430" t="s">
        <v>3359</v>
      </c>
      <c r="G430" s="2">
        <v>45823</v>
      </c>
      <c r="H430" s="2">
        <v>45830</v>
      </c>
      <c r="I430" t="s">
        <v>5765</v>
      </c>
      <c r="J430" t="s">
        <v>5768</v>
      </c>
      <c r="K430">
        <v>37959.919999999998</v>
      </c>
      <c r="L430" t="s">
        <v>5775</v>
      </c>
      <c r="M430">
        <v>7</v>
      </c>
    </row>
    <row r="431" spans="1:13" x14ac:dyDescent="0.25">
      <c r="A431">
        <v>430</v>
      </c>
      <c r="B431" t="s">
        <v>442</v>
      </c>
      <c r="C431">
        <v>88</v>
      </c>
      <c r="D431" t="s">
        <v>2948</v>
      </c>
      <c r="E431" t="s">
        <v>2953</v>
      </c>
      <c r="F431" t="s">
        <v>3360</v>
      </c>
      <c r="G431" s="2">
        <v>45897</v>
      </c>
      <c r="H431" s="2">
        <v>45900</v>
      </c>
      <c r="I431" t="s">
        <v>5761</v>
      </c>
      <c r="J431" t="s">
        <v>5768</v>
      </c>
      <c r="K431">
        <v>497985.95</v>
      </c>
      <c r="L431" t="s">
        <v>5775</v>
      </c>
      <c r="M431">
        <v>3</v>
      </c>
    </row>
    <row r="432" spans="1:13" x14ac:dyDescent="0.25">
      <c r="A432">
        <v>431</v>
      </c>
      <c r="B432" t="s">
        <v>443</v>
      </c>
      <c r="C432">
        <v>29</v>
      </c>
      <c r="D432" t="s">
        <v>2948</v>
      </c>
      <c r="E432" t="s">
        <v>2949</v>
      </c>
      <c r="F432" t="s">
        <v>3361</v>
      </c>
      <c r="G432" s="2">
        <v>45570</v>
      </c>
      <c r="H432" s="2">
        <v>45577</v>
      </c>
      <c r="I432" t="s">
        <v>5761</v>
      </c>
      <c r="J432" t="s">
        <v>5772</v>
      </c>
      <c r="K432">
        <v>93959.84</v>
      </c>
      <c r="L432" t="s">
        <v>5773</v>
      </c>
      <c r="M432">
        <v>7</v>
      </c>
    </row>
    <row r="433" spans="1:13" x14ac:dyDescent="0.25">
      <c r="A433">
        <v>432</v>
      </c>
      <c r="B433" t="s">
        <v>444</v>
      </c>
      <c r="C433">
        <v>16</v>
      </c>
      <c r="D433" t="s">
        <v>2947</v>
      </c>
      <c r="E433" t="s">
        <v>2949</v>
      </c>
      <c r="F433" t="s">
        <v>3362</v>
      </c>
      <c r="G433" s="2">
        <v>45650</v>
      </c>
      <c r="H433" s="2">
        <v>45665</v>
      </c>
      <c r="I433" t="s">
        <v>5767</v>
      </c>
      <c r="J433" t="s">
        <v>5772</v>
      </c>
      <c r="K433">
        <v>488868.22</v>
      </c>
      <c r="L433" t="s">
        <v>5775</v>
      </c>
      <c r="M433">
        <v>15</v>
      </c>
    </row>
    <row r="434" spans="1:13" x14ac:dyDescent="0.25">
      <c r="A434">
        <v>433</v>
      </c>
      <c r="B434" t="s">
        <v>445</v>
      </c>
      <c r="C434">
        <v>84</v>
      </c>
      <c r="D434" t="s">
        <v>2947</v>
      </c>
      <c r="E434" t="s">
        <v>2954</v>
      </c>
      <c r="F434" t="s">
        <v>3363</v>
      </c>
      <c r="G434" s="2">
        <v>45626</v>
      </c>
      <c r="H434" s="2">
        <v>45631</v>
      </c>
      <c r="I434" t="s">
        <v>5764</v>
      </c>
      <c r="J434" t="s">
        <v>2949</v>
      </c>
      <c r="K434">
        <v>300151.93</v>
      </c>
      <c r="L434" t="s">
        <v>5775</v>
      </c>
      <c r="M434">
        <v>5</v>
      </c>
    </row>
    <row r="435" spans="1:13" x14ac:dyDescent="0.25">
      <c r="A435">
        <v>434</v>
      </c>
      <c r="B435" t="s">
        <v>446</v>
      </c>
      <c r="C435">
        <v>36</v>
      </c>
      <c r="D435" t="s">
        <v>2948</v>
      </c>
      <c r="E435" t="s">
        <v>2951</v>
      </c>
      <c r="F435" t="s">
        <v>3364</v>
      </c>
      <c r="G435" s="2">
        <v>45807</v>
      </c>
      <c r="H435" s="2">
        <v>45812</v>
      </c>
      <c r="I435" t="s">
        <v>5758</v>
      </c>
      <c r="J435" t="s">
        <v>5770</v>
      </c>
      <c r="K435">
        <v>446926.67</v>
      </c>
      <c r="L435" t="s">
        <v>5774</v>
      </c>
      <c r="M435">
        <v>5</v>
      </c>
    </row>
    <row r="436" spans="1:13" x14ac:dyDescent="0.25">
      <c r="A436">
        <v>435</v>
      </c>
      <c r="B436" t="s">
        <v>447</v>
      </c>
      <c r="C436">
        <v>60</v>
      </c>
      <c r="D436" t="s">
        <v>2948</v>
      </c>
      <c r="E436" t="s">
        <v>2955</v>
      </c>
      <c r="F436" t="s">
        <v>3365</v>
      </c>
      <c r="G436" s="2">
        <v>45762</v>
      </c>
      <c r="H436" s="2">
        <v>45763</v>
      </c>
      <c r="I436" t="s">
        <v>5767</v>
      </c>
      <c r="J436" t="s">
        <v>2949</v>
      </c>
      <c r="K436">
        <v>318394.84999999998</v>
      </c>
      <c r="L436" t="s">
        <v>5773</v>
      </c>
      <c r="M436">
        <v>1</v>
      </c>
    </row>
    <row r="437" spans="1:13" x14ac:dyDescent="0.25">
      <c r="A437">
        <v>436</v>
      </c>
      <c r="B437" t="s">
        <v>448</v>
      </c>
      <c r="C437">
        <v>33</v>
      </c>
      <c r="D437" t="s">
        <v>2947</v>
      </c>
      <c r="E437" t="s">
        <v>2949</v>
      </c>
      <c r="F437" t="s">
        <v>3366</v>
      </c>
      <c r="G437" s="2">
        <v>45817</v>
      </c>
      <c r="H437" s="2">
        <v>45819</v>
      </c>
      <c r="I437" t="s">
        <v>5758</v>
      </c>
      <c r="J437" t="s">
        <v>5772</v>
      </c>
      <c r="K437">
        <v>242933.33</v>
      </c>
      <c r="L437" t="s">
        <v>5775</v>
      </c>
      <c r="M437">
        <v>2</v>
      </c>
    </row>
    <row r="438" spans="1:13" x14ac:dyDescent="0.25">
      <c r="A438">
        <v>437</v>
      </c>
      <c r="B438" t="s">
        <v>449</v>
      </c>
      <c r="C438">
        <v>77</v>
      </c>
      <c r="D438" t="s">
        <v>2947</v>
      </c>
      <c r="E438" t="s">
        <v>2950</v>
      </c>
      <c r="F438" t="s">
        <v>3367</v>
      </c>
      <c r="G438" s="2">
        <v>45908</v>
      </c>
      <c r="H438" s="2">
        <v>45920</v>
      </c>
      <c r="I438" t="s">
        <v>5764</v>
      </c>
      <c r="J438" t="s">
        <v>5771</v>
      </c>
      <c r="K438">
        <v>92300.18</v>
      </c>
      <c r="L438" t="s">
        <v>5773</v>
      </c>
      <c r="M438">
        <v>12</v>
      </c>
    </row>
    <row r="439" spans="1:13" x14ac:dyDescent="0.25">
      <c r="A439">
        <v>438</v>
      </c>
      <c r="B439" t="s">
        <v>450</v>
      </c>
      <c r="C439">
        <v>71</v>
      </c>
      <c r="D439" t="s">
        <v>2948</v>
      </c>
      <c r="E439" t="s">
        <v>2953</v>
      </c>
      <c r="F439" t="s">
        <v>3368</v>
      </c>
      <c r="G439" s="2">
        <v>45749</v>
      </c>
      <c r="H439" s="2">
        <v>45755</v>
      </c>
      <c r="I439" t="s">
        <v>5762</v>
      </c>
      <c r="J439" t="s">
        <v>5768</v>
      </c>
      <c r="K439">
        <v>245886.76</v>
      </c>
      <c r="L439" t="s">
        <v>5775</v>
      </c>
      <c r="M439">
        <v>6</v>
      </c>
    </row>
    <row r="440" spans="1:13" x14ac:dyDescent="0.25">
      <c r="A440">
        <v>439</v>
      </c>
      <c r="B440" t="s">
        <v>451</v>
      </c>
      <c r="C440">
        <v>35</v>
      </c>
      <c r="D440" t="s">
        <v>2948</v>
      </c>
      <c r="E440" t="s">
        <v>2949</v>
      </c>
      <c r="F440" t="s">
        <v>3369</v>
      </c>
      <c r="G440" s="2">
        <v>45867</v>
      </c>
      <c r="H440" s="2">
        <v>45871</v>
      </c>
      <c r="I440" t="s">
        <v>5763</v>
      </c>
      <c r="J440" t="s">
        <v>2949</v>
      </c>
      <c r="K440">
        <v>385997.3</v>
      </c>
      <c r="L440" t="s">
        <v>5775</v>
      </c>
      <c r="M440">
        <v>4</v>
      </c>
    </row>
    <row r="441" spans="1:13" x14ac:dyDescent="0.25">
      <c r="A441">
        <v>440</v>
      </c>
      <c r="B441" t="s">
        <v>452</v>
      </c>
      <c r="C441">
        <v>34</v>
      </c>
      <c r="D441" t="s">
        <v>2947</v>
      </c>
      <c r="E441" t="s">
        <v>2955</v>
      </c>
      <c r="F441" t="s">
        <v>3370</v>
      </c>
      <c r="G441" s="2">
        <v>45799</v>
      </c>
      <c r="H441" s="2">
        <v>45805</v>
      </c>
      <c r="I441" t="s">
        <v>5767</v>
      </c>
      <c r="J441" t="s">
        <v>5769</v>
      </c>
      <c r="K441">
        <v>33177.620000000003</v>
      </c>
      <c r="L441" t="s">
        <v>5774</v>
      </c>
      <c r="M441">
        <v>6</v>
      </c>
    </row>
    <row r="442" spans="1:13" x14ac:dyDescent="0.25">
      <c r="A442">
        <v>441</v>
      </c>
      <c r="B442" t="s">
        <v>453</v>
      </c>
      <c r="C442">
        <v>9</v>
      </c>
      <c r="D442" t="s">
        <v>2948</v>
      </c>
      <c r="E442" t="s">
        <v>2954</v>
      </c>
      <c r="F442" t="s">
        <v>3371</v>
      </c>
      <c r="G442" s="2">
        <v>45684</v>
      </c>
      <c r="H442" s="2">
        <v>45686</v>
      </c>
      <c r="I442" t="s">
        <v>5763</v>
      </c>
      <c r="J442" t="s">
        <v>5771</v>
      </c>
      <c r="K442">
        <v>134552.60999999999</v>
      </c>
      <c r="L442" t="s">
        <v>5775</v>
      </c>
      <c r="M442">
        <v>2</v>
      </c>
    </row>
    <row r="443" spans="1:13" x14ac:dyDescent="0.25">
      <c r="A443">
        <v>442</v>
      </c>
      <c r="B443" t="s">
        <v>454</v>
      </c>
      <c r="C443">
        <v>26</v>
      </c>
      <c r="D443" t="s">
        <v>2948</v>
      </c>
      <c r="E443" t="s">
        <v>2949</v>
      </c>
      <c r="F443" t="s">
        <v>3372</v>
      </c>
      <c r="G443" s="2">
        <v>45629</v>
      </c>
      <c r="H443" s="2">
        <v>45636</v>
      </c>
      <c r="I443" t="s">
        <v>5765</v>
      </c>
      <c r="J443" t="s">
        <v>5771</v>
      </c>
      <c r="K443">
        <v>398504.17</v>
      </c>
      <c r="L443" t="s">
        <v>5773</v>
      </c>
      <c r="M443">
        <v>7</v>
      </c>
    </row>
    <row r="444" spans="1:13" x14ac:dyDescent="0.25">
      <c r="A444">
        <v>443</v>
      </c>
      <c r="B444" t="s">
        <v>455</v>
      </c>
      <c r="C444">
        <v>9</v>
      </c>
      <c r="D444" t="s">
        <v>2947</v>
      </c>
      <c r="E444" t="s">
        <v>2953</v>
      </c>
      <c r="F444" t="s">
        <v>3373</v>
      </c>
      <c r="G444" s="2">
        <v>45668</v>
      </c>
      <c r="H444" s="2">
        <v>45677</v>
      </c>
      <c r="I444" t="s">
        <v>5759</v>
      </c>
      <c r="J444" t="s">
        <v>5770</v>
      </c>
      <c r="K444">
        <v>347001.1</v>
      </c>
      <c r="L444" t="s">
        <v>5775</v>
      </c>
      <c r="M444">
        <v>9</v>
      </c>
    </row>
    <row r="445" spans="1:13" x14ac:dyDescent="0.25">
      <c r="A445">
        <v>444</v>
      </c>
      <c r="B445" t="s">
        <v>456</v>
      </c>
      <c r="C445">
        <v>13</v>
      </c>
      <c r="D445" t="s">
        <v>2947</v>
      </c>
      <c r="E445" t="s">
        <v>2955</v>
      </c>
      <c r="F445" t="s">
        <v>3374</v>
      </c>
      <c r="G445" s="2">
        <v>45732</v>
      </c>
      <c r="H445" s="2">
        <v>45738</v>
      </c>
      <c r="I445" t="s">
        <v>5759</v>
      </c>
      <c r="J445" t="s">
        <v>2949</v>
      </c>
      <c r="K445">
        <v>283752.65000000002</v>
      </c>
      <c r="L445" t="s">
        <v>5775</v>
      </c>
      <c r="M445">
        <v>6</v>
      </c>
    </row>
    <row r="446" spans="1:13" x14ac:dyDescent="0.25">
      <c r="A446">
        <v>445</v>
      </c>
      <c r="B446" t="s">
        <v>457</v>
      </c>
      <c r="C446">
        <v>48</v>
      </c>
      <c r="D446" t="s">
        <v>2947</v>
      </c>
      <c r="E446" t="s">
        <v>2952</v>
      </c>
      <c r="F446" t="s">
        <v>3375</v>
      </c>
      <c r="G446" s="2">
        <v>45798</v>
      </c>
      <c r="H446" s="2">
        <v>45808</v>
      </c>
      <c r="I446" t="s">
        <v>5759</v>
      </c>
      <c r="J446" t="s">
        <v>2949</v>
      </c>
      <c r="K446">
        <v>328245.74</v>
      </c>
      <c r="L446" t="s">
        <v>5773</v>
      </c>
      <c r="M446">
        <v>10</v>
      </c>
    </row>
    <row r="447" spans="1:13" x14ac:dyDescent="0.25">
      <c r="A447">
        <v>446</v>
      </c>
      <c r="B447" t="s">
        <v>458</v>
      </c>
      <c r="C447">
        <v>63</v>
      </c>
      <c r="D447" t="s">
        <v>2947</v>
      </c>
      <c r="E447" t="s">
        <v>2954</v>
      </c>
      <c r="F447" t="s">
        <v>3376</v>
      </c>
      <c r="G447" s="2">
        <v>45830</v>
      </c>
      <c r="H447" s="2">
        <v>45841</v>
      </c>
      <c r="I447" t="s">
        <v>5767</v>
      </c>
      <c r="J447" t="s">
        <v>5771</v>
      </c>
      <c r="K447">
        <v>192368.08</v>
      </c>
      <c r="L447" t="s">
        <v>5773</v>
      </c>
      <c r="M447">
        <v>11</v>
      </c>
    </row>
    <row r="448" spans="1:13" x14ac:dyDescent="0.25">
      <c r="A448">
        <v>447</v>
      </c>
      <c r="B448" t="s">
        <v>459</v>
      </c>
      <c r="C448">
        <v>36</v>
      </c>
      <c r="D448" t="s">
        <v>2948</v>
      </c>
      <c r="E448" t="s">
        <v>2950</v>
      </c>
      <c r="F448" t="s">
        <v>3377</v>
      </c>
      <c r="G448" s="2">
        <v>45689</v>
      </c>
      <c r="H448" s="2">
        <v>45697</v>
      </c>
      <c r="I448" t="s">
        <v>5761</v>
      </c>
      <c r="J448" t="s">
        <v>5769</v>
      </c>
      <c r="K448">
        <v>456845.62</v>
      </c>
      <c r="L448" t="s">
        <v>5773</v>
      </c>
      <c r="M448">
        <v>8</v>
      </c>
    </row>
    <row r="449" spans="1:13" x14ac:dyDescent="0.25">
      <c r="A449">
        <v>448</v>
      </c>
      <c r="B449" t="s">
        <v>460</v>
      </c>
      <c r="C449">
        <v>30</v>
      </c>
      <c r="D449" t="s">
        <v>2948</v>
      </c>
      <c r="E449" t="s">
        <v>2949</v>
      </c>
      <c r="F449" t="s">
        <v>3378</v>
      </c>
      <c r="G449" s="2">
        <v>45878</v>
      </c>
      <c r="H449" s="2">
        <v>45890</v>
      </c>
      <c r="I449" t="s">
        <v>5761</v>
      </c>
      <c r="J449" t="s">
        <v>5769</v>
      </c>
      <c r="K449">
        <v>150479.5</v>
      </c>
      <c r="L449" t="s">
        <v>5775</v>
      </c>
      <c r="M449">
        <v>12</v>
      </c>
    </row>
    <row r="450" spans="1:13" x14ac:dyDescent="0.25">
      <c r="A450">
        <v>449</v>
      </c>
      <c r="B450" t="s">
        <v>461</v>
      </c>
      <c r="C450">
        <v>5</v>
      </c>
      <c r="D450" t="s">
        <v>2948</v>
      </c>
      <c r="E450" t="s">
        <v>2952</v>
      </c>
      <c r="F450" t="s">
        <v>3379</v>
      </c>
      <c r="G450" s="2">
        <v>45643</v>
      </c>
      <c r="H450" s="2">
        <v>45654</v>
      </c>
      <c r="I450" t="s">
        <v>5766</v>
      </c>
      <c r="J450" t="s">
        <v>5769</v>
      </c>
      <c r="K450">
        <v>367726.53</v>
      </c>
      <c r="L450" t="s">
        <v>5773</v>
      </c>
      <c r="M450">
        <v>11</v>
      </c>
    </row>
    <row r="451" spans="1:13" x14ac:dyDescent="0.25">
      <c r="A451">
        <v>450</v>
      </c>
      <c r="B451" t="s">
        <v>462</v>
      </c>
      <c r="C451">
        <v>19</v>
      </c>
      <c r="D451" t="s">
        <v>2948</v>
      </c>
      <c r="E451" t="s">
        <v>2952</v>
      </c>
      <c r="F451" t="s">
        <v>3380</v>
      </c>
      <c r="G451" s="2">
        <v>45553</v>
      </c>
      <c r="H451" s="2">
        <v>45559</v>
      </c>
      <c r="I451" t="s">
        <v>5758</v>
      </c>
      <c r="J451" t="s">
        <v>5771</v>
      </c>
      <c r="K451">
        <v>458228.65</v>
      </c>
      <c r="L451" t="s">
        <v>5774</v>
      </c>
      <c r="M451">
        <v>6</v>
      </c>
    </row>
    <row r="452" spans="1:13" x14ac:dyDescent="0.25">
      <c r="A452">
        <v>451</v>
      </c>
      <c r="B452" t="s">
        <v>463</v>
      </c>
      <c r="C452">
        <v>68</v>
      </c>
      <c r="D452" t="s">
        <v>2947</v>
      </c>
      <c r="E452" t="s">
        <v>2954</v>
      </c>
      <c r="F452" t="s">
        <v>3381</v>
      </c>
      <c r="G452" s="2">
        <v>45880</v>
      </c>
      <c r="H452" s="2">
        <v>45884</v>
      </c>
      <c r="I452" t="s">
        <v>5767</v>
      </c>
      <c r="J452" t="s">
        <v>2949</v>
      </c>
      <c r="K452">
        <v>395877.17</v>
      </c>
      <c r="L452" t="s">
        <v>5773</v>
      </c>
      <c r="M452">
        <v>4</v>
      </c>
    </row>
    <row r="453" spans="1:13" x14ac:dyDescent="0.25">
      <c r="A453">
        <v>452</v>
      </c>
      <c r="B453" t="s">
        <v>464</v>
      </c>
      <c r="C453">
        <v>21</v>
      </c>
      <c r="D453" t="s">
        <v>2947</v>
      </c>
      <c r="E453" t="s">
        <v>2953</v>
      </c>
      <c r="F453" t="s">
        <v>3382</v>
      </c>
      <c r="G453" s="2">
        <v>45603</v>
      </c>
      <c r="H453" s="2">
        <v>45609</v>
      </c>
      <c r="I453" t="s">
        <v>5762</v>
      </c>
      <c r="J453" t="s">
        <v>5769</v>
      </c>
      <c r="K453">
        <v>238342.36</v>
      </c>
      <c r="L453" t="s">
        <v>5775</v>
      </c>
      <c r="M453">
        <v>6</v>
      </c>
    </row>
    <row r="454" spans="1:13" x14ac:dyDescent="0.25">
      <c r="A454">
        <v>453</v>
      </c>
      <c r="B454" t="s">
        <v>465</v>
      </c>
      <c r="C454">
        <v>77</v>
      </c>
      <c r="D454" t="s">
        <v>2948</v>
      </c>
      <c r="E454" t="s">
        <v>2953</v>
      </c>
      <c r="F454" t="s">
        <v>3383</v>
      </c>
      <c r="G454" s="2">
        <v>45634</v>
      </c>
      <c r="H454" s="2">
        <v>45644</v>
      </c>
      <c r="I454" t="s">
        <v>5765</v>
      </c>
      <c r="J454" t="s">
        <v>5771</v>
      </c>
      <c r="K454">
        <v>149194.34</v>
      </c>
      <c r="L454" t="s">
        <v>5775</v>
      </c>
      <c r="M454">
        <v>10</v>
      </c>
    </row>
    <row r="455" spans="1:13" x14ac:dyDescent="0.25">
      <c r="A455">
        <v>454</v>
      </c>
      <c r="B455" t="s">
        <v>466</v>
      </c>
      <c r="C455">
        <v>55</v>
      </c>
      <c r="D455" t="s">
        <v>2948</v>
      </c>
      <c r="E455" t="s">
        <v>2949</v>
      </c>
      <c r="F455" t="s">
        <v>3384</v>
      </c>
      <c r="G455" s="2">
        <v>45770</v>
      </c>
      <c r="H455" s="2">
        <v>45774</v>
      </c>
      <c r="I455" t="s">
        <v>5766</v>
      </c>
      <c r="J455" t="s">
        <v>2949</v>
      </c>
      <c r="K455">
        <v>132460.12</v>
      </c>
      <c r="L455" t="s">
        <v>5773</v>
      </c>
      <c r="M455">
        <v>4</v>
      </c>
    </row>
    <row r="456" spans="1:13" x14ac:dyDescent="0.25">
      <c r="A456">
        <v>455</v>
      </c>
      <c r="B456" t="s">
        <v>467</v>
      </c>
      <c r="C456">
        <v>86</v>
      </c>
      <c r="D456" t="s">
        <v>2948</v>
      </c>
      <c r="E456" t="s">
        <v>2951</v>
      </c>
      <c r="F456" t="s">
        <v>3385</v>
      </c>
      <c r="G456" s="2">
        <v>45685</v>
      </c>
      <c r="H456" s="2">
        <v>45695</v>
      </c>
      <c r="I456" t="s">
        <v>5764</v>
      </c>
      <c r="J456" t="s">
        <v>5772</v>
      </c>
      <c r="K456">
        <v>374534.02</v>
      </c>
      <c r="L456" t="s">
        <v>5773</v>
      </c>
      <c r="M456">
        <v>10</v>
      </c>
    </row>
    <row r="457" spans="1:13" x14ac:dyDescent="0.25">
      <c r="A457">
        <v>456</v>
      </c>
      <c r="B457" t="s">
        <v>468</v>
      </c>
      <c r="C457">
        <v>70</v>
      </c>
      <c r="D457" t="s">
        <v>2948</v>
      </c>
      <c r="E457" t="s">
        <v>2954</v>
      </c>
      <c r="F457" t="s">
        <v>3386</v>
      </c>
      <c r="G457" s="2">
        <v>45742</v>
      </c>
      <c r="H457" s="2">
        <v>45754</v>
      </c>
      <c r="I457" t="s">
        <v>5767</v>
      </c>
      <c r="J457" t="s">
        <v>5772</v>
      </c>
      <c r="K457">
        <v>485813.72</v>
      </c>
      <c r="L457" t="s">
        <v>5773</v>
      </c>
      <c r="M457">
        <v>12</v>
      </c>
    </row>
    <row r="458" spans="1:13" x14ac:dyDescent="0.25">
      <c r="A458">
        <v>457</v>
      </c>
      <c r="B458" t="s">
        <v>469</v>
      </c>
      <c r="C458">
        <v>8</v>
      </c>
      <c r="D458" t="s">
        <v>2948</v>
      </c>
      <c r="E458" t="s">
        <v>2952</v>
      </c>
      <c r="F458" t="s">
        <v>3387</v>
      </c>
      <c r="G458" s="2">
        <v>45696</v>
      </c>
      <c r="H458" s="2">
        <v>45708</v>
      </c>
      <c r="I458" t="s">
        <v>5760</v>
      </c>
      <c r="J458" t="s">
        <v>5772</v>
      </c>
      <c r="K458">
        <v>238054.22</v>
      </c>
      <c r="L458" t="s">
        <v>5775</v>
      </c>
      <c r="M458">
        <v>12</v>
      </c>
    </row>
    <row r="459" spans="1:13" x14ac:dyDescent="0.25">
      <c r="A459">
        <v>458</v>
      </c>
      <c r="B459" t="s">
        <v>470</v>
      </c>
      <c r="C459">
        <v>67</v>
      </c>
      <c r="D459" t="s">
        <v>2948</v>
      </c>
      <c r="E459" t="s">
        <v>2954</v>
      </c>
      <c r="F459" t="s">
        <v>3388</v>
      </c>
      <c r="G459" s="2">
        <v>45569</v>
      </c>
      <c r="H459" s="2">
        <v>45578</v>
      </c>
      <c r="I459" t="s">
        <v>5766</v>
      </c>
      <c r="J459" t="s">
        <v>5770</v>
      </c>
      <c r="K459">
        <v>426661.27</v>
      </c>
      <c r="L459" t="s">
        <v>5775</v>
      </c>
      <c r="M459">
        <v>9</v>
      </c>
    </row>
    <row r="460" spans="1:13" x14ac:dyDescent="0.25">
      <c r="A460">
        <v>459</v>
      </c>
      <c r="B460" t="s">
        <v>471</v>
      </c>
      <c r="C460">
        <v>84</v>
      </c>
      <c r="D460" t="s">
        <v>2948</v>
      </c>
      <c r="E460" t="s">
        <v>2951</v>
      </c>
      <c r="F460" t="s">
        <v>3389</v>
      </c>
      <c r="G460" s="2">
        <v>45628</v>
      </c>
      <c r="H460" s="2">
        <v>45631</v>
      </c>
      <c r="I460" t="s">
        <v>5762</v>
      </c>
      <c r="J460" t="s">
        <v>5772</v>
      </c>
      <c r="K460">
        <v>446673.94</v>
      </c>
      <c r="L460" t="s">
        <v>5775</v>
      </c>
      <c r="M460">
        <v>3</v>
      </c>
    </row>
    <row r="461" spans="1:13" x14ac:dyDescent="0.25">
      <c r="A461">
        <v>460</v>
      </c>
      <c r="B461" t="s">
        <v>472</v>
      </c>
      <c r="C461">
        <v>79</v>
      </c>
      <c r="D461" t="s">
        <v>2948</v>
      </c>
      <c r="E461" t="s">
        <v>2951</v>
      </c>
      <c r="F461" t="s">
        <v>1307</v>
      </c>
      <c r="G461" s="2">
        <v>45555</v>
      </c>
      <c r="H461" s="2">
        <v>45563</v>
      </c>
      <c r="I461" t="s">
        <v>5758</v>
      </c>
      <c r="J461" t="s">
        <v>5769</v>
      </c>
      <c r="K461">
        <v>188555.45</v>
      </c>
      <c r="L461" t="s">
        <v>5774</v>
      </c>
      <c r="M461">
        <v>8</v>
      </c>
    </row>
    <row r="462" spans="1:13" x14ac:dyDescent="0.25">
      <c r="A462">
        <v>461</v>
      </c>
      <c r="B462" t="s">
        <v>473</v>
      </c>
      <c r="C462">
        <v>4</v>
      </c>
      <c r="D462" t="s">
        <v>2947</v>
      </c>
      <c r="E462" t="s">
        <v>2951</v>
      </c>
      <c r="F462" t="s">
        <v>3390</v>
      </c>
      <c r="G462" s="2">
        <v>45808</v>
      </c>
      <c r="H462" s="2">
        <v>45818</v>
      </c>
      <c r="I462" t="s">
        <v>5767</v>
      </c>
      <c r="J462" t="s">
        <v>5771</v>
      </c>
      <c r="K462">
        <v>382494.14</v>
      </c>
      <c r="L462" t="s">
        <v>5774</v>
      </c>
      <c r="M462">
        <v>10</v>
      </c>
    </row>
    <row r="463" spans="1:13" x14ac:dyDescent="0.25">
      <c r="A463">
        <v>462</v>
      </c>
      <c r="B463" t="s">
        <v>474</v>
      </c>
      <c r="C463">
        <v>63</v>
      </c>
      <c r="D463" t="s">
        <v>2948</v>
      </c>
      <c r="E463" t="s">
        <v>2954</v>
      </c>
      <c r="F463" t="s">
        <v>3391</v>
      </c>
      <c r="G463" s="2">
        <v>45775</v>
      </c>
      <c r="H463" s="2">
        <v>45788</v>
      </c>
      <c r="I463" t="s">
        <v>5758</v>
      </c>
      <c r="J463" t="s">
        <v>5768</v>
      </c>
      <c r="K463">
        <v>393502.77</v>
      </c>
      <c r="L463" t="s">
        <v>5775</v>
      </c>
      <c r="M463">
        <v>13</v>
      </c>
    </row>
    <row r="464" spans="1:13" x14ac:dyDescent="0.25">
      <c r="A464">
        <v>463</v>
      </c>
      <c r="B464" t="s">
        <v>475</v>
      </c>
      <c r="C464">
        <v>72</v>
      </c>
      <c r="D464" t="s">
        <v>2947</v>
      </c>
      <c r="E464" t="s">
        <v>2953</v>
      </c>
      <c r="F464" t="s">
        <v>3392</v>
      </c>
      <c r="G464" s="2">
        <v>45819</v>
      </c>
      <c r="H464" s="2">
        <v>45829</v>
      </c>
      <c r="I464" t="s">
        <v>5763</v>
      </c>
      <c r="J464" t="s">
        <v>5772</v>
      </c>
      <c r="K464">
        <v>483914.93</v>
      </c>
      <c r="L464" t="s">
        <v>5774</v>
      </c>
      <c r="M464">
        <v>10</v>
      </c>
    </row>
    <row r="465" spans="1:13" x14ac:dyDescent="0.25">
      <c r="A465">
        <v>464</v>
      </c>
      <c r="B465" t="s">
        <v>476</v>
      </c>
      <c r="C465">
        <v>73</v>
      </c>
      <c r="D465" t="s">
        <v>2948</v>
      </c>
      <c r="E465" t="s">
        <v>2953</v>
      </c>
      <c r="F465" t="s">
        <v>2493</v>
      </c>
      <c r="G465" s="2">
        <v>45854</v>
      </c>
      <c r="H465" s="2">
        <v>45860</v>
      </c>
      <c r="I465" t="s">
        <v>5759</v>
      </c>
      <c r="J465" t="s">
        <v>5770</v>
      </c>
      <c r="K465">
        <v>237117.16</v>
      </c>
      <c r="L465" t="s">
        <v>5774</v>
      </c>
      <c r="M465">
        <v>6</v>
      </c>
    </row>
    <row r="466" spans="1:13" x14ac:dyDescent="0.25">
      <c r="A466">
        <v>465</v>
      </c>
      <c r="B466" t="s">
        <v>477</v>
      </c>
      <c r="C466">
        <v>70</v>
      </c>
      <c r="D466" t="s">
        <v>2948</v>
      </c>
      <c r="E466" t="s">
        <v>2952</v>
      </c>
      <c r="F466" t="s">
        <v>3393</v>
      </c>
      <c r="G466" s="2">
        <v>45849</v>
      </c>
      <c r="H466" s="2">
        <v>45864</v>
      </c>
      <c r="I466" t="s">
        <v>5767</v>
      </c>
      <c r="J466" t="s">
        <v>5768</v>
      </c>
      <c r="K466">
        <v>37775.699999999997</v>
      </c>
      <c r="L466" t="s">
        <v>5774</v>
      </c>
      <c r="M466">
        <v>15</v>
      </c>
    </row>
    <row r="467" spans="1:13" x14ac:dyDescent="0.25">
      <c r="A467">
        <v>466</v>
      </c>
      <c r="B467" t="s">
        <v>478</v>
      </c>
      <c r="C467">
        <v>23</v>
      </c>
      <c r="D467" t="s">
        <v>2948</v>
      </c>
      <c r="E467" t="s">
        <v>2951</v>
      </c>
      <c r="F467" t="s">
        <v>3394</v>
      </c>
      <c r="G467" s="2">
        <v>45733</v>
      </c>
      <c r="H467" s="2">
        <v>45747</v>
      </c>
      <c r="I467" t="s">
        <v>5758</v>
      </c>
      <c r="J467" t="s">
        <v>5768</v>
      </c>
      <c r="K467">
        <v>280610.28000000003</v>
      </c>
      <c r="L467" t="s">
        <v>5774</v>
      </c>
      <c r="M467">
        <v>14</v>
      </c>
    </row>
    <row r="468" spans="1:13" x14ac:dyDescent="0.25">
      <c r="A468">
        <v>467</v>
      </c>
      <c r="B468" t="s">
        <v>479</v>
      </c>
      <c r="C468">
        <v>25</v>
      </c>
      <c r="D468" t="s">
        <v>2947</v>
      </c>
      <c r="E468" t="s">
        <v>2949</v>
      </c>
      <c r="F468" t="s">
        <v>3395</v>
      </c>
      <c r="G468" s="2">
        <v>45812</v>
      </c>
      <c r="H468" s="2">
        <v>45823</v>
      </c>
      <c r="I468" t="s">
        <v>5767</v>
      </c>
      <c r="J468" t="s">
        <v>5770</v>
      </c>
      <c r="K468">
        <v>279840.57</v>
      </c>
      <c r="L468" t="s">
        <v>5773</v>
      </c>
      <c r="M468">
        <v>11</v>
      </c>
    </row>
    <row r="469" spans="1:13" x14ac:dyDescent="0.25">
      <c r="A469">
        <v>468</v>
      </c>
      <c r="B469" t="s">
        <v>480</v>
      </c>
      <c r="C469">
        <v>55</v>
      </c>
      <c r="D469" t="s">
        <v>2947</v>
      </c>
      <c r="E469" t="s">
        <v>2952</v>
      </c>
      <c r="F469" t="s">
        <v>3396</v>
      </c>
      <c r="G469" s="2">
        <v>45639</v>
      </c>
      <c r="H469" s="2">
        <v>45645</v>
      </c>
      <c r="I469" t="s">
        <v>5765</v>
      </c>
      <c r="J469" t="s">
        <v>5770</v>
      </c>
      <c r="K469">
        <v>167367.92000000001</v>
      </c>
      <c r="L469" t="s">
        <v>5773</v>
      </c>
      <c r="M469">
        <v>6</v>
      </c>
    </row>
    <row r="470" spans="1:13" x14ac:dyDescent="0.25">
      <c r="A470">
        <v>469</v>
      </c>
      <c r="B470" t="s">
        <v>481</v>
      </c>
      <c r="C470">
        <v>51</v>
      </c>
      <c r="D470" t="s">
        <v>2947</v>
      </c>
      <c r="E470" t="s">
        <v>2954</v>
      </c>
      <c r="F470" t="s">
        <v>3397</v>
      </c>
      <c r="G470" s="2">
        <v>45634</v>
      </c>
      <c r="H470" s="2">
        <v>45636</v>
      </c>
      <c r="I470" t="s">
        <v>5758</v>
      </c>
      <c r="J470" t="s">
        <v>5772</v>
      </c>
      <c r="K470">
        <v>344051.25</v>
      </c>
      <c r="L470" t="s">
        <v>5774</v>
      </c>
      <c r="M470">
        <v>2</v>
      </c>
    </row>
    <row r="471" spans="1:13" x14ac:dyDescent="0.25">
      <c r="A471">
        <v>470</v>
      </c>
      <c r="B471" t="s">
        <v>482</v>
      </c>
      <c r="C471">
        <v>51</v>
      </c>
      <c r="D471" t="s">
        <v>2948</v>
      </c>
      <c r="E471" t="s">
        <v>2953</v>
      </c>
      <c r="F471" t="s">
        <v>3398</v>
      </c>
      <c r="G471" s="2">
        <v>45694</v>
      </c>
      <c r="H471" s="2">
        <v>45698</v>
      </c>
      <c r="I471" t="s">
        <v>5760</v>
      </c>
      <c r="J471" t="s">
        <v>5768</v>
      </c>
      <c r="K471">
        <v>144128.5</v>
      </c>
      <c r="L471" t="s">
        <v>5775</v>
      </c>
      <c r="M471">
        <v>4</v>
      </c>
    </row>
    <row r="472" spans="1:13" x14ac:dyDescent="0.25">
      <c r="A472">
        <v>471</v>
      </c>
      <c r="B472" t="s">
        <v>483</v>
      </c>
      <c r="C472">
        <v>1</v>
      </c>
      <c r="D472" t="s">
        <v>2948</v>
      </c>
      <c r="E472" t="s">
        <v>2950</v>
      </c>
      <c r="F472" t="s">
        <v>3399</v>
      </c>
      <c r="G472" s="2">
        <v>45811</v>
      </c>
      <c r="H472" s="2">
        <v>45823</v>
      </c>
      <c r="I472" t="s">
        <v>5760</v>
      </c>
      <c r="J472" t="s">
        <v>5772</v>
      </c>
      <c r="K472">
        <v>94581.92</v>
      </c>
      <c r="L472" t="s">
        <v>5774</v>
      </c>
      <c r="M472">
        <v>12</v>
      </c>
    </row>
    <row r="473" spans="1:13" x14ac:dyDescent="0.25">
      <c r="A473">
        <v>472</v>
      </c>
      <c r="B473" t="s">
        <v>484</v>
      </c>
      <c r="C473">
        <v>33</v>
      </c>
      <c r="D473" t="s">
        <v>2947</v>
      </c>
      <c r="E473" t="s">
        <v>2951</v>
      </c>
      <c r="F473" t="s">
        <v>3400</v>
      </c>
      <c r="G473" s="2">
        <v>45861</v>
      </c>
      <c r="H473" s="2">
        <v>45864</v>
      </c>
      <c r="I473" t="s">
        <v>5765</v>
      </c>
      <c r="J473" t="s">
        <v>5772</v>
      </c>
      <c r="K473">
        <v>406433.74</v>
      </c>
      <c r="L473" t="s">
        <v>5774</v>
      </c>
      <c r="M473">
        <v>3</v>
      </c>
    </row>
    <row r="474" spans="1:13" x14ac:dyDescent="0.25">
      <c r="A474">
        <v>473</v>
      </c>
      <c r="B474" t="s">
        <v>485</v>
      </c>
      <c r="C474">
        <v>70</v>
      </c>
      <c r="D474" t="s">
        <v>2948</v>
      </c>
      <c r="E474" t="s">
        <v>2950</v>
      </c>
      <c r="F474" t="s">
        <v>3401</v>
      </c>
      <c r="G474" s="2">
        <v>45829</v>
      </c>
      <c r="H474" s="2">
        <v>45842</v>
      </c>
      <c r="I474" t="s">
        <v>5764</v>
      </c>
      <c r="J474" t="s">
        <v>2949</v>
      </c>
      <c r="K474">
        <v>10969.9</v>
      </c>
      <c r="L474" t="s">
        <v>5773</v>
      </c>
      <c r="M474">
        <v>13</v>
      </c>
    </row>
    <row r="475" spans="1:13" x14ac:dyDescent="0.25">
      <c r="A475">
        <v>474</v>
      </c>
      <c r="B475" t="s">
        <v>486</v>
      </c>
      <c r="C475">
        <v>14</v>
      </c>
      <c r="D475" t="s">
        <v>2948</v>
      </c>
      <c r="E475" t="s">
        <v>2950</v>
      </c>
      <c r="F475" t="s">
        <v>3402</v>
      </c>
      <c r="G475" s="2">
        <v>45759</v>
      </c>
      <c r="H475" s="2">
        <v>45768</v>
      </c>
      <c r="I475" t="s">
        <v>5761</v>
      </c>
      <c r="J475" t="s">
        <v>5768</v>
      </c>
      <c r="K475">
        <v>474341.25</v>
      </c>
      <c r="L475" t="s">
        <v>5774</v>
      </c>
      <c r="M475">
        <v>9</v>
      </c>
    </row>
    <row r="476" spans="1:13" x14ac:dyDescent="0.25">
      <c r="A476">
        <v>475</v>
      </c>
      <c r="B476" t="s">
        <v>487</v>
      </c>
      <c r="C476">
        <v>69</v>
      </c>
      <c r="D476" t="s">
        <v>2947</v>
      </c>
      <c r="E476" t="s">
        <v>2951</v>
      </c>
      <c r="F476" t="s">
        <v>3403</v>
      </c>
      <c r="G476" s="2">
        <v>45575</v>
      </c>
      <c r="H476" s="2">
        <v>45576</v>
      </c>
      <c r="I476" t="s">
        <v>5766</v>
      </c>
      <c r="J476" t="s">
        <v>5771</v>
      </c>
      <c r="K476">
        <v>280876.81</v>
      </c>
      <c r="L476" t="s">
        <v>5773</v>
      </c>
      <c r="M476">
        <v>1</v>
      </c>
    </row>
    <row r="477" spans="1:13" x14ac:dyDescent="0.25">
      <c r="A477">
        <v>476</v>
      </c>
      <c r="B477" t="s">
        <v>488</v>
      </c>
      <c r="C477">
        <v>78</v>
      </c>
      <c r="D477" t="s">
        <v>2947</v>
      </c>
      <c r="E477" t="s">
        <v>2950</v>
      </c>
      <c r="F477" t="s">
        <v>3404</v>
      </c>
      <c r="G477" s="2">
        <v>45754</v>
      </c>
      <c r="H477" s="2">
        <v>45768</v>
      </c>
      <c r="I477" t="s">
        <v>5760</v>
      </c>
      <c r="J477" t="s">
        <v>5772</v>
      </c>
      <c r="K477">
        <v>24688.99</v>
      </c>
      <c r="L477" t="s">
        <v>5775</v>
      </c>
      <c r="M477">
        <v>14</v>
      </c>
    </row>
    <row r="478" spans="1:13" x14ac:dyDescent="0.25">
      <c r="A478">
        <v>477</v>
      </c>
      <c r="B478" t="s">
        <v>489</v>
      </c>
      <c r="C478">
        <v>39</v>
      </c>
      <c r="D478" t="s">
        <v>2947</v>
      </c>
      <c r="E478" t="s">
        <v>2951</v>
      </c>
      <c r="F478" t="s">
        <v>3405</v>
      </c>
      <c r="G478" s="2">
        <v>45707</v>
      </c>
      <c r="H478" s="2">
        <v>45721</v>
      </c>
      <c r="I478" t="s">
        <v>5758</v>
      </c>
      <c r="J478" t="s">
        <v>2949</v>
      </c>
      <c r="K478">
        <v>373128.5</v>
      </c>
      <c r="L478" t="s">
        <v>5775</v>
      </c>
      <c r="M478">
        <v>14</v>
      </c>
    </row>
    <row r="479" spans="1:13" x14ac:dyDescent="0.25">
      <c r="A479">
        <v>478</v>
      </c>
      <c r="B479" t="s">
        <v>490</v>
      </c>
      <c r="C479">
        <v>3</v>
      </c>
      <c r="D479" t="s">
        <v>2948</v>
      </c>
      <c r="E479" t="s">
        <v>2950</v>
      </c>
      <c r="F479" t="s">
        <v>3406</v>
      </c>
      <c r="G479" s="2">
        <v>45700</v>
      </c>
      <c r="H479" s="2">
        <v>45708</v>
      </c>
      <c r="I479" t="s">
        <v>5764</v>
      </c>
      <c r="J479" t="s">
        <v>5772</v>
      </c>
      <c r="K479">
        <v>339853.68</v>
      </c>
      <c r="L479" t="s">
        <v>5773</v>
      </c>
      <c r="M479">
        <v>8</v>
      </c>
    </row>
    <row r="480" spans="1:13" x14ac:dyDescent="0.25">
      <c r="A480">
        <v>479</v>
      </c>
      <c r="B480" t="s">
        <v>491</v>
      </c>
      <c r="C480">
        <v>67</v>
      </c>
      <c r="D480" t="s">
        <v>2947</v>
      </c>
      <c r="E480" t="s">
        <v>2955</v>
      </c>
      <c r="F480" t="s">
        <v>3407</v>
      </c>
      <c r="G480" s="2">
        <v>45609</v>
      </c>
      <c r="H480" s="2">
        <v>45623</v>
      </c>
      <c r="I480" t="s">
        <v>5762</v>
      </c>
      <c r="J480" t="s">
        <v>5770</v>
      </c>
      <c r="K480">
        <v>231524.64</v>
      </c>
      <c r="L480" t="s">
        <v>5773</v>
      </c>
      <c r="M480">
        <v>14</v>
      </c>
    </row>
    <row r="481" spans="1:13" x14ac:dyDescent="0.25">
      <c r="A481">
        <v>480</v>
      </c>
      <c r="B481" t="s">
        <v>492</v>
      </c>
      <c r="C481">
        <v>59</v>
      </c>
      <c r="D481" t="s">
        <v>2948</v>
      </c>
      <c r="E481" t="s">
        <v>2949</v>
      </c>
      <c r="F481" t="s">
        <v>3408</v>
      </c>
      <c r="G481" s="2">
        <v>45657</v>
      </c>
      <c r="H481" s="2">
        <v>45665</v>
      </c>
      <c r="I481" t="s">
        <v>5761</v>
      </c>
      <c r="J481" t="s">
        <v>5768</v>
      </c>
      <c r="K481">
        <v>250484.04</v>
      </c>
      <c r="L481" t="s">
        <v>5774</v>
      </c>
      <c r="M481">
        <v>8</v>
      </c>
    </row>
    <row r="482" spans="1:13" x14ac:dyDescent="0.25">
      <c r="A482">
        <v>481</v>
      </c>
      <c r="B482" t="s">
        <v>493</v>
      </c>
      <c r="C482">
        <v>55</v>
      </c>
      <c r="D482" t="s">
        <v>2948</v>
      </c>
      <c r="E482" t="s">
        <v>2953</v>
      </c>
      <c r="F482" t="s">
        <v>3409</v>
      </c>
      <c r="G482" s="2">
        <v>45621</v>
      </c>
      <c r="H482" s="2">
        <v>45627</v>
      </c>
      <c r="I482" t="s">
        <v>5767</v>
      </c>
      <c r="J482" t="s">
        <v>2949</v>
      </c>
      <c r="K482">
        <v>414494.06</v>
      </c>
      <c r="L482" t="s">
        <v>5775</v>
      </c>
      <c r="M482">
        <v>6</v>
      </c>
    </row>
    <row r="483" spans="1:13" x14ac:dyDescent="0.25">
      <c r="A483">
        <v>482</v>
      </c>
      <c r="B483" t="s">
        <v>494</v>
      </c>
      <c r="C483">
        <v>77</v>
      </c>
      <c r="D483" t="s">
        <v>2947</v>
      </c>
      <c r="E483" t="s">
        <v>2954</v>
      </c>
      <c r="F483" t="s">
        <v>3410</v>
      </c>
      <c r="G483" s="2">
        <v>45911</v>
      </c>
      <c r="H483" s="2">
        <v>45925</v>
      </c>
      <c r="I483" t="s">
        <v>5763</v>
      </c>
      <c r="J483" t="s">
        <v>5768</v>
      </c>
      <c r="K483">
        <v>485129.99</v>
      </c>
      <c r="L483" t="s">
        <v>5775</v>
      </c>
      <c r="M483">
        <v>14</v>
      </c>
    </row>
    <row r="484" spans="1:13" x14ac:dyDescent="0.25">
      <c r="A484">
        <v>483</v>
      </c>
      <c r="B484" t="s">
        <v>495</v>
      </c>
      <c r="C484">
        <v>86</v>
      </c>
      <c r="D484" t="s">
        <v>2947</v>
      </c>
      <c r="E484" t="s">
        <v>2952</v>
      </c>
      <c r="F484" t="s">
        <v>3411</v>
      </c>
      <c r="G484" s="2">
        <v>45723</v>
      </c>
      <c r="H484" s="2">
        <v>45736</v>
      </c>
      <c r="I484" t="s">
        <v>5765</v>
      </c>
      <c r="J484" t="s">
        <v>5772</v>
      </c>
      <c r="K484">
        <v>410303.76</v>
      </c>
      <c r="L484" t="s">
        <v>5773</v>
      </c>
      <c r="M484">
        <v>13</v>
      </c>
    </row>
    <row r="485" spans="1:13" x14ac:dyDescent="0.25">
      <c r="A485">
        <v>484</v>
      </c>
      <c r="B485" t="s">
        <v>496</v>
      </c>
      <c r="C485">
        <v>64</v>
      </c>
      <c r="D485" t="s">
        <v>2948</v>
      </c>
      <c r="E485" t="s">
        <v>2952</v>
      </c>
      <c r="F485" t="s">
        <v>3412</v>
      </c>
      <c r="G485" s="2">
        <v>45756</v>
      </c>
      <c r="H485" s="2">
        <v>45760</v>
      </c>
      <c r="I485" t="s">
        <v>5760</v>
      </c>
      <c r="J485" t="s">
        <v>5772</v>
      </c>
      <c r="K485">
        <v>444238.9</v>
      </c>
      <c r="L485" t="s">
        <v>5773</v>
      </c>
      <c r="M485">
        <v>4</v>
      </c>
    </row>
    <row r="486" spans="1:13" x14ac:dyDescent="0.25">
      <c r="A486">
        <v>485</v>
      </c>
      <c r="B486" t="s">
        <v>497</v>
      </c>
      <c r="C486">
        <v>60</v>
      </c>
      <c r="D486" t="s">
        <v>2947</v>
      </c>
      <c r="E486" t="s">
        <v>2951</v>
      </c>
      <c r="F486" t="s">
        <v>3413</v>
      </c>
      <c r="G486" s="2">
        <v>45765</v>
      </c>
      <c r="H486" s="2">
        <v>45771</v>
      </c>
      <c r="I486" t="s">
        <v>5767</v>
      </c>
      <c r="J486" t="s">
        <v>5771</v>
      </c>
      <c r="K486">
        <v>16310.47</v>
      </c>
      <c r="L486" t="s">
        <v>5775</v>
      </c>
      <c r="M486">
        <v>6</v>
      </c>
    </row>
    <row r="487" spans="1:13" x14ac:dyDescent="0.25">
      <c r="A487">
        <v>486</v>
      </c>
      <c r="B487" t="s">
        <v>498</v>
      </c>
      <c r="C487">
        <v>39</v>
      </c>
      <c r="D487" t="s">
        <v>2948</v>
      </c>
      <c r="E487" t="s">
        <v>2954</v>
      </c>
      <c r="F487" t="s">
        <v>3414</v>
      </c>
      <c r="G487" s="2">
        <v>45631</v>
      </c>
      <c r="H487" s="2">
        <v>45642</v>
      </c>
      <c r="I487" t="s">
        <v>5767</v>
      </c>
      <c r="J487" t="s">
        <v>5770</v>
      </c>
      <c r="K487">
        <v>86792.42</v>
      </c>
      <c r="L487" t="s">
        <v>5773</v>
      </c>
      <c r="M487">
        <v>11</v>
      </c>
    </row>
    <row r="488" spans="1:13" x14ac:dyDescent="0.25">
      <c r="A488">
        <v>487</v>
      </c>
      <c r="B488" t="s">
        <v>499</v>
      </c>
      <c r="C488">
        <v>11</v>
      </c>
      <c r="D488" t="s">
        <v>2948</v>
      </c>
      <c r="E488" t="s">
        <v>2949</v>
      </c>
      <c r="F488" t="s">
        <v>3415</v>
      </c>
      <c r="G488" s="2">
        <v>45902</v>
      </c>
      <c r="H488" s="2">
        <v>45906</v>
      </c>
      <c r="I488" t="s">
        <v>5766</v>
      </c>
      <c r="J488" t="s">
        <v>5772</v>
      </c>
      <c r="K488">
        <v>75271.039999999994</v>
      </c>
      <c r="L488" t="s">
        <v>5775</v>
      </c>
      <c r="M488">
        <v>4</v>
      </c>
    </row>
    <row r="489" spans="1:13" x14ac:dyDescent="0.25">
      <c r="A489">
        <v>488</v>
      </c>
      <c r="B489" t="s">
        <v>500</v>
      </c>
      <c r="C489">
        <v>78</v>
      </c>
      <c r="D489" t="s">
        <v>2947</v>
      </c>
      <c r="E489" t="s">
        <v>2954</v>
      </c>
      <c r="F489" t="s">
        <v>3416</v>
      </c>
      <c r="G489" s="2">
        <v>45581</v>
      </c>
      <c r="H489" s="2">
        <v>45588</v>
      </c>
      <c r="I489" t="s">
        <v>5759</v>
      </c>
      <c r="J489" t="s">
        <v>5769</v>
      </c>
      <c r="K489">
        <v>168193.94</v>
      </c>
      <c r="L489" t="s">
        <v>5774</v>
      </c>
      <c r="M489">
        <v>7</v>
      </c>
    </row>
    <row r="490" spans="1:13" x14ac:dyDescent="0.25">
      <c r="A490">
        <v>489</v>
      </c>
      <c r="B490" t="s">
        <v>501</v>
      </c>
      <c r="C490">
        <v>56</v>
      </c>
      <c r="D490" t="s">
        <v>2948</v>
      </c>
      <c r="E490" t="s">
        <v>2954</v>
      </c>
      <c r="F490" t="s">
        <v>3417</v>
      </c>
      <c r="G490" s="2">
        <v>45638</v>
      </c>
      <c r="H490" s="2">
        <v>45640</v>
      </c>
      <c r="I490" t="s">
        <v>5763</v>
      </c>
      <c r="J490" t="s">
        <v>5769</v>
      </c>
      <c r="K490">
        <v>215795.57</v>
      </c>
      <c r="L490" t="s">
        <v>5773</v>
      </c>
      <c r="M490">
        <v>2</v>
      </c>
    </row>
    <row r="491" spans="1:13" x14ac:dyDescent="0.25">
      <c r="A491">
        <v>490</v>
      </c>
      <c r="B491" t="s">
        <v>502</v>
      </c>
      <c r="C491">
        <v>39</v>
      </c>
      <c r="D491" t="s">
        <v>2948</v>
      </c>
      <c r="E491" t="s">
        <v>2954</v>
      </c>
      <c r="F491" t="s">
        <v>3418</v>
      </c>
      <c r="G491" s="2">
        <v>45806</v>
      </c>
      <c r="H491" s="2">
        <v>45817</v>
      </c>
      <c r="I491" t="s">
        <v>5763</v>
      </c>
      <c r="J491" t="s">
        <v>5772</v>
      </c>
      <c r="K491">
        <v>437411.14</v>
      </c>
      <c r="L491" t="s">
        <v>5774</v>
      </c>
      <c r="M491">
        <v>11</v>
      </c>
    </row>
    <row r="492" spans="1:13" x14ac:dyDescent="0.25">
      <c r="A492">
        <v>491</v>
      </c>
      <c r="B492" t="s">
        <v>503</v>
      </c>
      <c r="C492">
        <v>77</v>
      </c>
      <c r="D492" t="s">
        <v>2948</v>
      </c>
      <c r="E492" t="s">
        <v>2953</v>
      </c>
      <c r="F492" t="s">
        <v>3419</v>
      </c>
      <c r="G492" s="2">
        <v>45889</v>
      </c>
      <c r="H492" s="2">
        <v>45900</v>
      </c>
      <c r="I492" t="s">
        <v>5762</v>
      </c>
      <c r="J492" t="s">
        <v>5768</v>
      </c>
      <c r="K492">
        <v>183494.24</v>
      </c>
      <c r="L492" t="s">
        <v>5773</v>
      </c>
      <c r="M492">
        <v>11</v>
      </c>
    </row>
    <row r="493" spans="1:13" x14ac:dyDescent="0.25">
      <c r="A493">
        <v>492</v>
      </c>
      <c r="B493" t="s">
        <v>504</v>
      </c>
      <c r="C493">
        <v>57</v>
      </c>
      <c r="D493" t="s">
        <v>2947</v>
      </c>
      <c r="E493" t="s">
        <v>2953</v>
      </c>
      <c r="F493" t="s">
        <v>3420</v>
      </c>
      <c r="G493" s="2">
        <v>45560</v>
      </c>
      <c r="H493" s="2">
        <v>45562</v>
      </c>
      <c r="I493" t="s">
        <v>5765</v>
      </c>
      <c r="J493" t="s">
        <v>5772</v>
      </c>
      <c r="K493">
        <v>28326.06</v>
      </c>
      <c r="L493" t="s">
        <v>5773</v>
      </c>
      <c r="M493">
        <v>2</v>
      </c>
    </row>
    <row r="494" spans="1:13" x14ac:dyDescent="0.25">
      <c r="A494">
        <v>493</v>
      </c>
      <c r="B494" t="s">
        <v>505</v>
      </c>
      <c r="C494">
        <v>43</v>
      </c>
      <c r="D494" t="s">
        <v>2947</v>
      </c>
      <c r="E494" t="s">
        <v>2949</v>
      </c>
      <c r="F494" t="s">
        <v>3421</v>
      </c>
      <c r="G494" s="2">
        <v>45865</v>
      </c>
      <c r="H494" s="2">
        <v>45871</v>
      </c>
      <c r="I494" t="s">
        <v>5764</v>
      </c>
      <c r="J494" t="s">
        <v>5769</v>
      </c>
      <c r="K494">
        <v>150273.54</v>
      </c>
      <c r="L494" t="s">
        <v>5773</v>
      </c>
      <c r="M494">
        <v>6</v>
      </c>
    </row>
    <row r="495" spans="1:13" x14ac:dyDescent="0.25">
      <c r="A495">
        <v>494</v>
      </c>
      <c r="B495" t="s">
        <v>506</v>
      </c>
      <c r="C495">
        <v>27</v>
      </c>
      <c r="D495" t="s">
        <v>2948</v>
      </c>
      <c r="E495" t="s">
        <v>2954</v>
      </c>
      <c r="F495" t="s">
        <v>3422</v>
      </c>
      <c r="G495" s="2">
        <v>45708</v>
      </c>
      <c r="H495" s="2">
        <v>45715</v>
      </c>
      <c r="I495" t="s">
        <v>5760</v>
      </c>
      <c r="J495" t="s">
        <v>5768</v>
      </c>
      <c r="K495">
        <v>392770.2</v>
      </c>
      <c r="L495" t="s">
        <v>5774</v>
      </c>
      <c r="M495">
        <v>7</v>
      </c>
    </row>
    <row r="496" spans="1:13" x14ac:dyDescent="0.25">
      <c r="A496">
        <v>495</v>
      </c>
      <c r="B496" t="s">
        <v>507</v>
      </c>
      <c r="C496">
        <v>5</v>
      </c>
      <c r="D496" t="s">
        <v>2948</v>
      </c>
      <c r="E496" t="s">
        <v>2953</v>
      </c>
      <c r="F496" t="s">
        <v>3423</v>
      </c>
      <c r="G496" s="2">
        <v>45789</v>
      </c>
      <c r="H496" s="2">
        <v>45803</v>
      </c>
      <c r="I496" t="s">
        <v>5758</v>
      </c>
      <c r="J496" t="s">
        <v>5771</v>
      </c>
      <c r="K496">
        <v>92961.279999999999</v>
      </c>
      <c r="L496" t="s">
        <v>5775</v>
      </c>
      <c r="M496">
        <v>14</v>
      </c>
    </row>
    <row r="497" spans="1:13" x14ac:dyDescent="0.25">
      <c r="A497">
        <v>496</v>
      </c>
      <c r="B497" t="s">
        <v>508</v>
      </c>
      <c r="C497">
        <v>8</v>
      </c>
      <c r="D497" t="s">
        <v>2948</v>
      </c>
      <c r="E497" t="s">
        <v>2951</v>
      </c>
      <c r="F497" t="s">
        <v>3424</v>
      </c>
      <c r="G497" s="2">
        <v>45815</v>
      </c>
      <c r="H497" s="2">
        <v>45830</v>
      </c>
      <c r="I497" t="s">
        <v>5765</v>
      </c>
      <c r="J497" t="s">
        <v>5768</v>
      </c>
      <c r="K497">
        <v>368387.23</v>
      </c>
      <c r="L497" t="s">
        <v>5774</v>
      </c>
      <c r="M497">
        <v>15</v>
      </c>
    </row>
    <row r="498" spans="1:13" x14ac:dyDescent="0.25">
      <c r="A498">
        <v>497</v>
      </c>
      <c r="B498" t="s">
        <v>509</v>
      </c>
      <c r="C498">
        <v>28</v>
      </c>
      <c r="D498" t="s">
        <v>2947</v>
      </c>
      <c r="E498" t="s">
        <v>2949</v>
      </c>
      <c r="F498" t="s">
        <v>3425</v>
      </c>
      <c r="G498" s="2">
        <v>45820</v>
      </c>
      <c r="H498" s="2">
        <v>45825</v>
      </c>
      <c r="I498" t="s">
        <v>5758</v>
      </c>
      <c r="J498" t="s">
        <v>5772</v>
      </c>
      <c r="K498">
        <v>85291.67</v>
      </c>
      <c r="L498" t="s">
        <v>5775</v>
      </c>
      <c r="M498">
        <v>5</v>
      </c>
    </row>
    <row r="499" spans="1:13" x14ac:dyDescent="0.25">
      <c r="A499">
        <v>498</v>
      </c>
      <c r="B499" t="s">
        <v>510</v>
      </c>
      <c r="C499">
        <v>35</v>
      </c>
      <c r="D499" t="s">
        <v>2948</v>
      </c>
      <c r="E499" t="s">
        <v>2949</v>
      </c>
      <c r="F499" t="s">
        <v>3426</v>
      </c>
      <c r="G499" s="2">
        <v>45732</v>
      </c>
      <c r="H499" s="2">
        <v>45744</v>
      </c>
      <c r="I499" t="s">
        <v>5761</v>
      </c>
      <c r="J499" t="s">
        <v>5768</v>
      </c>
      <c r="K499">
        <v>422346.54</v>
      </c>
      <c r="L499" t="s">
        <v>5774</v>
      </c>
      <c r="M499">
        <v>12</v>
      </c>
    </row>
    <row r="500" spans="1:13" x14ac:dyDescent="0.25">
      <c r="A500">
        <v>499</v>
      </c>
      <c r="B500" t="s">
        <v>511</v>
      </c>
      <c r="C500">
        <v>15</v>
      </c>
      <c r="D500" t="s">
        <v>2948</v>
      </c>
      <c r="E500" t="s">
        <v>2949</v>
      </c>
      <c r="F500" t="s">
        <v>3427</v>
      </c>
      <c r="G500" s="2">
        <v>45726</v>
      </c>
      <c r="H500" s="2">
        <v>45728</v>
      </c>
      <c r="I500" t="s">
        <v>5767</v>
      </c>
      <c r="J500" t="s">
        <v>5769</v>
      </c>
      <c r="K500">
        <v>372458.83</v>
      </c>
      <c r="L500" t="s">
        <v>5774</v>
      </c>
      <c r="M500">
        <v>2</v>
      </c>
    </row>
    <row r="501" spans="1:13" x14ac:dyDescent="0.25">
      <c r="A501">
        <v>500</v>
      </c>
      <c r="B501" t="s">
        <v>512</v>
      </c>
      <c r="C501">
        <v>18</v>
      </c>
      <c r="D501" t="s">
        <v>2947</v>
      </c>
      <c r="E501" t="s">
        <v>2952</v>
      </c>
      <c r="F501" t="s">
        <v>3428</v>
      </c>
      <c r="G501" s="2">
        <v>45568</v>
      </c>
      <c r="H501" s="2">
        <v>45574</v>
      </c>
      <c r="I501" t="s">
        <v>5766</v>
      </c>
      <c r="J501" t="s">
        <v>5772</v>
      </c>
      <c r="K501">
        <v>155930.31</v>
      </c>
      <c r="L501" t="s">
        <v>5774</v>
      </c>
      <c r="M501">
        <v>6</v>
      </c>
    </row>
    <row r="502" spans="1:13" x14ac:dyDescent="0.25">
      <c r="A502">
        <v>501</v>
      </c>
      <c r="B502" t="s">
        <v>513</v>
      </c>
      <c r="C502">
        <v>80</v>
      </c>
      <c r="D502" t="s">
        <v>2948</v>
      </c>
      <c r="E502" t="s">
        <v>2954</v>
      </c>
      <c r="F502" t="s">
        <v>3429</v>
      </c>
      <c r="G502" s="2">
        <v>45870</v>
      </c>
      <c r="H502" s="2">
        <v>45881</v>
      </c>
      <c r="I502" t="s">
        <v>5759</v>
      </c>
      <c r="J502" t="s">
        <v>2949</v>
      </c>
      <c r="K502">
        <v>10442.85</v>
      </c>
      <c r="L502" t="s">
        <v>5774</v>
      </c>
      <c r="M502">
        <v>11</v>
      </c>
    </row>
    <row r="503" spans="1:13" x14ac:dyDescent="0.25">
      <c r="A503">
        <v>502</v>
      </c>
      <c r="B503" t="s">
        <v>514</v>
      </c>
      <c r="C503">
        <v>30</v>
      </c>
      <c r="D503" t="s">
        <v>2947</v>
      </c>
      <c r="E503" t="s">
        <v>2954</v>
      </c>
      <c r="F503" t="s">
        <v>3430</v>
      </c>
      <c r="G503" s="2">
        <v>45571</v>
      </c>
      <c r="H503" s="2">
        <v>45577</v>
      </c>
      <c r="I503" t="s">
        <v>5758</v>
      </c>
      <c r="J503" t="s">
        <v>5768</v>
      </c>
      <c r="K503">
        <v>413989.92</v>
      </c>
      <c r="L503" t="s">
        <v>5774</v>
      </c>
      <c r="M503">
        <v>6</v>
      </c>
    </row>
    <row r="504" spans="1:13" x14ac:dyDescent="0.25">
      <c r="A504">
        <v>503</v>
      </c>
      <c r="B504" t="s">
        <v>515</v>
      </c>
      <c r="C504">
        <v>46</v>
      </c>
      <c r="D504" t="s">
        <v>2948</v>
      </c>
      <c r="E504" t="s">
        <v>2949</v>
      </c>
      <c r="F504" t="s">
        <v>3431</v>
      </c>
      <c r="G504" s="2">
        <v>45791</v>
      </c>
      <c r="H504" s="2">
        <v>45793</v>
      </c>
      <c r="I504" t="s">
        <v>5758</v>
      </c>
      <c r="J504" t="s">
        <v>5770</v>
      </c>
      <c r="K504">
        <v>102395.53</v>
      </c>
      <c r="L504" t="s">
        <v>5775</v>
      </c>
      <c r="M504">
        <v>2</v>
      </c>
    </row>
    <row r="505" spans="1:13" x14ac:dyDescent="0.25">
      <c r="A505">
        <v>504</v>
      </c>
      <c r="B505" t="s">
        <v>516</v>
      </c>
      <c r="C505">
        <v>85</v>
      </c>
      <c r="D505" t="s">
        <v>2948</v>
      </c>
      <c r="E505" t="s">
        <v>2953</v>
      </c>
      <c r="F505" t="s">
        <v>3432</v>
      </c>
      <c r="G505" s="2">
        <v>45550</v>
      </c>
      <c r="H505" s="2">
        <v>45560</v>
      </c>
      <c r="I505" t="s">
        <v>5762</v>
      </c>
      <c r="J505" t="s">
        <v>5768</v>
      </c>
      <c r="K505">
        <v>135744.70000000001</v>
      </c>
      <c r="L505" t="s">
        <v>5774</v>
      </c>
      <c r="M505">
        <v>10</v>
      </c>
    </row>
    <row r="506" spans="1:13" x14ac:dyDescent="0.25">
      <c r="A506">
        <v>505</v>
      </c>
      <c r="B506" t="s">
        <v>517</v>
      </c>
      <c r="C506">
        <v>3</v>
      </c>
      <c r="D506" t="s">
        <v>2947</v>
      </c>
      <c r="E506" t="s">
        <v>2950</v>
      </c>
      <c r="F506" t="s">
        <v>3433</v>
      </c>
      <c r="G506" s="2">
        <v>45622</v>
      </c>
      <c r="H506" s="2">
        <v>45636</v>
      </c>
      <c r="I506" t="s">
        <v>5764</v>
      </c>
      <c r="J506" t="s">
        <v>5770</v>
      </c>
      <c r="K506">
        <v>374578.06</v>
      </c>
      <c r="L506" t="s">
        <v>5773</v>
      </c>
      <c r="M506">
        <v>14</v>
      </c>
    </row>
    <row r="507" spans="1:13" x14ac:dyDescent="0.25">
      <c r="A507">
        <v>506</v>
      </c>
      <c r="B507" t="s">
        <v>518</v>
      </c>
      <c r="C507">
        <v>24</v>
      </c>
      <c r="D507" t="s">
        <v>2947</v>
      </c>
      <c r="E507" t="s">
        <v>2952</v>
      </c>
      <c r="F507" t="s">
        <v>3434</v>
      </c>
      <c r="G507" s="2">
        <v>45853</v>
      </c>
      <c r="H507" s="2">
        <v>45860</v>
      </c>
      <c r="I507" t="s">
        <v>5766</v>
      </c>
      <c r="J507" t="s">
        <v>5768</v>
      </c>
      <c r="K507">
        <v>332173.96999999997</v>
      </c>
      <c r="L507" t="s">
        <v>5775</v>
      </c>
      <c r="M507">
        <v>7</v>
      </c>
    </row>
    <row r="508" spans="1:13" x14ac:dyDescent="0.25">
      <c r="A508">
        <v>507</v>
      </c>
      <c r="B508" t="s">
        <v>519</v>
      </c>
      <c r="C508">
        <v>64</v>
      </c>
      <c r="D508" t="s">
        <v>2947</v>
      </c>
      <c r="E508" t="s">
        <v>2950</v>
      </c>
      <c r="F508" t="s">
        <v>3435</v>
      </c>
      <c r="G508" s="2">
        <v>45551</v>
      </c>
      <c r="H508" s="2">
        <v>45562</v>
      </c>
      <c r="I508" t="s">
        <v>5763</v>
      </c>
      <c r="J508" t="s">
        <v>5769</v>
      </c>
      <c r="K508">
        <v>208037.74</v>
      </c>
      <c r="L508" t="s">
        <v>5775</v>
      </c>
      <c r="M508">
        <v>11</v>
      </c>
    </row>
    <row r="509" spans="1:13" x14ac:dyDescent="0.25">
      <c r="A509">
        <v>508</v>
      </c>
      <c r="B509" t="s">
        <v>520</v>
      </c>
      <c r="C509">
        <v>50</v>
      </c>
      <c r="D509" t="s">
        <v>2947</v>
      </c>
      <c r="E509" t="s">
        <v>2949</v>
      </c>
      <c r="F509" t="s">
        <v>3436</v>
      </c>
      <c r="G509" s="2">
        <v>45788</v>
      </c>
      <c r="H509" s="2">
        <v>45803</v>
      </c>
      <c r="I509" t="s">
        <v>5765</v>
      </c>
      <c r="J509" t="s">
        <v>5769</v>
      </c>
      <c r="K509">
        <v>91333.66</v>
      </c>
      <c r="L509" t="s">
        <v>5775</v>
      </c>
      <c r="M509">
        <v>15</v>
      </c>
    </row>
    <row r="510" spans="1:13" x14ac:dyDescent="0.25">
      <c r="A510">
        <v>509</v>
      </c>
      <c r="B510" t="s">
        <v>521</v>
      </c>
      <c r="C510">
        <v>6</v>
      </c>
      <c r="D510" t="s">
        <v>2947</v>
      </c>
      <c r="E510" t="s">
        <v>2949</v>
      </c>
      <c r="F510" t="s">
        <v>3437</v>
      </c>
      <c r="G510" s="2">
        <v>45624</v>
      </c>
      <c r="H510" s="2">
        <v>45635</v>
      </c>
      <c r="I510" t="s">
        <v>5759</v>
      </c>
      <c r="J510" t="s">
        <v>2949</v>
      </c>
      <c r="K510">
        <v>101851.36</v>
      </c>
      <c r="L510" t="s">
        <v>5774</v>
      </c>
      <c r="M510">
        <v>11</v>
      </c>
    </row>
    <row r="511" spans="1:13" x14ac:dyDescent="0.25">
      <c r="A511">
        <v>510</v>
      </c>
      <c r="B511" t="s">
        <v>522</v>
      </c>
      <c r="C511">
        <v>34</v>
      </c>
      <c r="D511" t="s">
        <v>2947</v>
      </c>
      <c r="E511" t="s">
        <v>2952</v>
      </c>
      <c r="F511" t="s">
        <v>3438</v>
      </c>
      <c r="G511" s="2">
        <v>45854</v>
      </c>
      <c r="H511" s="2">
        <v>45857</v>
      </c>
      <c r="I511" t="s">
        <v>5759</v>
      </c>
      <c r="J511" t="s">
        <v>2949</v>
      </c>
      <c r="K511">
        <v>394848.09</v>
      </c>
      <c r="L511" t="s">
        <v>5774</v>
      </c>
      <c r="M511">
        <v>3</v>
      </c>
    </row>
    <row r="512" spans="1:13" x14ac:dyDescent="0.25">
      <c r="A512">
        <v>511</v>
      </c>
      <c r="B512" t="s">
        <v>523</v>
      </c>
      <c r="C512">
        <v>59</v>
      </c>
      <c r="D512" t="s">
        <v>2947</v>
      </c>
      <c r="E512" t="s">
        <v>2955</v>
      </c>
      <c r="F512" t="s">
        <v>3439</v>
      </c>
      <c r="G512" s="2">
        <v>45625</v>
      </c>
      <c r="H512" s="2">
        <v>45634</v>
      </c>
      <c r="I512" t="s">
        <v>5764</v>
      </c>
      <c r="J512" t="s">
        <v>5772</v>
      </c>
      <c r="K512">
        <v>328058.40999999997</v>
      </c>
      <c r="L512" t="s">
        <v>5773</v>
      </c>
      <c r="M512">
        <v>9</v>
      </c>
    </row>
    <row r="513" spans="1:13" x14ac:dyDescent="0.25">
      <c r="A513">
        <v>512</v>
      </c>
      <c r="B513" t="s">
        <v>524</v>
      </c>
      <c r="C513">
        <v>13</v>
      </c>
      <c r="D513" t="s">
        <v>2948</v>
      </c>
      <c r="E513" t="s">
        <v>2950</v>
      </c>
      <c r="F513" t="s">
        <v>3440</v>
      </c>
      <c r="G513" s="2">
        <v>45865</v>
      </c>
      <c r="H513" s="2">
        <v>45880</v>
      </c>
      <c r="I513" t="s">
        <v>5759</v>
      </c>
      <c r="J513" t="s">
        <v>5769</v>
      </c>
      <c r="K513">
        <v>191781.92</v>
      </c>
      <c r="L513" t="s">
        <v>5775</v>
      </c>
      <c r="M513">
        <v>15</v>
      </c>
    </row>
    <row r="514" spans="1:13" x14ac:dyDescent="0.25">
      <c r="A514">
        <v>513</v>
      </c>
      <c r="B514" t="s">
        <v>525</v>
      </c>
      <c r="C514">
        <v>58</v>
      </c>
      <c r="D514" t="s">
        <v>2948</v>
      </c>
      <c r="E514" t="s">
        <v>2955</v>
      </c>
      <c r="F514" t="s">
        <v>3441</v>
      </c>
      <c r="G514" s="2">
        <v>45906</v>
      </c>
      <c r="H514" s="2">
        <v>45914</v>
      </c>
      <c r="I514" t="s">
        <v>5758</v>
      </c>
      <c r="J514" t="s">
        <v>5768</v>
      </c>
      <c r="K514">
        <v>24228.86</v>
      </c>
      <c r="L514" t="s">
        <v>5773</v>
      </c>
      <c r="M514">
        <v>8</v>
      </c>
    </row>
    <row r="515" spans="1:13" x14ac:dyDescent="0.25">
      <c r="A515">
        <v>514</v>
      </c>
      <c r="B515" t="s">
        <v>526</v>
      </c>
      <c r="C515">
        <v>11</v>
      </c>
      <c r="D515" t="s">
        <v>2948</v>
      </c>
      <c r="E515" t="s">
        <v>2949</v>
      </c>
      <c r="F515" t="s">
        <v>3442</v>
      </c>
      <c r="G515" s="2">
        <v>45784</v>
      </c>
      <c r="H515" s="2">
        <v>45792</v>
      </c>
      <c r="I515" t="s">
        <v>5760</v>
      </c>
      <c r="J515" t="s">
        <v>5769</v>
      </c>
      <c r="K515">
        <v>140112.54999999999</v>
      </c>
      <c r="L515" t="s">
        <v>5775</v>
      </c>
      <c r="M515">
        <v>8</v>
      </c>
    </row>
    <row r="516" spans="1:13" x14ac:dyDescent="0.25">
      <c r="A516">
        <v>515</v>
      </c>
      <c r="B516" t="s">
        <v>527</v>
      </c>
      <c r="C516">
        <v>46</v>
      </c>
      <c r="D516" t="s">
        <v>2947</v>
      </c>
      <c r="E516" t="s">
        <v>2954</v>
      </c>
      <c r="F516" t="s">
        <v>3443</v>
      </c>
      <c r="G516" s="2">
        <v>45744</v>
      </c>
      <c r="H516" s="2">
        <v>45753</v>
      </c>
      <c r="I516" t="s">
        <v>5762</v>
      </c>
      <c r="J516" t="s">
        <v>5772</v>
      </c>
      <c r="K516">
        <v>491740</v>
      </c>
      <c r="L516" t="s">
        <v>5773</v>
      </c>
      <c r="M516">
        <v>9</v>
      </c>
    </row>
    <row r="517" spans="1:13" x14ac:dyDescent="0.25">
      <c r="A517">
        <v>516</v>
      </c>
      <c r="B517" t="s">
        <v>528</v>
      </c>
      <c r="C517">
        <v>86</v>
      </c>
      <c r="D517" t="s">
        <v>2947</v>
      </c>
      <c r="E517" t="s">
        <v>2953</v>
      </c>
      <c r="F517" t="s">
        <v>3444</v>
      </c>
      <c r="G517" s="2">
        <v>45843</v>
      </c>
      <c r="H517" s="2">
        <v>45856</v>
      </c>
      <c r="I517" t="s">
        <v>5760</v>
      </c>
      <c r="J517" t="s">
        <v>5772</v>
      </c>
      <c r="K517">
        <v>49045.71</v>
      </c>
      <c r="L517" t="s">
        <v>5774</v>
      </c>
      <c r="M517">
        <v>13</v>
      </c>
    </row>
    <row r="518" spans="1:13" x14ac:dyDescent="0.25">
      <c r="A518">
        <v>517</v>
      </c>
      <c r="B518" t="s">
        <v>529</v>
      </c>
      <c r="C518">
        <v>66</v>
      </c>
      <c r="D518" t="s">
        <v>2947</v>
      </c>
      <c r="E518" t="s">
        <v>2951</v>
      </c>
      <c r="F518" t="s">
        <v>3445</v>
      </c>
      <c r="G518" s="2">
        <v>45795</v>
      </c>
      <c r="H518" s="2">
        <v>45808</v>
      </c>
      <c r="I518" t="s">
        <v>5767</v>
      </c>
      <c r="J518" t="s">
        <v>5771</v>
      </c>
      <c r="K518">
        <v>139868.94</v>
      </c>
      <c r="L518" t="s">
        <v>5774</v>
      </c>
      <c r="M518">
        <v>13</v>
      </c>
    </row>
    <row r="519" spans="1:13" x14ac:dyDescent="0.25">
      <c r="A519">
        <v>518</v>
      </c>
      <c r="B519" t="s">
        <v>530</v>
      </c>
      <c r="C519">
        <v>22</v>
      </c>
      <c r="D519" t="s">
        <v>2948</v>
      </c>
      <c r="E519" t="s">
        <v>2952</v>
      </c>
      <c r="F519" t="s">
        <v>3446</v>
      </c>
      <c r="G519" s="2">
        <v>45914</v>
      </c>
      <c r="H519" s="2">
        <v>45917</v>
      </c>
      <c r="I519" t="s">
        <v>5765</v>
      </c>
      <c r="J519" t="s">
        <v>5770</v>
      </c>
      <c r="K519">
        <v>466247.63</v>
      </c>
      <c r="L519" t="s">
        <v>5774</v>
      </c>
      <c r="M519">
        <v>3</v>
      </c>
    </row>
    <row r="520" spans="1:13" x14ac:dyDescent="0.25">
      <c r="A520">
        <v>519</v>
      </c>
      <c r="B520" t="s">
        <v>531</v>
      </c>
      <c r="C520">
        <v>59</v>
      </c>
      <c r="D520" t="s">
        <v>2947</v>
      </c>
      <c r="E520" t="s">
        <v>2950</v>
      </c>
      <c r="F520" t="s">
        <v>3447</v>
      </c>
      <c r="G520" s="2">
        <v>45563</v>
      </c>
      <c r="H520" s="2">
        <v>45570</v>
      </c>
      <c r="I520" t="s">
        <v>5760</v>
      </c>
      <c r="J520" t="s">
        <v>5772</v>
      </c>
      <c r="K520">
        <v>424614.3</v>
      </c>
      <c r="L520" t="s">
        <v>5775</v>
      </c>
      <c r="M520">
        <v>7</v>
      </c>
    </row>
    <row r="521" spans="1:13" x14ac:dyDescent="0.25">
      <c r="A521">
        <v>520</v>
      </c>
      <c r="B521" t="s">
        <v>532</v>
      </c>
      <c r="C521">
        <v>79</v>
      </c>
      <c r="D521" t="s">
        <v>2947</v>
      </c>
      <c r="E521" t="s">
        <v>2955</v>
      </c>
      <c r="F521" t="s">
        <v>3448</v>
      </c>
      <c r="G521" s="2">
        <v>45859</v>
      </c>
      <c r="H521" s="2">
        <v>45873</v>
      </c>
      <c r="I521" t="s">
        <v>5766</v>
      </c>
      <c r="J521" t="s">
        <v>5768</v>
      </c>
      <c r="K521">
        <v>156770.75</v>
      </c>
      <c r="L521" t="s">
        <v>5773</v>
      </c>
      <c r="M521">
        <v>14</v>
      </c>
    </row>
    <row r="522" spans="1:13" x14ac:dyDescent="0.25">
      <c r="A522">
        <v>521</v>
      </c>
      <c r="B522" t="s">
        <v>533</v>
      </c>
      <c r="C522">
        <v>80</v>
      </c>
      <c r="D522" t="s">
        <v>2947</v>
      </c>
      <c r="E522" t="s">
        <v>2950</v>
      </c>
      <c r="F522" t="s">
        <v>3449</v>
      </c>
      <c r="G522" s="2">
        <v>45794</v>
      </c>
      <c r="H522" s="2">
        <v>45796</v>
      </c>
      <c r="I522" t="s">
        <v>5759</v>
      </c>
      <c r="J522" t="s">
        <v>5768</v>
      </c>
      <c r="K522">
        <v>229206.18</v>
      </c>
      <c r="L522" t="s">
        <v>5773</v>
      </c>
      <c r="M522">
        <v>2</v>
      </c>
    </row>
    <row r="523" spans="1:13" x14ac:dyDescent="0.25">
      <c r="A523">
        <v>522</v>
      </c>
      <c r="B523" t="s">
        <v>534</v>
      </c>
      <c r="C523">
        <v>40</v>
      </c>
      <c r="D523" t="s">
        <v>2947</v>
      </c>
      <c r="E523" t="s">
        <v>2951</v>
      </c>
      <c r="F523" t="s">
        <v>3450</v>
      </c>
      <c r="G523" s="2">
        <v>45739</v>
      </c>
      <c r="H523" s="2">
        <v>45745</v>
      </c>
      <c r="I523" t="s">
        <v>5758</v>
      </c>
      <c r="J523" t="s">
        <v>5770</v>
      </c>
      <c r="K523">
        <v>475524.3</v>
      </c>
      <c r="L523" t="s">
        <v>5774</v>
      </c>
      <c r="M523">
        <v>6</v>
      </c>
    </row>
    <row r="524" spans="1:13" x14ac:dyDescent="0.25">
      <c r="A524">
        <v>523</v>
      </c>
      <c r="B524" t="s">
        <v>535</v>
      </c>
      <c r="C524">
        <v>61</v>
      </c>
      <c r="D524" t="s">
        <v>2947</v>
      </c>
      <c r="E524" t="s">
        <v>2949</v>
      </c>
      <c r="F524" t="s">
        <v>3451</v>
      </c>
      <c r="G524" s="2">
        <v>45894</v>
      </c>
      <c r="H524" s="2">
        <v>45903</v>
      </c>
      <c r="I524" t="s">
        <v>5766</v>
      </c>
      <c r="J524" t="s">
        <v>2949</v>
      </c>
      <c r="K524">
        <v>79754.55</v>
      </c>
      <c r="L524" t="s">
        <v>5773</v>
      </c>
      <c r="M524">
        <v>9</v>
      </c>
    </row>
    <row r="525" spans="1:13" x14ac:dyDescent="0.25">
      <c r="A525">
        <v>524</v>
      </c>
      <c r="B525" t="s">
        <v>536</v>
      </c>
      <c r="C525">
        <v>81</v>
      </c>
      <c r="D525" t="s">
        <v>2948</v>
      </c>
      <c r="E525" t="s">
        <v>2950</v>
      </c>
      <c r="F525" t="s">
        <v>3452</v>
      </c>
      <c r="G525" s="2">
        <v>45817</v>
      </c>
      <c r="H525" s="2">
        <v>45822</v>
      </c>
      <c r="I525" t="s">
        <v>5767</v>
      </c>
      <c r="J525" t="s">
        <v>5771</v>
      </c>
      <c r="K525">
        <v>210015.41</v>
      </c>
      <c r="L525" t="s">
        <v>5775</v>
      </c>
      <c r="M525">
        <v>5</v>
      </c>
    </row>
    <row r="526" spans="1:13" x14ac:dyDescent="0.25">
      <c r="A526">
        <v>525</v>
      </c>
      <c r="B526" t="s">
        <v>537</v>
      </c>
      <c r="C526">
        <v>49</v>
      </c>
      <c r="D526" t="s">
        <v>2947</v>
      </c>
      <c r="E526" t="s">
        <v>2950</v>
      </c>
      <c r="F526" t="s">
        <v>3453</v>
      </c>
      <c r="G526" s="2">
        <v>45754</v>
      </c>
      <c r="H526" s="2">
        <v>45762</v>
      </c>
      <c r="I526" t="s">
        <v>5762</v>
      </c>
      <c r="J526" t="s">
        <v>5772</v>
      </c>
      <c r="K526">
        <v>90637.09</v>
      </c>
      <c r="L526" t="s">
        <v>5775</v>
      </c>
      <c r="M526">
        <v>8</v>
      </c>
    </row>
    <row r="527" spans="1:13" x14ac:dyDescent="0.25">
      <c r="A527">
        <v>526</v>
      </c>
      <c r="B527" t="s">
        <v>538</v>
      </c>
      <c r="C527">
        <v>77</v>
      </c>
      <c r="D527" t="s">
        <v>2948</v>
      </c>
      <c r="E527" t="s">
        <v>2953</v>
      </c>
      <c r="F527" t="s">
        <v>3454</v>
      </c>
      <c r="G527" s="2">
        <v>45567</v>
      </c>
      <c r="H527" s="2">
        <v>45571</v>
      </c>
      <c r="I527" t="s">
        <v>5758</v>
      </c>
      <c r="J527" t="s">
        <v>5768</v>
      </c>
      <c r="K527">
        <v>128294.24</v>
      </c>
      <c r="L527" t="s">
        <v>5775</v>
      </c>
      <c r="M527">
        <v>4</v>
      </c>
    </row>
    <row r="528" spans="1:13" x14ac:dyDescent="0.25">
      <c r="A528">
        <v>527</v>
      </c>
      <c r="B528" t="s">
        <v>539</v>
      </c>
      <c r="C528">
        <v>27</v>
      </c>
      <c r="D528" t="s">
        <v>2947</v>
      </c>
      <c r="E528" t="s">
        <v>2951</v>
      </c>
      <c r="F528" t="s">
        <v>3455</v>
      </c>
      <c r="G528" s="2">
        <v>45762</v>
      </c>
      <c r="H528" s="2">
        <v>45767</v>
      </c>
      <c r="I528" t="s">
        <v>5767</v>
      </c>
      <c r="J528" t="s">
        <v>2949</v>
      </c>
      <c r="K528">
        <v>409173.89</v>
      </c>
      <c r="L528" t="s">
        <v>5774</v>
      </c>
      <c r="M528">
        <v>5</v>
      </c>
    </row>
    <row r="529" spans="1:13" x14ac:dyDescent="0.25">
      <c r="A529">
        <v>528</v>
      </c>
      <c r="B529" t="s">
        <v>540</v>
      </c>
      <c r="C529">
        <v>49</v>
      </c>
      <c r="D529" t="s">
        <v>2948</v>
      </c>
      <c r="E529" t="s">
        <v>2953</v>
      </c>
      <c r="F529" t="s">
        <v>3456</v>
      </c>
      <c r="G529" s="2">
        <v>45552</v>
      </c>
      <c r="H529" s="2">
        <v>45558</v>
      </c>
      <c r="I529" t="s">
        <v>5761</v>
      </c>
      <c r="J529" t="s">
        <v>5772</v>
      </c>
      <c r="K529">
        <v>473973.13</v>
      </c>
      <c r="L529" t="s">
        <v>5773</v>
      </c>
      <c r="M529">
        <v>6</v>
      </c>
    </row>
    <row r="530" spans="1:13" x14ac:dyDescent="0.25">
      <c r="A530">
        <v>529</v>
      </c>
      <c r="B530" t="s">
        <v>541</v>
      </c>
      <c r="C530">
        <v>39</v>
      </c>
      <c r="D530" t="s">
        <v>2947</v>
      </c>
      <c r="E530" t="s">
        <v>2949</v>
      </c>
      <c r="F530" t="s">
        <v>3457</v>
      </c>
      <c r="G530" s="2">
        <v>45733</v>
      </c>
      <c r="H530" s="2">
        <v>45742</v>
      </c>
      <c r="I530" t="s">
        <v>5766</v>
      </c>
      <c r="J530" t="s">
        <v>5770</v>
      </c>
      <c r="K530">
        <v>34343.800000000003</v>
      </c>
      <c r="L530" t="s">
        <v>5774</v>
      </c>
      <c r="M530">
        <v>9</v>
      </c>
    </row>
    <row r="531" spans="1:13" x14ac:dyDescent="0.25">
      <c r="A531">
        <v>530</v>
      </c>
      <c r="B531" t="s">
        <v>542</v>
      </c>
      <c r="C531">
        <v>22</v>
      </c>
      <c r="D531" t="s">
        <v>2947</v>
      </c>
      <c r="E531" t="s">
        <v>2951</v>
      </c>
      <c r="F531" t="s">
        <v>3458</v>
      </c>
      <c r="G531" s="2">
        <v>45605</v>
      </c>
      <c r="H531" s="2">
        <v>45611</v>
      </c>
      <c r="I531" t="s">
        <v>5762</v>
      </c>
      <c r="J531" t="s">
        <v>2949</v>
      </c>
      <c r="K531">
        <v>324683.73</v>
      </c>
      <c r="L531" t="s">
        <v>5775</v>
      </c>
      <c r="M531">
        <v>6</v>
      </c>
    </row>
    <row r="532" spans="1:13" x14ac:dyDescent="0.25">
      <c r="A532">
        <v>531</v>
      </c>
      <c r="B532" t="s">
        <v>543</v>
      </c>
      <c r="C532">
        <v>55</v>
      </c>
      <c r="D532" t="s">
        <v>2947</v>
      </c>
      <c r="E532" t="s">
        <v>2953</v>
      </c>
      <c r="F532" t="s">
        <v>3459</v>
      </c>
      <c r="G532" s="2">
        <v>45850</v>
      </c>
      <c r="H532" s="2">
        <v>45862</v>
      </c>
      <c r="I532" t="s">
        <v>5766</v>
      </c>
      <c r="J532" t="s">
        <v>5771</v>
      </c>
      <c r="K532">
        <v>435897.49</v>
      </c>
      <c r="L532" t="s">
        <v>5773</v>
      </c>
      <c r="M532">
        <v>12</v>
      </c>
    </row>
    <row r="533" spans="1:13" x14ac:dyDescent="0.25">
      <c r="A533">
        <v>532</v>
      </c>
      <c r="B533" t="s">
        <v>544</v>
      </c>
      <c r="C533">
        <v>33</v>
      </c>
      <c r="D533" t="s">
        <v>2947</v>
      </c>
      <c r="E533" t="s">
        <v>2953</v>
      </c>
      <c r="F533" t="s">
        <v>3460</v>
      </c>
      <c r="G533" s="2">
        <v>45817</v>
      </c>
      <c r="H533" s="2">
        <v>45820</v>
      </c>
      <c r="I533" t="s">
        <v>5763</v>
      </c>
      <c r="J533" t="s">
        <v>2949</v>
      </c>
      <c r="K533">
        <v>338548.28</v>
      </c>
      <c r="L533" t="s">
        <v>5773</v>
      </c>
      <c r="M533">
        <v>3</v>
      </c>
    </row>
    <row r="534" spans="1:13" x14ac:dyDescent="0.25">
      <c r="A534">
        <v>533</v>
      </c>
      <c r="B534" t="s">
        <v>545</v>
      </c>
      <c r="C534">
        <v>51</v>
      </c>
      <c r="D534" t="s">
        <v>2948</v>
      </c>
      <c r="E534" t="s">
        <v>2949</v>
      </c>
      <c r="F534" t="s">
        <v>3461</v>
      </c>
      <c r="G534" s="2">
        <v>45870</v>
      </c>
      <c r="H534" s="2">
        <v>45878</v>
      </c>
      <c r="I534" t="s">
        <v>5759</v>
      </c>
      <c r="J534" t="s">
        <v>5772</v>
      </c>
      <c r="K534">
        <v>119008.97</v>
      </c>
      <c r="L534" t="s">
        <v>5773</v>
      </c>
      <c r="M534">
        <v>8</v>
      </c>
    </row>
    <row r="535" spans="1:13" x14ac:dyDescent="0.25">
      <c r="A535">
        <v>534</v>
      </c>
      <c r="B535" t="s">
        <v>546</v>
      </c>
      <c r="C535">
        <v>51</v>
      </c>
      <c r="D535" t="s">
        <v>2948</v>
      </c>
      <c r="E535" t="s">
        <v>2949</v>
      </c>
      <c r="F535" t="s">
        <v>3462</v>
      </c>
      <c r="G535" s="2">
        <v>45594</v>
      </c>
      <c r="H535" s="2">
        <v>45609</v>
      </c>
      <c r="I535" t="s">
        <v>5765</v>
      </c>
      <c r="J535" t="s">
        <v>2949</v>
      </c>
      <c r="K535">
        <v>29941.91</v>
      </c>
      <c r="L535" t="s">
        <v>5773</v>
      </c>
      <c r="M535">
        <v>15</v>
      </c>
    </row>
    <row r="536" spans="1:13" x14ac:dyDescent="0.25">
      <c r="A536">
        <v>535</v>
      </c>
      <c r="B536" t="s">
        <v>547</v>
      </c>
      <c r="C536">
        <v>18</v>
      </c>
      <c r="D536" t="s">
        <v>2947</v>
      </c>
      <c r="E536" t="s">
        <v>2952</v>
      </c>
      <c r="F536" t="s">
        <v>3463</v>
      </c>
      <c r="G536" s="2">
        <v>45610</v>
      </c>
      <c r="H536" s="2">
        <v>45614</v>
      </c>
      <c r="I536" t="s">
        <v>5763</v>
      </c>
      <c r="J536" t="s">
        <v>5770</v>
      </c>
      <c r="K536">
        <v>175828.45</v>
      </c>
      <c r="L536" t="s">
        <v>5773</v>
      </c>
      <c r="M536">
        <v>4</v>
      </c>
    </row>
    <row r="537" spans="1:13" x14ac:dyDescent="0.25">
      <c r="A537">
        <v>536</v>
      </c>
      <c r="B537" t="s">
        <v>548</v>
      </c>
      <c r="C537">
        <v>63</v>
      </c>
      <c r="D537" t="s">
        <v>2948</v>
      </c>
      <c r="E537" t="s">
        <v>2949</v>
      </c>
      <c r="F537" t="s">
        <v>3464</v>
      </c>
      <c r="G537" s="2">
        <v>45750</v>
      </c>
      <c r="H537" s="2">
        <v>45761</v>
      </c>
      <c r="I537" t="s">
        <v>5765</v>
      </c>
      <c r="J537" t="s">
        <v>5772</v>
      </c>
      <c r="K537">
        <v>243138.43</v>
      </c>
      <c r="L537" t="s">
        <v>5774</v>
      </c>
      <c r="M537">
        <v>11</v>
      </c>
    </row>
    <row r="538" spans="1:13" x14ac:dyDescent="0.25">
      <c r="A538">
        <v>537</v>
      </c>
      <c r="B538" t="s">
        <v>549</v>
      </c>
      <c r="C538">
        <v>44</v>
      </c>
      <c r="D538" t="s">
        <v>2948</v>
      </c>
      <c r="E538" t="s">
        <v>2954</v>
      </c>
      <c r="F538" t="s">
        <v>3465</v>
      </c>
      <c r="G538" s="2">
        <v>45865</v>
      </c>
      <c r="H538" s="2">
        <v>45878</v>
      </c>
      <c r="I538" t="s">
        <v>5764</v>
      </c>
      <c r="J538" t="s">
        <v>5770</v>
      </c>
      <c r="K538">
        <v>70648.22</v>
      </c>
      <c r="L538" t="s">
        <v>5774</v>
      </c>
      <c r="M538">
        <v>13</v>
      </c>
    </row>
    <row r="539" spans="1:13" x14ac:dyDescent="0.25">
      <c r="A539">
        <v>538</v>
      </c>
      <c r="B539" t="s">
        <v>550</v>
      </c>
      <c r="C539">
        <v>44</v>
      </c>
      <c r="D539" t="s">
        <v>2948</v>
      </c>
      <c r="E539" t="s">
        <v>2952</v>
      </c>
      <c r="F539" t="s">
        <v>3466</v>
      </c>
      <c r="G539" s="2">
        <v>45806</v>
      </c>
      <c r="H539" s="2">
        <v>45807</v>
      </c>
      <c r="I539" t="s">
        <v>5765</v>
      </c>
      <c r="J539" t="s">
        <v>5770</v>
      </c>
      <c r="K539">
        <v>68668.38</v>
      </c>
      <c r="L539" t="s">
        <v>5775</v>
      </c>
      <c r="M539">
        <v>1</v>
      </c>
    </row>
    <row r="540" spans="1:13" x14ac:dyDescent="0.25">
      <c r="A540">
        <v>539</v>
      </c>
      <c r="B540" t="s">
        <v>551</v>
      </c>
      <c r="C540">
        <v>38</v>
      </c>
      <c r="D540" t="s">
        <v>2947</v>
      </c>
      <c r="E540" t="s">
        <v>2951</v>
      </c>
      <c r="F540" t="s">
        <v>3467</v>
      </c>
      <c r="G540" s="2">
        <v>45754</v>
      </c>
      <c r="H540" s="2">
        <v>45758</v>
      </c>
      <c r="I540" t="s">
        <v>5758</v>
      </c>
      <c r="J540" t="s">
        <v>5770</v>
      </c>
      <c r="K540">
        <v>493966.56</v>
      </c>
      <c r="L540" t="s">
        <v>5773</v>
      </c>
      <c r="M540">
        <v>4</v>
      </c>
    </row>
    <row r="541" spans="1:13" x14ac:dyDescent="0.25">
      <c r="A541">
        <v>540</v>
      </c>
      <c r="B541" t="s">
        <v>552</v>
      </c>
      <c r="C541">
        <v>14</v>
      </c>
      <c r="D541" t="s">
        <v>2948</v>
      </c>
      <c r="E541" t="s">
        <v>2950</v>
      </c>
      <c r="F541" t="s">
        <v>3468</v>
      </c>
      <c r="G541" s="2">
        <v>45583</v>
      </c>
      <c r="H541" s="2">
        <v>45584</v>
      </c>
      <c r="I541" t="s">
        <v>5762</v>
      </c>
      <c r="J541" t="s">
        <v>5769</v>
      </c>
      <c r="K541">
        <v>144946.29999999999</v>
      </c>
      <c r="L541" t="s">
        <v>5775</v>
      </c>
      <c r="M541">
        <v>1</v>
      </c>
    </row>
    <row r="542" spans="1:13" x14ac:dyDescent="0.25">
      <c r="A542">
        <v>541</v>
      </c>
      <c r="B542" t="s">
        <v>553</v>
      </c>
      <c r="C542">
        <v>17</v>
      </c>
      <c r="D542" t="s">
        <v>2947</v>
      </c>
      <c r="E542" t="s">
        <v>2949</v>
      </c>
      <c r="F542" t="s">
        <v>3469</v>
      </c>
      <c r="G542" s="2">
        <v>45576</v>
      </c>
      <c r="H542" s="2">
        <v>45581</v>
      </c>
      <c r="I542" t="s">
        <v>5758</v>
      </c>
      <c r="J542" t="s">
        <v>5768</v>
      </c>
      <c r="K542">
        <v>213351.38</v>
      </c>
      <c r="L542" t="s">
        <v>5774</v>
      </c>
      <c r="M542">
        <v>5</v>
      </c>
    </row>
    <row r="543" spans="1:13" x14ac:dyDescent="0.25">
      <c r="A543">
        <v>542</v>
      </c>
      <c r="B543" t="s">
        <v>554</v>
      </c>
      <c r="C543">
        <v>52</v>
      </c>
      <c r="D543" t="s">
        <v>2948</v>
      </c>
      <c r="E543" t="s">
        <v>2951</v>
      </c>
      <c r="F543" t="s">
        <v>3470</v>
      </c>
      <c r="G543" s="2">
        <v>45880</v>
      </c>
      <c r="H543" s="2">
        <v>45892</v>
      </c>
      <c r="I543" t="s">
        <v>5761</v>
      </c>
      <c r="J543" t="s">
        <v>2949</v>
      </c>
      <c r="K543">
        <v>93313.81</v>
      </c>
      <c r="L543" t="s">
        <v>5774</v>
      </c>
      <c r="M543">
        <v>12</v>
      </c>
    </row>
    <row r="544" spans="1:13" x14ac:dyDescent="0.25">
      <c r="A544">
        <v>543</v>
      </c>
      <c r="B544" t="s">
        <v>555</v>
      </c>
      <c r="C544">
        <v>63</v>
      </c>
      <c r="D544" t="s">
        <v>2947</v>
      </c>
      <c r="E544" t="s">
        <v>2949</v>
      </c>
      <c r="F544" t="s">
        <v>3471</v>
      </c>
      <c r="G544" s="2">
        <v>45627</v>
      </c>
      <c r="H544" s="2">
        <v>45632</v>
      </c>
      <c r="I544" t="s">
        <v>5763</v>
      </c>
      <c r="J544" t="s">
        <v>5770</v>
      </c>
      <c r="K544">
        <v>376157.13</v>
      </c>
      <c r="L544" t="s">
        <v>5774</v>
      </c>
      <c r="M544">
        <v>5</v>
      </c>
    </row>
    <row r="545" spans="1:13" x14ac:dyDescent="0.25">
      <c r="A545">
        <v>544</v>
      </c>
      <c r="B545" t="s">
        <v>556</v>
      </c>
      <c r="C545">
        <v>60</v>
      </c>
      <c r="D545" t="s">
        <v>2948</v>
      </c>
      <c r="E545" t="s">
        <v>2951</v>
      </c>
      <c r="F545" t="s">
        <v>2635</v>
      </c>
      <c r="G545" s="2">
        <v>45550</v>
      </c>
      <c r="H545" s="2">
        <v>45557</v>
      </c>
      <c r="I545" t="s">
        <v>5763</v>
      </c>
      <c r="J545" t="s">
        <v>5771</v>
      </c>
      <c r="K545">
        <v>60955.08</v>
      </c>
      <c r="L545" t="s">
        <v>5775</v>
      </c>
      <c r="M545">
        <v>7</v>
      </c>
    </row>
    <row r="546" spans="1:13" x14ac:dyDescent="0.25">
      <c r="A546">
        <v>545</v>
      </c>
      <c r="B546" t="s">
        <v>557</v>
      </c>
      <c r="C546">
        <v>54</v>
      </c>
      <c r="D546" t="s">
        <v>2947</v>
      </c>
      <c r="E546" t="s">
        <v>2954</v>
      </c>
      <c r="F546" t="s">
        <v>3472</v>
      </c>
      <c r="G546" s="2">
        <v>45696</v>
      </c>
      <c r="H546" s="2">
        <v>45703</v>
      </c>
      <c r="I546" t="s">
        <v>5767</v>
      </c>
      <c r="J546" t="s">
        <v>5769</v>
      </c>
      <c r="K546">
        <v>155273.14000000001</v>
      </c>
      <c r="L546" t="s">
        <v>5774</v>
      </c>
      <c r="M546">
        <v>7</v>
      </c>
    </row>
    <row r="547" spans="1:13" x14ac:dyDescent="0.25">
      <c r="A547">
        <v>546</v>
      </c>
      <c r="B547" t="s">
        <v>558</v>
      </c>
      <c r="C547">
        <v>29</v>
      </c>
      <c r="D547" t="s">
        <v>2947</v>
      </c>
      <c r="E547" t="s">
        <v>2953</v>
      </c>
      <c r="F547" t="s">
        <v>3473</v>
      </c>
      <c r="G547" s="2">
        <v>45556</v>
      </c>
      <c r="H547" s="2">
        <v>45568</v>
      </c>
      <c r="I547" t="s">
        <v>5762</v>
      </c>
      <c r="J547" t="s">
        <v>5770</v>
      </c>
      <c r="K547">
        <v>51045.22</v>
      </c>
      <c r="L547" t="s">
        <v>5774</v>
      </c>
      <c r="M547">
        <v>12</v>
      </c>
    </row>
    <row r="548" spans="1:13" x14ac:dyDescent="0.25">
      <c r="A548">
        <v>547</v>
      </c>
      <c r="B548" t="s">
        <v>559</v>
      </c>
      <c r="C548">
        <v>48</v>
      </c>
      <c r="D548" t="s">
        <v>2948</v>
      </c>
      <c r="E548" t="s">
        <v>2949</v>
      </c>
      <c r="F548" t="s">
        <v>3474</v>
      </c>
      <c r="G548" s="2">
        <v>45784</v>
      </c>
      <c r="H548" s="2">
        <v>45785</v>
      </c>
      <c r="I548" t="s">
        <v>5761</v>
      </c>
      <c r="J548" t="s">
        <v>5772</v>
      </c>
      <c r="K548">
        <v>245951.98</v>
      </c>
      <c r="L548" t="s">
        <v>5773</v>
      </c>
      <c r="M548">
        <v>1</v>
      </c>
    </row>
    <row r="549" spans="1:13" x14ac:dyDescent="0.25">
      <c r="A549">
        <v>548</v>
      </c>
      <c r="B549" t="s">
        <v>560</v>
      </c>
      <c r="C549">
        <v>50</v>
      </c>
      <c r="D549" t="s">
        <v>2947</v>
      </c>
      <c r="E549" t="s">
        <v>2953</v>
      </c>
      <c r="F549" t="s">
        <v>3475</v>
      </c>
      <c r="G549" s="2">
        <v>45800</v>
      </c>
      <c r="H549" s="2">
        <v>45801</v>
      </c>
      <c r="I549" t="s">
        <v>5764</v>
      </c>
      <c r="J549" t="s">
        <v>2949</v>
      </c>
      <c r="K549">
        <v>27363.19</v>
      </c>
      <c r="L549" t="s">
        <v>5773</v>
      </c>
      <c r="M549">
        <v>1</v>
      </c>
    </row>
    <row r="550" spans="1:13" x14ac:dyDescent="0.25">
      <c r="A550">
        <v>549</v>
      </c>
      <c r="B550" t="s">
        <v>561</v>
      </c>
      <c r="C550">
        <v>15</v>
      </c>
      <c r="D550" t="s">
        <v>2947</v>
      </c>
      <c r="E550" t="s">
        <v>2951</v>
      </c>
      <c r="F550" t="s">
        <v>3476</v>
      </c>
      <c r="G550" s="2">
        <v>45639</v>
      </c>
      <c r="H550" s="2">
        <v>45649</v>
      </c>
      <c r="I550" t="s">
        <v>5766</v>
      </c>
      <c r="J550" t="s">
        <v>5769</v>
      </c>
      <c r="K550">
        <v>140128.75</v>
      </c>
      <c r="L550" t="s">
        <v>5775</v>
      </c>
      <c r="M550">
        <v>10</v>
      </c>
    </row>
    <row r="551" spans="1:13" x14ac:dyDescent="0.25">
      <c r="A551">
        <v>550</v>
      </c>
      <c r="B551" t="s">
        <v>562</v>
      </c>
      <c r="C551">
        <v>86</v>
      </c>
      <c r="D551" t="s">
        <v>2947</v>
      </c>
      <c r="E551" t="s">
        <v>2955</v>
      </c>
      <c r="F551" t="s">
        <v>3477</v>
      </c>
      <c r="G551" s="2">
        <v>45576</v>
      </c>
      <c r="H551" s="2">
        <v>45580</v>
      </c>
      <c r="I551" t="s">
        <v>5767</v>
      </c>
      <c r="J551" t="s">
        <v>5772</v>
      </c>
      <c r="K551">
        <v>291408.25</v>
      </c>
      <c r="L551" t="s">
        <v>5773</v>
      </c>
      <c r="M551">
        <v>4</v>
      </c>
    </row>
    <row r="552" spans="1:13" x14ac:dyDescent="0.25">
      <c r="A552">
        <v>551</v>
      </c>
      <c r="B552" t="s">
        <v>563</v>
      </c>
      <c r="C552">
        <v>77</v>
      </c>
      <c r="D552" t="s">
        <v>2948</v>
      </c>
      <c r="E552" t="s">
        <v>2952</v>
      </c>
      <c r="F552" t="s">
        <v>3478</v>
      </c>
      <c r="G552" s="2">
        <v>45750</v>
      </c>
      <c r="H552" s="2">
        <v>45762</v>
      </c>
      <c r="I552" t="s">
        <v>5761</v>
      </c>
      <c r="J552" t="s">
        <v>5768</v>
      </c>
      <c r="K552">
        <v>54378.52</v>
      </c>
      <c r="L552" t="s">
        <v>5774</v>
      </c>
      <c r="M552">
        <v>12</v>
      </c>
    </row>
    <row r="553" spans="1:13" x14ac:dyDescent="0.25">
      <c r="A553">
        <v>552</v>
      </c>
      <c r="B553" t="s">
        <v>564</v>
      </c>
      <c r="C553">
        <v>33</v>
      </c>
      <c r="D553" t="s">
        <v>2947</v>
      </c>
      <c r="E553" t="s">
        <v>2955</v>
      </c>
      <c r="F553" t="s">
        <v>3479</v>
      </c>
      <c r="G553" s="2">
        <v>45805</v>
      </c>
      <c r="H553" s="2">
        <v>45819</v>
      </c>
      <c r="I553" t="s">
        <v>5764</v>
      </c>
      <c r="J553" t="s">
        <v>5769</v>
      </c>
      <c r="K553">
        <v>111140.32</v>
      </c>
      <c r="L553" t="s">
        <v>5773</v>
      </c>
      <c r="M553">
        <v>14</v>
      </c>
    </row>
    <row r="554" spans="1:13" x14ac:dyDescent="0.25">
      <c r="A554">
        <v>553</v>
      </c>
      <c r="B554" t="s">
        <v>565</v>
      </c>
      <c r="C554">
        <v>61</v>
      </c>
      <c r="D554" t="s">
        <v>2948</v>
      </c>
      <c r="E554" t="s">
        <v>2949</v>
      </c>
      <c r="F554" t="s">
        <v>3480</v>
      </c>
      <c r="G554" s="2">
        <v>45895</v>
      </c>
      <c r="H554" s="2">
        <v>45903</v>
      </c>
      <c r="I554" t="s">
        <v>5761</v>
      </c>
      <c r="J554" t="s">
        <v>2949</v>
      </c>
      <c r="K554">
        <v>369352.14</v>
      </c>
      <c r="L554" t="s">
        <v>5775</v>
      </c>
      <c r="M554">
        <v>8</v>
      </c>
    </row>
    <row r="555" spans="1:13" x14ac:dyDescent="0.25">
      <c r="A555">
        <v>554</v>
      </c>
      <c r="B555" t="s">
        <v>566</v>
      </c>
      <c r="C555">
        <v>40</v>
      </c>
      <c r="D555" t="s">
        <v>2948</v>
      </c>
      <c r="E555" t="s">
        <v>2952</v>
      </c>
      <c r="F555" t="s">
        <v>3481</v>
      </c>
      <c r="G555" s="2">
        <v>45787</v>
      </c>
      <c r="H555" s="2">
        <v>45799</v>
      </c>
      <c r="I555" t="s">
        <v>5763</v>
      </c>
      <c r="J555" t="s">
        <v>2949</v>
      </c>
      <c r="K555">
        <v>236880.8</v>
      </c>
      <c r="L555" t="s">
        <v>5774</v>
      </c>
      <c r="M555">
        <v>12</v>
      </c>
    </row>
    <row r="556" spans="1:13" x14ac:dyDescent="0.25">
      <c r="A556">
        <v>555</v>
      </c>
      <c r="B556" t="s">
        <v>567</v>
      </c>
      <c r="C556">
        <v>38</v>
      </c>
      <c r="D556" t="s">
        <v>2947</v>
      </c>
      <c r="E556" t="s">
        <v>2953</v>
      </c>
      <c r="F556" t="s">
        <v>3482</v>
      </c>
      <c r="G556" s="2">
        <v>45909</v>
      </c>
      <c r="H556" s="2">
        <v>45923</v>
      </c>
      <c r="I556" t="s">
        <v>5764</v>
      </c>
      <c r="J556" t="s">
        <v>5771</v>
      </c>
      <c r="K556">
        <v>23528.14</v>
      </c>
      <c r="L556" t="s">
        <v>5774</v>
      </c>
      <c r="M556">
        <v>14</v>
      </c>
    </row>
    <row r="557" spans="1:13" x14ac:dyDescent="0.25">
      <c r="A557">
        <v>556</v>
      </c>
      <c r="B557" t="s">
        <v>568</v>
      </c>
      <c r="C557">
        <v>43</v>
      </c>
      <c r="D557" t="s">
        <v>2948</v>
      </c>
      <c r="E557" t="s">
        <v>2950</v>
      </c>
      <c r="F557" t="s">
        <v>603</v>
      </c>
      <c r="G557" s="2">
        <v>45910</v>
      </c>
      <c r="H557" s="2">
        <v>45912</v>
      </c>
      <c r="I557" t="s">
        <v>5760</v>
      </c>
      <c r="J557" t="s">
        <v>5771</v>
      </c>
      <c r="K557">
        <v>117571.52</v>
      </c>
      <c r="L557" t="s">
        <v>5774</v>
      </c>
      <c r="M557">
        <v>2</v>
      </c>
    </row>
    <row r="558" spans="1:13" x14ac:dyDescent="0.25">
      <c r="A558">
        <v>557</v>
      </c>
      <c r="B558" t="s">
        <v>569</v>
      </c>
      <c r="C558">
        <v>10</v>
      </c>
      <c r="D558" t="s">
        <v>2947</v>
      </c>
      <c r="E558" t="s">
        <v>2952</v>
      </c>
      <c r="F558" t="s">
        <v>3483</v>
      </c>
      <c r="G558" s="2">
        <v>45780</v>
      </c>
      <c r="H558" s="2">
        <v>45791</v>
      </c>
      <c r="I558" t="s">
        <v>5758</v>
      </c>
      <c r="J558" t="s">
        <v>2949</v>
      </c>
      <c r="K558">
        <v>64279.67</v>
      </c>
      <c r="L558" t="s">
        <v>5774</v>
      </c>
      <c r="M558">
        <v>11</v>
      </c>
    </row>
    <row r="559" spans="1:13" x14ac:dyDescent="0.25">
      <c r="A559">
        <v>558</v>
      </c>
      <c r="B559" t="s">
        <v>570</v>
      </c>
      <c r="C559">
        <v>85</v>
      </c>
      <c r="D559" t="s">
        <v>2947</v>
      </c>
      <c r="E559" t="s">
        <v>2952</v>
      </c>
      <c r="F559" t="s">
        <v>1019</v>
      </c>
      <c r="G559" s="2">
        <v>45578</v>
      </c>
      <c r="H559" s="2">
        <v>45590</v>
      </c>
      <c r="I559" t="s">
        <v>5764</v>
      </c>
      <c r="J559" t="s">
        <v>5770</v>
      </c>
      <c r="K559">
        <v>106816.41</v>
      </c>
      <c r="L559" t="s">
        <v>5773</v>
      </c>
      <c r="M559">
        <v>12</v>
      </c>
    </row>
    <row r="560" spans="1:13" x14ac:dyDescent="0.25">
      <c r="A560">
        <v>559</v>
      </c>
      <c r="B560" t="s">
        <v>571</v>
      </c>
      <c r="C560">
        <v>88</v>
      </c>
      <c r="D560" t="s">
        <v>2948</v>
      </c>
      <c r="E560" t="s">
        <v>2953</v>
      </c>
      <c r="F560" t="s">
        <v>3484</v>
      </c>
      <c r="G560" s="2">
        <v>45881</v>
      </c>
      <c r="H560" s="2">
        <v>45889</v>
      </c>
      <c r="I560" t="s">
        <v>5761</v>
      </c>
      <c r="J560" t="s">
        <v>5771</v>
      </c>
      <c r="K560">
        <v>166349.43</v>
      </c>
      <c r="L560" t="s">
        <v>5774</v>
      </c>
      <c r="M560">
        <v>8</v>
      </c>
    </row>
    <row r="561" spans="1:13" x14ac:dyDescent="0.25">
      <c r="A561">
        <v>560</v>
      </c>
      <c r="B561" t="s">
        <v>572</v>
      </c>
      <c r="C561">
        <v>73</v>
      </c>
      <c r="D561" t="s">
        <v>2948</v>
      </c>
      <c r="E561" t="s">
        <v>2952</v>
      </c>
      <c r="F561" t="s">
        <v>3485</v>
      </c>
      <c r="G561" s="2">
        <v>45814</v>
      </c>
      <c r="H561" s="2">
        <v>45829</v>
      </c>
      <c r="I561" t="s">
        <v>5761</v>
      </c>
      <c r="J561" t="s">
        <v>2949</v>
      </c>
      <c r="K561">
        <v>433319.13</v>
      </c>
      <c r="L561" t="s">
        <v>5775</v>
      </c>
      <c r="M561">
        <v>15</v>
      </c>
    </row>
    <row r="562" spans="1:13" x14ac:dyDescent="0.25">
      <c r="A562">
        <v>561</v>
      </c>
      <c r="B562" t="s">
        <v>573</v>
      </c>
      <c r="C562">
        <v>14</v>
      </c>
      <c r="D562" t="s">
        <v>2947</v>
      </c>
      <c r="E562" t="s">
        <v>2951</v>
      </c>
      <c r="F562" t="s">
        <v>3486</v>
      </c>
      <c r="G562" s="2">
        <v>45739</v>
      </c>
      <c r="H562" s="2">
        <v>45750</v>
      </c>
      <c r="I562" t="s">
        <v>5760</v>
      </c>
      <c r="J562" t="s">
        <v>2949</v>
      </c>
      <c r="K562">
        <v>193463.72</v>
      </c>
      <c r="L562" t="s">
        <v>5774</v>
      </c>
      <c r="M562">
        <v>11</v>
      </c>
    </row>
    <row r="563" spans="1:13" x14ac:dyDescent="0.25">
      <c r="A563">
        <v>562</v>
      </c>
      <c r="B563" t="s">
        <v>574</v>
      </c>
      <c r="C563">
        <v>57</v>
      </c>
      <c r="D563" t="s">
        <v>2947</v>
      </c>
      <c r="E563" t="s">
        <v>2954</v>
      </c>
      <c r="F563" t="s">
        <v>3487</v>
      </c>
      <c r="G563" s="2">
        <v>45693</v>
      </c>
      <c r="H563" s="2">
        <v>45701</v>
      </c>
      <c r="I563" t="s">
        <v>5761</v>
      </c>
      <c r="J563" t="s">
        <v>5772</v>
      </c>
      <c r="K563">
        <v>360731.26</v>
      </c>
      <c r="L563" t="s">
        <v>5775</v>
      </c>
      <c r="M563">
        <v>8</v>
      </c>
    </row>
    <row r="564" spans="1:13" x14ac:dyDescent="0.25">
      <c r="A564">
        <v>563</v>
      </c>
      <c r="B564" t="s">
        <v>575</v>
      </c>
      <c r="C564">
        <v>39</v>
      </c>
      <c r="D564" t="s">
        <v>2948</v>
      </c>
      <c r="E564" t="s">
        <v>2954</v>
      </c>
      <c r="F564" t="s">
        <v>2762</v>
      </c>
      <c r="G564" s="2">
        <v>45708</v>
      </c>
      <c r="H564" s="2">
        <v>45717</v>
      </c>
      <c r="I564" t="s">
        <v>5767</v>
      </c>
      <c r="J564" t="s">
        <v>5771</v>
      </c>
      <c r="K564">
        <v>16922.96</v>
      </c>
      <c r="L564" t="s">
        <v>5773</v>
      </c>
      <c r="M564">
        <v>9</v>
      </c>
    </row>
    <row r="565" spans="1:13" x14ac:dyDescent="0.25">
      <c r="A565">
        <v>564</v>
      </c>
      <c r="B565" t="s">
        <v>576</v>
      </c>
      <c r="C565">
        <v>48</v>
      </c>
      <c r="D565" t="s">
        <v>2947</v>
      </c>
      <c r="E565" t="s">
        <v>2954</v>
      </c>
      <c r="F565" t="s">
        <v>3488</v>
      </c>
      <c r="G565" s="2">
        <v>45724</v>
      </c>
      <c r="H565" s="2">
        <v>45729</v>
      </c>
      <c r="I565" t="s">
        <v>5764</v>
      </c>
      <c r="J565" t="s">
        <v>5772</v>
      </c>
      <c r="K565">
        <v>160942.26999999999</v>
      </c>
      <c r="L565" t="s">
        <v>5775</v>
      </c>
      <c r="M565">
        <v>5</v>
      </c>
    </row>
    <row r="566" spans="1:13" x14ac:dyDescent="0.25">
      <c r="A566">
        <v>565</v>
      </c>
      <c r="B566" t="s">
        <v>577</v>
      </c>
      <c r="C566">
        <v>55</v>
      </c>
      <c r="D566" t="s">
        <v>2948</v>
      </c>
      <c r="E566" t="s">
        <v>2951</v>
      </c>
      <c r="F566" t="s">
        <v>3489</v>
      </c>
      <c r="G566" s="2">
        <v>45736</v>
      </c>
      <c r="H566" s="2">
        <v>45741</v>
      </c>
      <c r="I566" t="s">
        <v>5764</v>
      </c>
      <c r="J566" t="s">
        <v>5769</v>
      </c>
      <c r="K566">
        <v>499506.96</v>
      </c>
      <c r="L566" t="s">
        <v>5775</v>
      </c>
      <c r="M566">
        <v>5</v>
      </c>
    </row>
    <row r="567" spans="1:13" x14ac:dyDescent="0.25">
      <c r="A567">
        <v>566</v>
      </c>
      <c r="B567" t="s">
        <v>578</v>
      </c>
      <c r="C567">
        <v>41</v>
      </c>
      <c r="D567" t="s">
        <v>2948</v>
      </c>
      <c r="E567" t="s">
        <v>2954</v>
      </c>
      <c r="F567" t="s">
        <v>3490</v>
      </c>
      <c r="G567" s="2">
        <v>45550</v>
      </c>
      <c r="H567" s="2">
        <v>45557</v>
      </c>
      <c r="I567" t="s">
        <v>5762</v>
      </c>
      <c r="J567" t="s">
        <v>5771</v>
      </c>
      <c r="K567">
        <v>150278.23000000001</v>
      </c>
      <c r="L567" t="s">
        <v>5774</v>
      </c>
      <c r="M567">
        <v>7</v>
      </c>
    </row>
    <row r="568" spans="1:13" x14ac:dyDescent="0.25">
      <c r="A568">
        <v>567</v>
      </c>
      <c r="B568" t="s">
        <v>579</v>
      </c>
      <c r="C568">
        <v>69</v>
      </c>
      <c r="D568" t="s">
        <v>2947</v>
      </c>
      <c r="E568" t="s">
        <v>2955</v>
      </c>
      <c r="F568" t="s">
        <v>3491</v>
      </c>
      <c r="G568" s="2">
        <v>45736</v>
      </c>
      <c r="H568" s="2">
        <v>45740</v>
      </c>
      <c r="I568" t="s">
        <v>5765</v>
      </c>
      <c r="J568" t="s">
        <v>5769</v>
      </c>
      <c r="K568">
        <v>174998.38</v>
      </c>
      <c r="L568" t="s">
        <v>5774</v>
      </c>
      <c r="M568">
        <v>4</v>
      </c>
    </row>
    <row r="569" spans="1:13" x14ac:dyDescent="0.25">
      <c r="A569">
        <v>568</v>
      </c>
      <c r="B569" t="s">
        <v>580</v>
      </c>
      <c r="C569">
        <v>58</v>
      </c>
      <c r="D569" t="s">
        <v>2948</v>
      </c>
      <c r="E569" t="s">
        <v>2952</v>
      </c>
      <c r="F569" t="s">
        <v>352</v>
      </c>
      <c r="G569" s="2">
        <v>45575</v>
      </c>
      <c r="H569" s="2">
        <v>45577</v>
      </c>
      <c r="I569" t="s">
        <v>5761</v>
      </c>
      <c r="J569" t="s">
        <v>5769</v>
      </c>
      <c r="K569">
        <v>176247.9</v>
      </c>
      <c r="L569" t="s">
        <v>5774</v>
      </c>
      <c r="M569">
        <v>2</v>
      </c>
    </row>
    <row r="570" spans="1:13" x14ac:dyDescent="0.25">
      <c r="A570">
        <v>569</v>
      </c>
      <c r="B570" t="s">
        <v>581</v>
      </c>
      <c r="C570">
        <v>31</v>
      </c>
      <c r="D570" t="s">
        <v>2947</v>
      </c>
      <c r="E570" t="s">
        <v>2951</v>
      </c>
      <c r="F570" t="s">
        <v>3492</v>
      </c>
      <c r="G570" s="2">
        <v>45581</v>
      </c>
      <c r="H570" s="2">
        <v>45588</v>
      </c>
      <c r="I570" t="s">
        <v>5767</v>
      </c>
      <c r="J570" t="s">
        <v>5771</v>
      </c>
      <c r="K570">
        <v>116000.8</v>
      </c>
      <c r="L570" t="s">
        <v>5774</v>
      </c>
      <c r="M570">
        <v>7</v>
      </c>
    </row>
    <row r="571" spans="1:13" x14ac:dyDescent="0.25">
      <c r="A571">
        <v>570</v>
      </c>
      <c r="B571" t="s">
        <v>582</v>
      </c>
      <c r="C571">
        <v>24</v>
      </c>
      <c r="D571" t="s">
        <v>2947</v>
      </c>
      <c r="E571" t="s">
        <v>2951</v>
      </c>
      <c r="F571" t="s">
        <v>3493</v>
      </c>
      <c r="G571" s="2">
        <v>45887</v>
      </c>
      <c r="H571" s="2">
        <v>45897</v>
      </c>
      <c r="I571" t="s">
        <v>5760</v>
      </c>
      <c r="J571" t="s">
        <v>5771</v>
      </c>
      <c r="K571">
        <v>86925.75</v>
      </c>
      <c r="L571" t="s">
        <v>5774</v>
      </c>
      <c r="M571">
        <v>10</v>
      </c>
    </row>
    <row r="572" spans="1:13" x14ac:dyDescent="0.25">
      <c r="A572">
        <v>571</v>
      </c>
      <c r="B572" t="s">
        <v>583</v>
      </c>
      <c r="C572">
        <v>53</v>
      </c>
      <c r="D572" t="s">
        <v>2948</v>
      </c>
      <c r="E572" t="s">
        <v>2955</v>
      </c>
      <c r="F572" t="s">
        <v>3494</v>
      </c>
      <c r="G572" s="2">
        <v>45684</v>
      </c>
      <c r="H572" s="2">
        <v>45690</v>
      </c>
      <c r="I572" t="s">
        <v>5761</v>
      </c>
      <c r="J572" t="s">
        <v>5771</v>
      </c>
      <c r="K572">
        <v>459635.1</v>
      </c>
      <c r="L572" t="s">
        <v>5773</v>
      </c>
      <c r="M572">
        <v>6</v>
      </c>
    </row>
    <row r="573" spans="1:13" x14ac:dyDescent="0.25">
      <c r="A573">
        <v>572</v>
      </c>
      <c r="B573" t="s">
        <v>584</v>
      </c>
      <c r="C573">
        <v>57</v>
      </c>
      <c r="D573" t="s">
        <v>2948</v>
      </c>
      <c r="E573" t="s">
        <v>2953</v>
      </c>
      <c r="F573" t="s">
        <v>3495</v>
      </c>
      <c r="G573" s="2">
        <v>45869</v>
      </c>
      <c r="H573" s="2">
        <v>45877</v>
      </c>
      <c r="I573" t="s">
        <v>5765</v>
      </c>
      <c r="J573" t="s">
        <v>2949</v>
      </c>
      <c r="K573">
        <v>420955.27</v>
      </c>
      <c r="L573" t="s">
        <v>5773</v>
      </c>
      <c r="M573">
        <v>8</v>
      </c>
    </row>
    <row r="574" spans="1:13" x14ac:dyDescent="0.25">
      <c r="A574">
        <v>573</v>
      </c>
      <c r="B574" t="s">
        <v>585</v>
      </c>
      <c r="C574">
        <v>17</v>
      </c>
      <c r="D574" t="s">
        <v>2947</v>
      </c>
      <c r="E574" t="s">
        <v>2949</v>
      </c>
      <c r="F574" t="s">
        <v>3496</v>
      </c>
      <c r="G574" s="2">
        <v>45634</v>
      </c>
      <c r="H574" s="2">
        <v>45637</v>
      </c>
      <c r="I574" t="s">
        <v>5763</v>
      </c>
      <c r="J574" t="s">
        <v>5771</v>
      </c>
      <c r="K574">
        <v>438503.42</v>
      </c>
      <c r="L574" t="s">
        <v>5775</v>
      </c>
      <c r="M574">
        <v>3</v>
      </c>
    </row>
    <row r="575" spans="1:13" x14ac:dyDescent="0.25">
      <c r="A575">
        <v>574</v>
      </c>
      <c r="B575" t="s">
        <v>586</v>
      </c>
      <c r="C575">
        <v>77</v>
      </c>
      <c r="D575" t="s">
        <v>2948</v>
      </c>
      <c r="E575" t="s">
        <v>2955</v>
      </c>
      <c r="F575" t="s">
        <v>3497</v>
      </c>
      <c r="G575" s="2">
        <v>45773</v>
      </c>
      <c r="H575" s="2">
        <v>45775</v>
      </c>
      <c r="I575" t="s">
        <v>5758</v>
      </c>
      <c r="J575" t="s">
        <v>5771</v>
      </c>
      <c r="K575">
        <v>142856.64000000001</v>
      </c>
      <c r="L575" t="s">
        <v>5775</v>
      </c>
      <c r="M575">
        <v>2</v>
      </c>
    </row>
    <row r="576" spans="1:13" x14ac:dyDescent="0.25">
      <c r="A576">
        <v>575</v>
      </c>
      <c r="B576" t="s">
        <v>587</v>
      </c>
      <c r="C576">
        <v>22</v>
      </c>
      <c r="D576" t="s">
        <v>2947</v>
      </c>
      <c r="E576" t="s">
        <v>2951</v>
      </c>
      <c r="F576" t="s">
        <v>3498</v>
      </c>
      <c r="G576" s="2">
        <v>45881</v>
      </c>
      <c r="H576" s="2">
        <v>45888</v>
      </c>
      <c r="I576" t="s">
        <v>5762</v>
      </c>
      <c r="J576" t="s">
        <v>5771</v>
      </c>
      <c r="K576">
        <v>278723.55</v>
      </c>
      <c r="L576" t="s">
        <v>5774</v>
      </c>
      <c r="M576">
        <v>7</v>
      </c>
    </row>
    <row r="577" spans="1:13" x14ac:dyDescent="0.25">
      <c r="A577">
        <v>576</v>
      </c>
      <c r="B577" t="s">
        <v>588</v>
      </c>
      <c r="C577">
        <v>71</v>
      </c>
      <c r="D577" t="s">
        <v>2947</v>
      </c>
      <c r="E577" t="s">
        <v>2949</v>
      </c>
      <c r="F577" t="s">
        <v>3499</v>
      </c>
      <c r="G577" s="2">
        <v>45672</v>
      </c>
      <c r="H577" s="2">
        <v>45677</v>
      </c>
      <c r="I577" t="s">
        <v>5760</v>
      </c>
      <c r="J577" t="s">
        <v>2949</v>
      </c>
      <c r="K577">
        <v>99918.9</v>
      </c>
      <c r="L577" t="s">
        <v>5775</v>
      </c>
      <c r="M577">
        <v>5</v>
      </c>
    </row>
    <row r="578" spans="1:13" x14ac:dyDescent="0.25">
      <c r="A578">
        <v>577</v>
      </c>
      <c r="B578" t="s">
        <v>589</v>
      </c>
      <c r="C578">
        <v>2</v>
      </c>
      <c r="D578" t="s">
        <v>2948</v>
      </c>
      <c r="E578" t="s">
        <v>2954</v>
      </c>
      <c r="F578" t="s">
        <v>3500</v>
      </c>
      <c r="G578" s="2">
        <v>45680</v>
      </c>
      <c r="H578" s="2">
        <v>45693</v>
      </c>
      <c r="I578" t="s">
        <v>5765</v>
      </c>
      <c r="J578" t="s">
        <v>5769</v>
      </c>
      <c r="K578">
        <v>234786.35</v>
      </c>
      <c r="L578" t="s">
        <v>5773</v>
      </c>
      <c r="M578">
        <v>13</v>
      </c>
    </row>
    <row r="579" spans="1:13" x14ac:dyDescent="0.25">
      <c r="A579">
        <v>578</v>
      </c>
      <c r="B579" t="s">
        <v>590</v>
      </c>
      <c r="C579">
        <v>28</v>
      </c>
      <c r="D579" t="s">
        <v>2947</v>
      </c>
      <c r="E579" t="s">
        <v>2950</v>
      </c>
      <c r="F579" t="s">
        <v>2046</v>
      </c>
      <c r="G579" s="2">
        <v>45750</v>
      </c>
      <c r="H579" s="2">
        <v>45752</v>
      </c>
      <c r="I579" t="s">
        <v>5766</v>
      </c>
      <c r="J579" t="s">
        <v>5770</v>
      </c>
      <c r="K579">
        <v>319971.58</v>
      </c>
      <c r="L579" t="s">
        <v>5775</v>
      </c>
      <c r="M579">
        <v>2</v>
      </c>
    </row>
    <row r="580" spans="1:13" x14ac:dyDescent="0.25">
      <c r="A580">
        <v>579</v>
      </c>
      <c r="B580" t="s">
        <v>591</v>
      </c>
      <c r="C580">
        <v>88</v>
      </c>
      <c r="D580" t="s">
        <v>2947</v>
      </c>
      <c r="E580" t="s">
        <v>2951</v>
      </c>
      <c r="F580" t="s">
        <v>3501</v>
      </c>
      <c r="G580" s="2">
        <v>45862</v>
      </c>
      <c r="H580" s="2">
        <v>45877</v>
      </c>
      <c r="I580" t="s">
        <v>5762</v>
      </c>
      <c r="J580" t="s">
        <v>5772</v>
      </c>
      <c r="K580">
        <v>312682.51</v>
      </c>
      <c r="L580" t="s">
        <v>5775</v>
      </c>
      <c r="M580">
        <v>15</v>
      </c>
    </row>
    <row r="581" spans="1:13" x14ac:dyDescent="0.25">
      <c r="A581">
        <v>580</v>
      </c>
      <c r="B581" t="s">
        <v>592</v>
      </c>
      <c r="C581">
        <v>8</v>
      </c>
      <c r="D581" t="s">
        <v>2948</v>
      </c>
      <c r="E581" t="s">
        <v>2955</v>
      </c>
      <c r="F581" t="s">
        <v>3502</v>
      </c>
      <c r="G581" s="2">
        <v>45678</v>
      </c>
      <c r="H581" s="2">
        <v>45681</v>
      </c>
      <c r="I581" t="s">
        <v>5766</v>
      </c>
      <c r="J581" t="s">
        <v>5769</v>
      </c>
      <c r="K581">
        <v>115539.51</v>
      </c>
      <c r="L581" t="s">
        <v>5775</v>
      </c>
      <c r="M581">
        <v>3</v>
      </c>
    </row>
    <row r="582" spans="1:13" x14ac:dyDescent="0.25">
      <c r="A582">
        <v>581</v>
      </c>
      <c r="B582" t="s">
        <v>593</v>
      </c>
      <c r="C582">
        <v>41</v>
      </c>
      <c r="D582" t="s">
        <v>2947</v>
      </c>
      <c r="E582" t="s">
        <v>2955</v>
      </c>
      <c r="F582" t="s">
        <v>3503</v>
      </c>
      <c r="G582" s="2">
        <v>45586</v>
      </c>
      <c r="H582" s="2">
        <v>45594</v>
      </c>
      <c r="I582" t="s">
        <v>5766</v>
      </c>
      <c r="J582" t="s">
        <v>5768</v>
      </c>
      <c r="K582">
        <v>56164.03</v>
      </c>
      <c r="L582" t="s">
        <v>5774</v>
      </c>
      <c r="M582">
        <v>8</v>
      </c>
    </row>
    <row r="583" spans="1:13" x14ac:dyDescent="0.25">
      <c r="A583">
        <v>582</v>
      </c>
      <c r="B583" t="s">
        <v>594</v>
      </c>
      <c r="C583">
        <v>88</v>
      </c>
      <c r="D583" t="s">
        <v>2948</v>
      </c>
      <c r="E583" t="s">
        <v>2951</v>
      </c>
      <c r="F583" t="s">
        <v>3504</v>
      </c>
      <c r="G583" s="2">
        <v>45789</v>
      </c>
      <c r="H583" s="2">
        <v>45798</v>
      </c>
      <c r="I583" t="s">
        <v>5766</v>
      </c>
      <c r="J583" t="s">
        <v>5770</v>
      </c>
      <c r="K583">
        <v>81763.839999999997</v>
      </c>
      <c r="L583" t="s">
        <v>5775</v>
      </c>
      <c r="M583">
        <v>9</v>
      </c>
    </row>
    <row r="584" spans="1:13" x14ac:dyDescent="0.25">
      <c r="A584">
        <v>583</v>
      </c>
      <c r="B584" t="s">
        <v>595</v>
      </c>
      <c r="C584">
        <v>69</v>
      </c>
      <c r="D584" t="s">
        <v>2947</v>
      </c>
      <c r="E584" t="s">
        <v>2950</v>
      </c>
      <c r="F584" t="s">
        <v>3505</v>
      </c>
      <c r="G584" s="2">
        <v>45602</v>
      </c>
      <c r="H584" s="2">
        <v>45603</v>
      </c>
      <c r="I584" t="s">
        <v>5767</v>
      </c>
      <c r="J584" t="s">
        <v>5770</v>
      </c>
      <c r="K584">
        <v>204127.88</v>
      </c>
      <c r="L584" t="s">
        <v>5774</v>
      </c>
      <c r="M584">
        <v>1</v>
      </c>
    </row>
    <row r="585" spans="1:13" x14ac:dyDescent="0.25">
      <c r="A585">
        <v>584</v>
      </c>
      <c r="B585" t="s">
        <v>596</v>
      </c>
      <c r="C585">
        <v>57</v>
      </c>
      <c r="D585" t="s">
        <v>2947</v>
      </c>
      <c r="E585" t="s">
        <v>2955</v>
      </c>
      <c r="F585" t="s">
        <v>3506</v>
      </c>
      <c r="G585" s="2">
        <v>45754</v>
      </c>
      <c r="H585" s="2">
        <v>45759</v>
      </c>
      <c r="I585" t="s">
        <v>5766</v>
      </c>
      <c r="J585" t="s">
        <v>5768</v>
      </c>
      <c r="K585">
        <v>347808.74</v>
      </c>
      <c r="L585" t="s">
        <v>5774</v>
      </c>
      <c r="M585">
        <v>5</v>
      </c>
    </row>
    <row r="586" spans="1:13" x14ac:dyDescent="0.25">
      <c r="A586">
        <v>585</v>
      </c>
      <c r="B586" t="s">
        <v>597</v>
      </c>
      <c r="C586">
        <v>24</v>
      </c>
      <c r="D586" t="s">
        <v>2947</v>
      </c>
      <c r="E586" t="s">
        <v>2952</v>
      </c>
      <c r="F586" t="s">
        <v>3507</v>
      </c>
      <c r="G586" s="2">
        <v>45711</v>
      </c>
      <c r="H586" s="2">
        <v>45718</v>
      </c>
      <c r="I586" t="s">
        <v>5764</v>
      </c>
      <c r="J586" t="s">
        <v>5769</v>
      </c>
      <c r="K586">
        <v>25066.27</v>
      </c>
      <c r="L586" t="s">
        <v>5774</v>
      </c>
      <c r="M586">
        <v>7</v>
      </c>
    </row>
    <row r="587" spans="1:13" x14ac:dyDescent="0.25">
      <c r="A587">
        <v>586</v>
      </c>
      <c r="B587" t="s">
        <v>598</v>
      </c>
      <c r="C587">
        <v>80</v>
      </c>
      <c r="D587" t="s">
        <v>2948</v>
      </c>
      <c r="E587" t="s">
        <v>2952</v>
      </c>
      <c r="F587" t="s">
        <v>3508</v>
      </c>
      <c r="G587" s="2">
        <v>45768</v>
      </c>
      <c r="H587" s="2">
        <v>45780</v>
      </c>
      <c r="I587" t="s">
        <v>5762</v>
      </c>
      <c r="J587" t="s">
        <v>5769</v>
      </c>
      <c r="K587">
        <v>92400.55</v>
      </c>
      <c r="L587" t="s">
        <v>5773</v>
      </c>
      <c r="M587">
        <v>12</v>
      </c>
    </row>
    <row r="588" spans="1:13" x14ac:dyDescent="0.25">
      <c r="A588">
        <v>587</v>
      </c>
      <c r="B588" t="s">
        <v>599</v>
      </c>
      <c r="C588">
        <v>66</v>
      </c>
      <c r="D588" t="s">
        <v>2947</v>
      </c>
      <c r="E588" t="s">
        <v>2955</v>
      </c>
      <c r="F588" t="s">
        <v>3509</v>
      </c>
      <c r="G588" s="2">
        <v>45611</v>
      </c>
      <c r="H588" s="2">
        <v>45617</v>
      </c>
      <c r="I588" t="s">
        <v>5758</v>
      </c>
      <c r="J588" t="s">
        <v>5768</v>
      </c>
      <c r="K588">
        <v>476403.49</v>
      </c>
      <c r="L588" t="s">
        <v>5775</v>
      </c>
      <c r="M588">
        <v>6</v>
      </c>
    </row>
    <row r="589" spans="1:13" x14ac:dyDescent="0.25">
      <c r="A589">
        <v>588</v>
      </c>
      <c r="B589" t="s">
        <v>600</v>
      </c>
      <c r="C589">
        <v>52</v>
      </c>
      <c r="D589" t="s">
        <v>2947</v>
      </c>
      <c r="E589" t="s">
        <v>2951</v>
      </c>
      <c r="F589" t="s">
        <v>3510</v>
      </c>
      <c r="G589" s="2">
        <v>45887</v>
      </c>
      <c r="H589" s="2">
        <v>45898</v>
      </c>
      <c r="I589" t="s">
        <v>5763</v>
      </c>
      <c r="J589" t="s">
        <v>5769</v>
      </c>
      <c r="K589">
        <v>84516.63</v>
      </c>
      <c r="L589" t="s">
        <v>5773</v>
      </c>
      <c r="M589">
        <v>11</v>
      </c>
    </row>
    <row r="590" spans="1:13" x14ac:dyDescent="0.25">
      <c r="A590">
        <v>589</v>
      </c>
      <c r="B590" t="s">
        <v>601</v>
      </c>
      <c r="C590">
        <v>11</v>
      </c>
      <c r="D590" t="s">
        <v>2947</v>
      </c>
      <c r="E590" t="s">
        <v>2951</v>
      </c>
      <c r="F590" t="s">
        <v>3511</v>
      </c>
      <c r="G590" s="2">
        <v>45593</v>
      </c>
      <c r="H590" s="2">
        <v>45597</v>
      </c>
      <c r="I590" t="s">
        <v>5763</v>
      </c>
      <c r="J590" t="s">
        <v>5771</v>
      </c>
      <c r="K590">
        <v>304135.48</v>
      </c>
      <c r="L590" t="s">
        <v>5773</v>
      </c>
      <c r="M590">
        <v>4</v>
      </c>
    </row>
    <row r="591" spans="1:13" x14ac:dyDescent="0.25">
      <c r="A591">
        <v>590</v>
      </c>
      <c r="B591" t="s">
        <v>602</v>
      </c>
      <c r="C591">
        <v>86</v>
      </c>
      <c r="D591" t="s">
        <v>2948</v>
      </c>
      <c r="E591" t="s">
        <v>2951</v>
      </c>
      <c r="F591" t="s">
        <v>3512</v>
      </c>
      <c r="G591" s="2">
        <v>45779</v>
      </c>
      <c r="H591" s="2">
        <v>45794</v>
      </c>
      <c r="I591" t="s">
        <v>5761</v>
      </c>
      <c r="J591" t="s">
        <v>5769</v>
      </c>
      <c r="K591">
        <v>434816.67</v>
      </c>
      <c r="L591" t="s">
        <v>5774</v>
      </c>
      <c r="M591">
        <v>15</v>
      </c>
    </row>
    <row r="592" spans="1:13" x14ac:dyDescent="0.25">
      <c r="A592">
        <v>591</v>
      </c>
      <c r="B592" t="s">
        <v>603</v>
      </c>
      <c r="C592">
        <v>74</v>
      </c>
      <c r="D592" t="s">
        <v>2948</v>
      </c>
      <c r="E592" t="s">
        <v>2949</v>
      </c>
      <c r="F592" t="s">
        <v>3513</v>
      </c>
      <c r="G592" s="2">
        <v>45838</v>
      </c>
      <c r="H592" s="2">
        <v>45848</v>
      </c>
      <c r="I592" t="s">
        <v>5762</v>
      </c>
      <c r="J592" t="s">
        <v>5772</v>
      </c>
      <c r="K592">
        <v>152621.16</v>
      </c>
      <c r="L592" t="s">
        <v>5773</v>
      </c>
      <c r="M592">
        <v>10</v>
      </c>
    </row>
    <row r="593" spans="1:13" x14ac:dyDescent="0.25">
      <c r="A593">
        <v>592</v>
      </c>
      <c r="B593" t="s">
        <v>604</v>
      </c>
      <c r="C593">
        <v>90</v>
      </c>
      <c r="D593" t="s">
        <v>2948</v>
      </c>
      <c r="E593" t="s">
        <v>2949</v>
      </c>
      <c r="F593" t="s">
        <v>3514</v>
      </c>
      <c r="G593" s="2">
        <v>45824</v>
      </c>
      <c r="H593" s="2">
        <v>45835</v>
      </c>
      <c r="I593" t="s">
        <v>5760</v>
      </c>
      <c r="J593" t="s">
        <v>5772</v>
      </c>
      <c r="K593">
        <v>23298.16</v>
      </c>
      <c r="L593" t="s">
        <v>5773</v>
      </c>
      <c r="M593">
        <v>11</v>
      </c>
    </row>
    <row r="594" spans="1:13" x14ac:dyDescent="0.25">
      <c r="A594">
        <v>593</v>
      </c>
      <c r="B594" t="s">
        <v>605</v>
      </c>
      <c r="C594">
        <v>23</v>
      </c>
      <c r="D594" t="s">
        <v>2947</v>
      </c>
      <c r="E594" t="s">
        <v>2950</v>
      </c>
      <c r="F594" t="s">
        <v>3515</v>
      </c>
      <c r="G594" s="2">
        <v>45655</v>
      </c>
      <c r="H594" s="2">
        <v>45669</v>
      </c>
      <c r="I594" t="s">
        <v>5764</v>
      </c>
      <c r="J594" t="s">
        <v>2949</v>
      </c>
      <c r="K594">
        <v>115049.15</v>
      </c>
      <c r="L594" t="s">
        <v>5774</v>
      </c>
      <c r="M594">
        <v>14</v>
      </c>
    </row>
    <row r="595" spans="1:13" x14ac:dyDescent="0.25">
      <c r="A595">
        <v>594</v>
      </c>
      <c r="B595" t="s">
        <v>606</v>
      </c>
      <c r="C595">
        <v>59</v>
      </c>
      <c r="D595" t="s">
        <v>2948</v>
      </c>
      <c r="E595" t="s">
        <v>2950</v>
      </c>
      <c r="F595" t="s">
        <v>3516</v>
      </c>
      <c r="G595" s="2">
        <v>45753</v>
      </c>
      <c r="H595" s="2">
        <v>45754</v>
      </c>
      <c r="I595" t="s">
        <v>5761</v>
      </c>
      <c r="J595" t="s">
        <v>5770</v>
      </c>
      <c r="K595">
        <v>61809.47</v>
      </c>
      <c r="L595" t="s">
        <v>5774</v>
      </c>
      <c r="M595">
        <v>1</v>
      </c>
    </row>
    <row r="596" spans="1:13" x14ac:dyDescent="0.25">
      <c r="A596">
        <v>595</v>
      </c>
      <c r="B596" t="s">
        <v>607</v>
      </c>
      <c r="C596">
        <v>42</v>
      </c>
      <c r="D596" t="s">
        <v>2947</v>
      </c>
      <c r="E596" t="s">
        <v>2951</v>
      </c>
      <c r="F596" t="s">
        <v>3517</v>
      </c>
      <c r="G596" s="2">
        <v>45762</v>
      </c>
      <c r="H596" s="2">
        <v>45766</v>
      </c>
      <c r="I596" t="s">
        <v>5758</v>
      </c>
      <c r="J596" t="s">
        <v>5769</v>
      </c>
      <c r="K596">
        <v>491302.88</v>
      </c>
      <c r="L596" t="s">
        <v>5775</v>
      </c>
      <c r="M596">
        <v>4</v>
      </c>
    </row>
    <row r="597" spans="1:13" x14ac:dyDescent="0.25">
      <c r="A597">
        <v>596</v>
      </c>
      <c r="B597" t="s">
        <v>608</v>
      </c>
      <c r="C597">
        <v>39</v>
      </c>
      <c r="D597" t="s">
        <v>2947</v>
      </c>
      <c r="E597" t="s">
        <v>2949</v>
      </c>
      <c r="F597" t="s">
        <v>3518</v>
      </c>
      <c r="G597" s="2">
        <v>45729</v>
      </c>
      <c r="H597" s="2">
        <v>45742</v>
      </c>
      <c r="I597" t="s">
        <v>5764</v>
      </c>
      <c r="J597" t="s">
        <v>5771</v>
      </c>
      <c r="K597">
        <v>348145.25</v>
      </c>
      <c r="L597" t="s">
        <v>5775</v>
      </c>
      <c r="M597">
        <v>13</v>
      </c>
    </row>
    <row r="598" spans="1:13" x14ac:dyDescent="0.25">
      <c r="A598">
        <v>597</v>
      </c>
      <c r="B598" t="s">
        <v>609</v>
      </c>
      <c r="C598">
        <v>23</v>
      </c>
      <c r="D598" t="s">
        <v>2947</v>
      </c>
      <c r="E598" t="s">
        <v>2954</v>
      </c>
      <c r="F598" t="s">
        <v>3519</v>
      </c>
      <c r="G598" s="2">
        <v>45672</v>
      </c>
      <c r="H598" s="2">
        <v>45686</v>
      </c>
      <c r="I598" t="s">
        <v>5758</v>
      </c>
      <c r="J598" t="s">
        <v>2949</v>
      </c>
      <c r="K598">
        <v>415472.26</v>
      </c>
      <c r="L598" t="s">
        <v>5775</v>
      </c>
      <c r="M598">
        <v>14</v>
      </c>
    </row>
    <row r="599" spans="1:13" x14ac:dyDescent="0.25">
      <c r="A599">
        <v>598</v>
      </c>
      <c r="B599" t="s">
        <v>610</v>
      </c>
      <c r="C599">
        <v>43</v>
      </c>
      <c r="D599" t="s">
        <v>2947</v>
      </c>
      <c r="E599" t="s">
        <v>2955</v>
      </c>
      <c r="F599" t="s">
        <v>3520</v>
      </c>
      <c r="G599" s="2">
        <v>45681</v>
      </c>
      <c r="H599" s="2">
        <v>45684</v>
      </c>
      <c r="I599" t="s">
        <v>5764</v>
      </c>
      <c r="J599" t="s">
        <v>5770</v>
      </c>
      <c r="K599">
        <v>212284.37</v>
      </c>
      <c r="L599" t="s">
        <v>5773</v>
      </c>
      <c r="M599">
        <v>3</v>
      </c>
    </row>
    <row r="600" spans="1:13" x14ac:dyDescent="0.25">
      <c r="A600">
        <v>599</v>
      </c>
      <c r="B600" t="s">
        <v>611</v>
      </c>
      <c r="C600">
        <v>60</v>
      </c>
      <c r="D600" t="s">
        <v>2948</v>
      </c>
      <c r="E600" t="s">
        <v>2955</v>
      </c>
      <c r="F600" t="s">
        <v>3521</v>
      </c>
      <c r="G600" s="2">
        <v>45724</v>
      </c>
      <c r="H600" s="2">
        <v>45729</v>
      </c>
      <c r="I600" t="s">
        <v>5766</v>
      </c>
      <c r="J600" t="s">
        <v>5770</v>
      </c>
      <c r="K600">
        <v>120861.23</v>
      </c>
      <c r="L600" t="s">
        <v>5774</v>
      </c>
      <c r="M600">
        <v>5</v>
      </c>
    </row>
    <row r="601" spans="1:13" x14ac:dyDescent="0.25">
      <c r="A601">
        <v>600</v>
      </c>
      <c r="B601" t="s">
        <v>612</v>
      </c>
      <c r="C601">
        <v>67</v>
      </c>
      <c r="D601" t="s">
        <v>2947</v>
      </c>
      <c r="E601" t="s">
        <v>2952</v>
      </c>
      <c r="F601" t="s">
        <v>3522</v>
      </c>
      <c r="G601" s="2">
        <v>45553</v>
      </c>
      <c r="H601" s="2">
        <v>45568</v>
      </c>
      <c r="I601" t="s">
        <v>5765</v>
      </c>
      <c r="J601" t="s">
        <v>5771</v>
      </c>
      <c r="K601">
        <v>354402.61</v>
      </c>
      <c r="L601" t="s">
        <v>5774</v>
      </c>
      <c r="M601">
        <v>15</v>
      </c>
    </row>
    <row r="602" spans="1:13" x14ac:dyDescent="0.25">
      <c r="A602">
        <v>601</v>
      </c>
      <c r="B602" t="s">
        <v>613</v>
      </c>
      <c r="C602">
        <v>10</v>
      </c>
      <c r="D602" t="s">
        <v>2948</v>
      </c>
      <c r="E602" t="s">
        <v>2949</v>
      </c>
      <c r="F602" t="s">
        <v>3523</v>
      </c>
      <c r="G602" s="2">
        <v>45732</v>
      </c>
      <c r="H602" s="2">
        <v>45744</v>
      </c>
      <c r="I602" t="s">
        <v>5761</v>
      </c>
      <c r="J602" t="s">
        <v>5772</v>
      </c>
      <c r="K602">
        <v>134801.65</v>
      </c>
      <c r="L602" t="s">
        <v>5775</v>
      </c>
      <c r="M602">
        <v>12</v>
      </c>
    </row>
    <row r="603" spans="1:13" x14ac:dyDescent="0.25">
      <c r="A603">
        <v>602</v>
      </c>
      <c r="B603" t="s">
        <v>614</v>
      </c>
      <c r="C603">
        <v>51</v>
      </c>
      <c r="D603" t="s">
        <v>2947</v>
      </c>
      <c r="E603" t="s">
        <v>2955</v>
      </c>
      <c r="F603" t="s">
        <v>3524</v>
      </c>
      <c r="G603" s="2">
        <v>45871</v>
      </c>
      <c r="H603" s="2">
        <v>45880</v>
      </c>
      <c r="I603" t="s">
        <v>5766</v>
      </c>
      <c r="J603" t="s">
        <v>5771</v>
      </c>
      <c r="K603">
        <v>265923.69</v>
      </c>
      <c r="L603" t="s">
        <v>5775</v>
      </c>
      <c r="M603">
        <v>9</v>
      </c>
    </row>
    <row r="604" spans="1:13" x14ac:dyDescent="0.25">
      <c r="A604">
        <v>603</v>
      </c>
      <c r="B604" t="s">
        <v>615</v>
      </c>
      <c r="C604">
        <v>72</v>
      </c>
      <c r="D604" t="s">
        <v>2948</v>
      </c>
      <c r="E604" t="s">
        <v>2953</v>
      </c>
      <c r="F604" t="s">
        <v>3525</v>
      </c>
      <c r="G604" s="2">
        <v>45586</v>
      </c>
      <c r="H604" s="2">
        <v>45600</v>
      </c>
      <c r="I604" t="s">
        <v>5764</v>
      </c>
      <c r="J604" t="s">
        <v>2949</v>
      </c>
      <c r="K604">
        <v>346935.13</v>
      </c>
      <c r="L604" t="s">
        <v>5774</v>
      </c>
      <c r="M604">
        <v>14</v>
      </c>
    </row>
    <row r="605" spans="1:13" x14ac:dyDescent="0.25">
      <c r="A605">
        <v>604</v>
      </c>
      <c r="B605" t="s">
        <v>616</v>
      </c>
      <c r="C605">
        <v>80</v>
      </c>
      <c r="D605" t="s">
        <v>2947</v>
      </c>
      <c r="E605" t="s">
        <v>2949</v>
      </c>
      <c r="F605" t="s">
        <v>3526</v>
      </c>
      <c r="G605" s="2">
        <v>45629</v>
      </c>
      <c r="H605" s="2">
        <v>45638</v>
      </c>
      <c r="I605" t="s">
        <v>5763</v>
      </c>
      <c r="J605" t="s">
        <v>5769</v>
      </c>
      <c r="K605">
        <v>287324.14</v>
      </c>
      <c r="L605" t="s">
        <v>5773</v>
      </c>
      <c r="M605">
        <v>9</v>
      </c>
    </row>
    <row r="606" spans="1:13" x14ac:dyDescent="0.25">
      <c r="A606">
        <v>605</v>
      </c>
      <c r="B606" t="s">
        <v>617</v>
      </c>
      <c r="C606">
        <v>21</v>
      </c>
      <c r="D606" t="s">
        <v>2948</v>
      </c>
      <c r="E606" t="s">
        <v>2953</v>
      </c>
      <c r="F606" t="s">
        <v>3527</v>
      </c>
      <c r="G606" s="2">
        <v>45622</v>
      </c>
      <c r="H606" s="2">
        <v>45627</v>
      </c>
      <c r="I606" t="s">
        <v>5760</v>
      </c>
      <c r="J606" t="s">
        <v>5770</v>
      </c>
      <c r="K606">
        <v>165331.31</v>
      </c>
      <c r="L606" t="s">
        <v>5775</v>
      </c>
      <c r="M606">
        <v>5</v>
      </c>
    </row>
    <row r="607" spans="1:13" x14ac:dyDescent="0.25">
      <c r="A607">
        <v>606</v>
      </c>
      <c r="B607" t="s">
        <v>618</v>
      </c>
      <c r="C607">
        <v>73</v>
      </c>
      <c r="D607" t="s">
        <v>2948</v>
      </c>
      <c r="E607" t="s">
        <v>2949</v>
      </c>
      <c r="F607" t="s">
        <v>3528</v>
      </c>
      <c r="G607" s="2">
        <v>45754</v>
      </c>
      <c r="H607" s="2">
        <v>45767</v>
      </c>
      <c r="I607" t="s">
        <v>5762</v>
      </c>
      <c r="J607" t="s">
        <v>5770</v>
      </c>
      <c r="K607">
        <v>305946.36</v>
      </c>
      <c r="L607" t="s">
        <v>5773</v>
      </c>
      <c r="M607">
        <v>13</v>
      </c>
    </row>
    <row r="608" spans="1:13" x14ac:dyDescent="0.25">
      <c r="A608">
        <v>607</v>
      </c>
      <c r="B608" t="s">
        <v>619</v>
      </c>
      <c r="C608">
        <v>66</v>
      </c>
      <c r="D608" t="s">
        <v>2948</v>
      </c>
      <c r="E608" t="s">
        <v>2949</v>
      </c>
      <c r="F608" t="s">
        <v>3529</v>
      </c>
      <c r="G608" s="2">
        <v>45590</v>
      </c>
      <c r="H608" s="2">
        <v>45598</v>
      </c>
      <c r="I608" t="s">
        <v>5765</v>
      </c>
      <c r="J608" t="s">
        <v>5771</v>
      </c>
      <c r="K608">
        <v>188178.97</v>
      </c>
      <c r="L608" t="s">
        <v>5774</v>
      </c>
      <c r="M608">
        <v>8</v>
      </c>
    </row>
    <row r="609" spans="1:13" x14ac:dyDescent="0.25">
      <c r="A609">
        <v>608</v>
      </c>
      <c r="B609" t="s">
        <v>620</v>
      </c>
      <c r="C609">
        <v>40</v>
      </c>
      <c r="D609" t="s">
        <v>2947</v>
      </c>
      <c r="E609" t="s">
        <v>2954</v>
      </c>
      <c r="F609" t="s">
        <v>3530</v>
      </c>
      <c r="G609" s="2">
        <v>45773</v>
      </c>
      <c r="H609" s="2">
        <v>45783</v>
      </c>
      <c r="I609" t="s">
        <v>5760</v>
      </c>
      <c r="J609" t="s">
        <v>5769</v>
      </c>
      <c r="K609">
        <v>412407.32</v>
      </c>
      <c r="L609" t="s">
        <v>5774</v>
      </c>
      <c r="M609">
        <v>10</v>
      </c>
    </row>
    <row r="610" spans="1:13" x14ac:dyDescent="0.25">
      <c r="A610">
        <v>609</v>
      </c>
      <c r="B610" t="s">
        <v>621</v>
      </c>
      <c r="C610">
        <v>42</v>
      </c>
      <c r="D610" t="s">
        <v>2947</v>
      </c>
      <c r="E610" t="s">
        <v>2951</v>
      </c>
      <c r="F610" t="s">
        <v>3531</v>
      </c>
      <c r="G610" s="2">
        <v>45627</v>
      </c>
      <c r="H610" s="2">
        <v>45632</v>
      </c>
      <c r="I610" t="s">
        <v>5760</v>
      </c>
      <c r="J610" t="s">
        <v>5770</v>
      </c>
      <c r="K610">
        <v>391103.12</v>
      </c>
      <c r="L610" t="s">
        <v>5774</v>
      </c>
      <c r="M610">
        <v>5</v>
      </c>
    </row>
    <row r="611" spans="1:13" x14ac:dyDescent="0.25">
      <c r="A611">
        <v>610</v>
      </c>
      <c r="B611" t="s">
        <v>622</v>
      </c>
      <c r="C611">
        <v>52</v>
      </c>
      <c r="D611" t="s">
        <v>2948</v>
      </c>
      <c r="E611" t="s">
        <v>2951</v>
      </c>
      <c r="F611" t="s">
        <v>3532</v>
      </c>
      <c r="G611" s="2">
        <v>45846</v>
      </c>
      <c r="H611" s="2">
        <v>45853</v>
      </c>
      <c r="I611" t="s">
        <v>5762</v>
      </c>
      <c r="J611" t="s">
        <v>5771</v>
      </c>
      <c r="K611">
        <v>119783.36</v>
      </c>
      <c r="L611" t="s">
        <v>5775</v>
      </c>
      <c r="M611">
        <v>7</v>
      </c>
    </row>
    <row r="612" spans="1:13" x14ac:dyDescent="0.25">
      <c r="A612">
        <v>611</v>
      </c>
      <c r="B612" t="s">
        <v>623</v>
      </c>
      <c r="C612">
        <v>6</v>
      </c>
      <c r="D612" t="s">
        <v>2947</v>
      </c>
      <c r="E612" t="s">
        <v>2953</v>
      </c>
      <c r="F612" t="s">
        <v>3533</v>
      </c>
      <c r="G612" s="2">
        <v>45763</v>
      </c>
      <c r="H612" s="2">
        <v>45769</v>
      </c>
      <c r="I612" t="s">
        <v>5761</v>
      </c>
      <c r="J612" t="s">
        <v>2949</v>
      </c>
      <c r="K612">
        <v>30011.42</v>
      </c>
      <c r="L612" t="s">
        <v>5773</v>
      </c>
      <c r="M612">
        <v>6</v>
      </c>
    </row>
    <row r="613" spans="1:13" x14ac:dyDescent="0.25">
      <c r="A613">
        <v>612</v>
      </c>
      <c r="B613" t="s">
        <v>624</v>
      </c>
      <c r="C613">
        <v>58</v>
      </c>
      <c r="D613" t="s">
        <v>2947</v>
      </c>
      <c r="E613" t="s">
        <v>2953</v>
      </c>
      <c r="F613" t="s">
        <v>3534</v>
      </c>
      <c r="G613" s="2">
        <v>45881</v>
      </c>
      <c r="H613" s="2">
        <v>45891</v>
      </c>
      <c r="I613" t="s">
        <v>5758</v>
      </c>
      <c r="J613" t="s">
        <v>5769</v>
      </c>
      <c r="K613">
        <v>90654.82</v>
      </c>
      <c r="L613" t="s">
        <v>5774</v>
      </c>
      <c r="M613">
        <v>10</v>
      </c>
    </row>
    <row r="614" spans="1:13" x14ac:dyDescent="0.25">
      <c r="A614">
        <v>613</v>
      </c>
      <c r="B614" t="s">
        <v>625</v>
      </c>
      <c r="C614">
        <v>57</v>
      </c>
      <c r="D614" t="s">
        <v>2947</v>
      </c>
      <c r="E614" t="s">
        <v>2955</v>
      </c>
      <c r="F614" t="s">
        <v>2391</v>
      </c>
      <c r="G614" s="2">
        <v>45768</v>
      </c>
      <c r="H614" s="2">
        <v>45773</v>
      </c>
      <c r="I614" t="s">
        <v>5766</v>
      </c>
      <c r="J614" t="s">
        <v>5770</v>
      </c>
      <c r="K614">
        <v>162542.39000000001</v>
      </c>
      <c r="L614" t="s">
        <v>5774</v>
      </c>
      <c r="M614">
        <v>5</v>
      </c>
    </row>
    <row r="615" spans="1:13" x14ac:dyDescent="0.25">
      <c r="A615">
        <v>614</v>
      </c>
      <c r="B615" t="s">
        <v>626</v>
      </c>
      <c r="C615">
        <v>38</v>
      </c>
      <c r="D615" t="s">
        <v>2948</v>
      </c>
      <c r="E615" t="s">
        <v>2954</v>
      </c>
      <c r="F615" t="s">
        <v>3535</v>
      </c>
      <c r="G615" s="2">
        <v>45599</v>
      </c>
      <c r="H615" s="2">
        <v>45602</v>
      </c>
      <c r="I615" t="s">
        <v>5766</v>
      </c>
      <c r="J615" t="s">
        <v>5769</v>
      </c>
      <c r="K615">
        <v>31596.27</v>
      </c>
      <c r="L615" t="s">
        <v>5775</v>
      </c>
      <c r="M615">
        <v>3</v>
      </c>
    </row>
    <row r="616" spans="1:13" x14ac:dyDescent="0.25">
      <c r="A616">
        <v>615</v>
      </c>
      <c r="B616" t="s">
        <v>627</v>
      </c>
      <c r="C616">
        <v>56</v>
      </c>
      <c r="D616" t="s">
        <v>2948</v>
      </c>
      <c r="E616" t="s">
        <v>2950</v>
      </c>
      <c r="F616" t="s">
        <v>3536</v>
      </c>
      <c r="G616" s="2">
        <v>45765</v>
      </c>
      <c r="H616" s="2">
        <v>45769</v>
      </c>
      <c r="I616" t="s">
        <v>5762</v>
      </c>
      <c r="J616" t="s">
        <v>5771</v>
      </c>
      <c r="K616">
        <v>120963.2</v>
      </c>
      <c r="L616" t="s">
        <v>5774</v>
      </c>
      <c r="M616">
        <v>4</v>
      </c>
    </row>
    <row r="617" spans="1:13" x14ac:dyDescent="0.25">
      <c r="A617">
        <v>616</v>
      </c>
      <c r="B617" t="s">
        <v>628</v>
      </c>
      <c r="C617">
        <v>58</v>
      </c>
      <c r="D617" t="s">
        <v>2947</v>
      </c>
      <c r="E617" t="s">
        <v>2952</v>
      </c>
      <c r="F617" t="s">
        <v>3537</v>
      </c>
      <c r="G617" s="2">
        <v>45607</v>
      </c>
      <c r="H617" s="2">
        <v>45609</v>
      </c>
      <c r="I617" t="s">
        <v>5760</v>
      </c>
      <c r="J617" t="s">
        <v>5769</v>
      </c>
      <c r="K617">
        <v>224216.84</v>
      </c>
      <c r="L617" t="s">
        <v>5774</v>
      </c>
      <c r="M617">
        <v>2</v>
      </c>
    </row>
    <row r="618" spans="1:13" x14ac:dyDescent="0.25">
      <c r="A618">
        <v>617</v>
      </c>
      <c r="B618" t="s">
        <v>629</v>
      </c>
      <c r="C618">
        <v>38</v>
      </c>
      <c r="D618" t="s">
        <v>2948</v>
      </c>
      <c r="E618" t="s">
        <v>2955</v>
      </c>
      <c r="F618" t="s">
        <v>3538</v>
      </c>
      <c r="G618" s="2">
        <v>45811</v>
      </c>
      <c r="H618" s="2">
        <v>45815</v>
      </c>
      <c r="I618" t="s">
        <v>5763</v>
      </c>
      <c r="J618" t="s">
        <v>2949</v>
      </c>
      <c r="K618">
        <v>314654.34000000003</v>
      </c>
      <c r="L618" t="s">
        <v>5773</v>
      </c>
      <c r="M618">
        <v>4</v>
      </c>
    </row>
    <row r="619" spans="1:13" x14ac:dyDescent="0.25">
      <c r="A619">
        <v>618</v>
      </c>
      <c r="B619" t="s">
        <v>630</v>
      </c>
      <c r="C619">
        <v>73</v>
      </c>
      <c r="D619" t="s">
        <v>2947</v>
      </c>
      <c r="E619" t="s">
        <v>2952</v>
      </c>
      <c r="F619" t="s">
        <v>3539</v>
      </c>
      <c r="G619" s="2">
        <v>45600</v>
      </c>
      <c r="H619" s="2">
        <v>45606</v>
      </c>
      <c r="I619" t="s">
        <v>5761</v>
      </c>
      <c r="J619" t="s">
        <v>5772</v>
      </c>
      <c r="K619">
        <v>65529.9</v>
      </c>
      <c r="L619" t="s">
        <v>5773</v>
      </c>
      <c r="M619">
        <v>6</v>
      </c>
    </row>
    <row r="620" spans="1:13" x14ac:dyDescent="0.25">
      <c r="A620">
        <v>619</v>
      </c>
      <c r="B620" t="s">
        <v>631</v>
      </c>
      <c r="C620">
        <v>45</v>
      </c>
      <c r="D620" t="s">
        <v>2948</v>
      </c>
      <c r="E620" t="s">
        <v>2952</v>
      </c>
      <c r="F620" t="s">
        <v>3540</v>
      </c>
      <c r="G620" s="2">
        <v>45836</v>
      </c>
      <c r="H620" s="2">
        <v>45837</v>
      </c>
      <c r="I620" t="s">
        <v>5760</v>
      </c>
      <c r="J620" t="s">
        <v>5772</v>
      </c>
      <c r="K620">
        <v>31589.37</v>
      </c>
      <c r="L620" t="s">
        <v>5775</v>
      </c>
      <c r="M620">
        <v>1</v>
      </c>
    </row>
    <row r="621" spans="1:13" x14ac:dyDescent="0.25">
      <c r="A621">
        <v>620</v>
      </c>
      <c r="B621" t="s">
        <v>632</v>
      </c>
      <c r="C621">
        <v>79</v>
      </c>
      <c r="D621" t="s">
        <v>2947</v>
      </c>
      <c r="E621" t="s">
        <v>2952</v>
      </c>
      <c r="F621" t="s">
        <v>3541</v>
      </c>
      <c r="G621" s="2">
        <v>45839</v>
      </c>
      <c r="H621" s="2">
        <v>45851</v>
      </c>
      <c r="I621" t="s">
        <v>5766</v>
      </c>
      <c r="J621" t="s">
        <v>5772</v>
      </c>
      <c r="K621">
        <v>425650.3</v>
      </c>
      <c r="L621" t="s">
        <v>5773</v>
      </c>
      <c r="M621">
        <v>12</v>
      </c>
    </row>
    <row r="622" spans="1:13" x14ac:dyDescent="0.25">
      <c r="A622">
        <v>621</v>
      </c>
      <c r="B622" t="s">
        <v>633</v>
      </c>
      <c r="C622">
        <v>4</v>
      </c>
      <c r="D622" t="s">
        <v>2947</v>
      </c>
      <c r="E622" t="s">
        <v>2954</v>
      </c>
      <c r="F622" t="s">
        <v>3542</v>
      </c>
      <c r="G622" s="2">
        <v>45813</v>
      </c>
      <c r="H622" s="2">
        <v>45816</v>
      </c>
      <c r="I622" t="s">
        <v>5766</v>
      </c>
      <c r="J622" t="s">
        <v>5772</v>
      </c>
      <c r="K622">
        <v>233223.05</v>
      </c>
      <c r="L622" t="s">
        <v>5775</v>
      </c>
      <c r="M622">
        <v>3</v>
      </c>
    </row>
    <row r="623" spans="1:13" x14ac:dyDescent="0.25">
      <c r="A623">
        <v>622</v>
      </c>
      <c r="B623" t="s">
        <v>634</v>
      </c>
      <c r="C623">
        <v>6</v>
      </c>
      <c r="D623" t="s">
        <v>2948</v>
      </c>
      <c r="E623" t="s">
        <v>2951</v>
      </c>
      <c r="F623" t="s">
        <v>3543</v>
      </c>
      <c r="G623" s="2">
        <v>45906</v>
      </c>
      <c r="H623" s="2">
        <v>45919</v>
      </c>
      <c r="I623" t="s">
        <v>5760</v>
      </c>
      <c r="J623" t="s">
        <v>5768</v>
      </c>
      <c r="K623">
        <v>372031.27</v>
      </c>
      <c r="L623" t="s">
        <v>5775</v>
      </c>
      <c r="M623">
        <v>13</v>
      </c>
    </row>
    <row r="624" spans="1:13" x14ac:dyDescent="0.25">
      <c r="A624">
        <v>623</v>
      </c>
      <c r="B624" t="s">
        <v>635</v>
      </c>
      <c r="C624">
        <v>6</v>
      </c>
      <c r="D624" t="s">
        <v>2947</v>
      </c>
      <c r="E624" t="s">
        <v>2953</v>
      </c>
      <c r="F624" t="s">
        <v>3544</v>
      </c>
      <c r="G624" s="2">
        <v>45747</v>
      </c>
      <c r="H624" s="2">
        <v>45750</v>
      </c>
      <c r="I624" t="s">
        <v>5764</v>
      </c>
      <c r="J624" t="s">
        <v>5768</v>
      </c>
      <c r="K624">
        <v>45037.85</v>
      </c>
      <c r="L624" t="s">
        <v>5774</v>
      </c>
      <c r="M624">
        <v>3</v>
      </c>
    </row>
    <row r="625" spans="1:13" x14ac:dyDescent="0.25">
      <c r="A625">
        <v>624</v>
      </c>
      <c r="B625" t="s">
        <v>636</v>
      </c>
      <c r="C625">
        <v>7</v>
      </c>
      <c r="D625" t="s">
        <v>2947</v>
      </c>
      <c r="E625" t="s">
        <v>2949</v>
      </c>
      <c r="F625" t="s">
        <v>3545</v>
      </c>
      <c r="G625" s="2">
        <v>45605</v>
      </c>
      <c r="H625" s="2">
        <v>45616</v>
      </c>
      <c r="I625" t="s">
        <v>5760</v>
      </c>
      <c r="J625" t="s">
        <v>5770</v>
      </c>
      <c r="K625">
        <v>303145.26</v>
      </c>
      <c r="L625" t="s">
        <v>5773</v>
      </c>
      <c r="M625">
        <v>11</v>
      </c>
    </row>
    <row r="626" spans="1:13" x14ac:dyDescent="0.25">
      <c r="A626">
        <v>625</v>
      </c>
      <c r="B626" t="s">
        <v>637</v>
      </c>
      <c r="C626">
        <v>32</v>
      </c>
      <c r="D626" t="s">
        <v>2948</v>
      </c>
      <c r="E626" t="s">
        <v>2952</v>
      </c>
      <c r="F626" t="s">
        <v>3546</v>
      </c>
      <c r="G626" s="2">
        <v>45781</v>
      </c>
      <c r="H626" s="2">
        <v>45792</v>
      </c>
      <c r="I626" t="s">
        <v>5763</v>
      </c>
      <c r="J626" t="s">
        <v>5769</v>
      </c>
      <c r="K626">
        <v>168068</v>
      </c>
      <c r="L626" t="s">
        <v>5775</v>
      </c>
      <c r="M626">
        <v>11</v>
      </c>
    </row>
    <row r="627" spans="1:13" x14ac:dyDescent="0.25">
      <c r="A627">
        <v>626</v>
      </c>
      <c r="B627" t="s">
        <v>638</v>
      </c>
      <c r="C627">
        <v>8</v>
      </c>
      <c r="D627" t="s">
        <v>2948</v>
      </c>
      <c r="E627" t="s">
        <v>2952</v>
      </c>
      <c r="F627" t="s">
        <v>3547</v>
      </c>
      <c r="G627" s="2">
        <v>45772</v>
      </c>
      <c r="H627" s="2">
        <v>45783</v>
      </c>
      <c r="I627" t="s">
        <v>5764</v>
      </c>
      <c r="J627" t="s">
        <v>5772</v>
      </c>
      <c r="K627">
        <v>211230.71</v>
      </c>
      <c r="L627" t="s">
        <v>5775</v>
      </c>
      <c r="M627">
        <v>11</v>
      </c>
    </row>
    <row r="628" spans="1:13" x14ac:dyDescent="0.25">
      <c r="A628">
        <v>627</v>
      </c>
      <c r="B628" t="s">
        <v>639</v>
      </c>
      <c r="C628">
        <v>34</v>
      </c>
      <c r="D628" t="s">
        <v>2947</v>
      </c>
      <c r="E628" t="s">
        <v>2951</v>
      </c>
      <c r="F628" t="s">
        <v>3548</v>
      </c>
      <c r="G628" s="2">
        <v>45629</v>
      </c>
      <c r="H628" s="2">
        <v>45634</v>
      </c>
      <c r="I628" t="s">
        <v>5765</v>
      </c>
      <c r="J628" t="s">
        <v>5769</v>
      </c>
      <c r="K628">
        <v>99959.21</v>
      </c>
      <c r="L628" t="s">
        <v>5775</v>
      </c>
      <c r="M628">
        <v>5</v>
      </c>
    </row>
    <row r="629" spans="1:13" x14ac:dyDescent="0.25">
      <c r="A629">
        <v>628</v>
      </c>
      <c r="B629" t="s">
        <v>640</v>
      </c>
      <c r="C629">
        <v>89</v>
      </c>
      <c r="D629" t="s">
        <v>2948</v>
      </c>
      <c r="E629" t="s">
        <v>2955</v>
      </c>
      <c r="F629" t="s">
        <v>3549</v>
      </c>
      <c r="G629" s="2">
        <v>45618</v>
      </c>
      <c r="H629" s="2">
        <v>45629</v>
      </c>
      <c r="I629" t="s">
        <v>5760</v>
      </c>
      <c r="J629" t="s">
        <v>5772</v>
      </c>
      <c r="K629">
        <v>364679.85</v>
      </c>
      <c r="L629" t="s">
        <v>5774</v>
      </c>
      <c r="M629">
        <v>11</v>
      </c>
    </row>
    <row r="630" spans="1:13" x14ac:dyDescent="0.25">
      <c r="A630">
        <v>629</v>
      </c>
      <c r="B630" t="s">
        <v>641</v>
      </c>
      <c r="C630">
        <v>22</v>
      </c>
      <c r="D630" t="s">
        <v>2948</v>
      </c>
      <c r="E630" t="s">
        <v>2949</v>
      </c>
      <c r="F630" t="s">
        <v>3550</v>
      </c>
      <c r="G630" s="2">
        <v>45581</v>
      </c>
      <c r="H630" s="2">
        <v>45591</v>
      </c>
      <c r="I630" t="s">
        <v>5762</v>
      </c>
      <c r="J630" t="s">
        <v>5769</v>
      </c>
      <c r="K630">
        <v>277935.84999999998</v>
      </c>
      <c r="L630" t="s">
        <v>5773</v>
      </c>
      <c r="M630">
        <v>10</v>
      </c>
    </row>
    <row r="631" spans="1:13" x14ac:dyDescent="0.25">
      <c r="A631">
        <v>630</v>
      </c>
      <c r="B631" t="s">
        <v>642</v>
      </c>
      <c r="C631">
        <v>19</v>
      </c>
      <c r="D631" t="s">
        <v>2948</v>
      </c>
      <c r="E631" t="s">
        <v>2951</v>
      </c>
      <c r="F631" t="s">
        <v>3551</v>
      </c>
      <c r="G631" s="2">
        <v>45777</v>
      </c>
      <c r="H631" s="2">
        <v>45788</v>
      </c>
      <c r="I631" t="s">
        <v>5758</v>
      </c>
      <c r="J631" t="s">
        <v>2949</v>
      </c>
      <c r="K631">
        <v>244264.25</v>
      </c>
      <c r="L631" t="s">
        <v>5775</v>
      </c>
      <c r="M631">
        <v>11</v>
      </c>
    </row>
    <row r="632" spans="1:13" x14ac:dyDescent="0.25">
      <c r="A632">
        <v>631</v>
      </c>
      <c r="B632" t="s">
        <v>643</v>
      </c>
      <c r="C632">
        <v>18</v>
      </c>
      <c r="D632" t="s">
        <v>2947</v>
      </c>
      <c r="E632" t="s">
        <v>2949</v>
      </c>
      <c r="F632" t="s">
        <v>3552</v>
      </c>
      <c r="G632" s="2">
        <v>45678</v>
      </c>
      <c r="H632" s="2">
        <v>45683</v>
      </c>
      <c r="I632" t="s">
        <v>5759</v>
      </c>
      <c r="J632" t="s">
        <v>5772</v>
      </c>
      <c r="K632">
        <v>433161.2</v>
      </c>
      <c r="L632" t="s">
        <v>5773</v>
      </c>
      <c r="M632">
        <v>5</v>
      </c>
    </row>
    <row r="633" spans="1:13" x14ac:dyDescent="0.25">
      <c r="A633">
        <v>632</v>
      </c>
      <c r="B633" t="s">
        <v>644</v>
      </c>
      <c r="C633">
        <v>37</v>
      </c>
      <c r="D633" t="s">
        <v>2947</v>
      </c>
      <c r="E633" t="s">
        <v>2950</v>
      </c>
      <c r="F633" t="s">
        <v>3553</v>
      </c>
      <c r="G633" s="2">
        <v>45824</v>
      </c>
      <c r="H633" s="2">
        <v>45834</v>
      </c>
      <c r="I633" t="s">
        <v>5763</v>
      </c>
      <c r="J633" t="s">
        <v>5768</v>
      </c>
      <c r="K633">
        <v>251774.35</v>
      </c>
      <c r="L633" t="s">
        <v>5774</v>
      </c>
      <c r="M633">
        <v>10</v>
      </c>
    </row>
    <row r="634" spans="1:13" x14ac:dyDescent="0.25">
      <c r="A634">
        <v>633</v>
      </c>
      <c r="B634" t="s">
        <v>645</v>
      </c>
      <c r="C634">
        <v>7</v>
      </c>
      <c r="D634" t="s">
        <v>2948</v>
      </c>
      <c r="E634" t="s">
        <v>2955</v>
      </c>
      <c r="F634" t="s">
        <v>3554</v>
      </c>
      <c r="G634" s="2">
        <v>45820</v>
      </c>
      <c r="H634" s="2">
        <v>45821</v>
      </c>
      <c r="I634" t="s">
        <v>5762</v>
      </c>
      <c r="J634" t="s">
        <v>5768</v>
      </c>
      <c r="K634">
        <v>336573.39</v>
      </c>
      <c r="L634" t="s">
        <v>5774</v>
      </c>
      <c r="M634">
        <v>1</v>
      </c>
    </row>
    <row r="635" spans="1:13" x14ac:dyDescent="0.25">
      <c r="A635">
        <v>634</v>
      </c>
      <c r="B635" t="s">
        <v>646</v>
      </c>
      <c r="C635">
        <v>16</v>
      </c>
      <c r="D635" t="s">
        <v>2948</v>
      </c>
      <c r="E635" t="s">
        <v>2950</v>
      </c>
      <c r="F635" t="s">
        <v>3555</v>
      </c>
      <c r="G635" s="2">
        <v>45898</v>
      </c>
      <c r="H635" s="2">
        <v>45906</v>
      </c>
      <c r="I635" t="s">
        <v>5761</v>
      </c>
      <c r="J635" t="s">
        <v>2949</v>
      </c>
      <c r="K635">
        <v>199418.14</v>
      </c>
      <c r="L635" t="s">
        <v>5773</v>
      </c>
      <c r="M635">
        <v>8</v>
      </c>
    </row>
    <row r="636" spans="1:13" x14ac:dyDescent="0.25">
      <c r="A636">
        <v>635</v>
      </c>
      <c r="B636" t="s">
        <v>647</v>
      </c>
      <c r="C636">
        <v>61</v>
      </c>
      <c r="D636" t="s">
        <v>2948</v>
      </c>
      <c r="E636" t="s">
        <v>2949</v>
      </c>
      <c r="F636" t="s">
        <v>3556</v>
      </c>
      <c r="G636" s="2">
        <v>45636</v>
      </c>
      <c r="H636" s="2">
        <v>45649</v>
      </c>
      <c r="I636" t="s">
        <v>5759</v>
      </c>
      <c r="J636" t="s">
        <v>5770</v>
      </c>
      <c r="K636">
        <v>218632.14</v>
      </c>
      <c r="L636" t="s">
        <v>5774</v>
      </c>
      <c r="M636">
        <v>13</v>
      </c>
    </row>
    <row r="637" spans="1:13" x14ac:dyDescent="0.25">
      <c r="A637">
        <v>636</v>
      </c>
      <c r="B637" t="s">
        <v>648</v>
      </c>
      <c r="C637">
        <v>56</v>
      </c>
      <c r="D637" t="s">
        <v>2948</v>
      </c>
      <c r="E637" t="s">
        <v>2949</v>
      </c>
      <c r="F637" t="s">
        <v>3557</v>
      </c>
      <c r="G637" s="2">
        <v>45873</v>
      </c>
      <c r="H637" s="2">
        <v>45879</v>
      </c>
      <c r="I637" t="s">
        <v>5766</v>
      </c>
      <c r="J637" t="s">
        <v>5771</v>
      </c>
      <c r="K637">
        <v>104140.18</v>
      </c>
      <c r="L637" t="s">
        <v>5775</v>
      </c>
      <c r="M637">
        <v>6</v>
      </c>
    </row>
    <row r="638" spans="1:13" x14ac:dyDescent="0.25">
      <c r="A638">
        <v>637</v>
      </c>
      <c r="B638" t="s">
        <v>649</v>
      </c>
      <c r="C638">
        <v>76</v>
      </c>
      <c r="D638" t="s">
        <v>2948</v>
      </c>
      <c r="E638" t="s">
        <v>2955</v>
      </c>
      <c r="F638" t="s">
        <v>3558</v>
      </c>
      <c r="G638" s="2">
        <v>45903</v>
      </c>
      <c r="H638" s="2">
        <v>45914</v>
      </c>
      <c r="I638" t="s">
        <v>5765</v>
      </c>
      <c r="J638" t="s">
        <v>2949</v>
      </c>
      <c r="K638">
        <v>45093.74</v>
      </c>
      <c r="L638" t="s">
        <v>5775</v>
      </c>
      <c r="M638">
        <v>11</v>
      </c>
    </row>
    <row r="639" spans="1:13" x14ac:dyDescent="0.25">
      <c r="A639">
        <v>638</v>
      </c>
      <c r="B639" t="s">
        <v>650</v>
      </c>
      <c r="C639">
        <v>66</v>
      </c>
      <c r="D639" t="s">
        <v>2947</v>
      </c>
      <c r="E639" t="s">
        <v>2952</v>
      </c>
      <c r="F639" t="s">
        <v>3559</v>
      </c>
      <c r="G639" s="2">
        <v>45852</v>
      </c>
      <c r="H639" s="2">
        <v>45865</v>
      </c>
      <c r="I639" t="s">
        <v>5765</v>
      </c>
      <c r="J639" t="s">
        <v>5770</v>
      </c>
      <c r="K639">
        <v>244789.04</v>
      </c>
      <c r="L639" t="s">
        <v>5773</v>
      </c>
      <c r="M639">
        <v>13</v>
      </c>
    </row>
    <row r="640" spans="1:13" x14ac:dyDescent="0.25">
      <c r="A640">
        <v>639</v>
      </c>
      <c r="B640" t="s">
        <v>651</v>
      </c>
      <c r="C640">
        <v>28</v>
      </c>
      <c r="D640" t="s">
        <v>2948</v>
      </c>
      <c r="E640" t="s">
        <v>2953</v>
      </c>
      <c r="F640" t="s">
        <v>3560</v>
      </c>
      <c r="G640" s="2">
        <v>45894</v>
      </c>
      <c r="H640" s="2">
        <v>45908</v>
      </c>
      <c r="I640" t="s">
        <v>5761</v>
      </c>
      <c r="J640" t="s">
        <v>2949</v>
      </c>
      <c r="K640">
        <v>7189.81</v>
      </c>
      <c r="L640" t="s">
        <v>5775</v>
      </c>
      <c r="M640">
        <v>14</v>
      </c>
    </row>
    <row r="641" spans="1:13" x14ac:dyDescent="0.25">
      <c r="A641">
        <v>640</v>
      </c>
      <c r="B641" t="s">
        <v>652</v>
      </c>
      <c r="C641">
        <v>10</v>
      </c>
      <c r="D641" t="s">
        <v>2948</v>
      </c>
      <c r="E641" t="s">
        <v>2951</v>
      </c>
      <c r="F641" t="s">
        <v>3561</v>
      </c>
      <c r="G641" s="2">
        <v>45616</v>
      </c>
      <c r="H641" s="2">
        <v>45627</v>
      </c>
      <c r="I641" t="s">
        <v>5767</v>
      </c>
      <c r="J641" t="s">
        <v>5770</v>
      </c>
      <c r="K641">
        <v>132516.93</v>
      </c>
      <c r="L641" t="s">
        <v>5774</v>
      </c>
      <c r="M641">
        <v>11</v>
      </c>
    </row>
    <row r="642" spans="1:13" x14ac:dyDescent="0.25">
      <c r="A642">
        <v>641</v>
      </c>
      <c r="B642" t="s">
        <v>653</v>
      </c>
      <c r="C642">
        <v>55</v>
      </c>
      <c r="D642" t="s">
        <v>2947</v>
      </c>
      <c r="E642" t="s">
        <v>2949</v>
      </c>
      <c r="F642" t="s">
        <v>3562</v>
      </c>
      <c r="G642" s="2">
        <v>45608</v>
      </c>
      <c r="H642" s="2">
        <v>45619</v>
      </c>
      <c r="I642" t="s">
        <v>5761</v>
      </c>
      <c r="J642" t="s">
        <v>5770</v>
      </c>
      <c r="K642">
        <v>336849.64</v>
      </c>
      <c r="L642" t="s">
        <v>5775</v>
      </c>
      <c r="M642">
        <v>11</v>
      </c>
    </row>
    <row r="643" spans="1:13" x14ac:dyDescent="0.25">
      <c r="A643">
        <v>642</v>
      </c>
      <c r="B643" t="s">
        <v>654</v>
      </c>
      <c r="C643">
        <v>7</v>
      </c>
      <c r="D643" t="s">
        <v>2948</v>
      </c>
      <c r="E643" t="s">
        <v>2951</v>
      </c>
      <c r="F643" t="s">
        <v>3563</v>
      </c>
      <c r="G643" s="2">
        <v>45768</v>
      </c>
      <c r="H643" s="2">
        <v>45769</v>
      </c>
      <c r="I643" t="s">
        <v>5765</v>
      </c>
      <c r="J643" t="s">
        <v>5769</v>
      </c>
      <c r="K643">
        <v>459024.67</v>
      </c>
      <c r="L643" t="s">
        <v>5774</v>
      </c>
      <c r="M643">
        <v>1</v>
      </c>
    </row>
    <row r="644" spans="1:13" x14ac:dyDescent="0.25">
      <c r="A644">
        <v>643</v>
      </c>
      <c r="B644" t="s">
        <v>655</v>
      </c>
      <c r="C644">
        <v>21</v>
      </c>
      <c r="D644" t="s">
        <v>2948</v>
      </c>
      <c r="E644" t="s">
        <v>2955</v>
      </c>
      <c r="F644" t="s">
        <v>3564</v>
      </c>
      <c r="G644" s="2">
        <v>45801</v>
      </c>
      <c r="H644" s="2">
        <v>45807</v>
      </c>
      <c r="I644" t="s">
        <v>5765</v>
      </c>
      <c r="J644" t="s">
        <v>5771</v>
      </c>
      <c r="K644">
        <v>265946.15999999997</v>
      </c>
      <c r="L644" t="s">
        <v>5773</v>
      </c>
      <c r="M644">
        <v>6</v>
      </c>
    </row>
    <row r="645" spans="1:13" x14ac:dyDescent="0.25">
      <c r="A645">
        <v>644</v>
      </c>
      <c r="B645" t="s">
        <v>656</v>
      </c>
      <c r="C645">
        <v>86</v>
      </c>
      <c r="D645" t="s">
        <v>2947</v>
      </c>
      <c r="E645" t="s">
        <v>2954</v>
      </c>
      <c r="F645" t="s">
        <v>3565</v>
      </c>
      <c r="G645" s="2">
        <v>45896</v>
      </c>
      <c r="H645" s="2">
        <v>45902</v>
      </c>
      <c r="I645" t="s">
        <v>5759</v>
      </c>
      <c r="J645" t="s">
        <v>5769</v>
      </c>
      <c r="K645">
        <v>51378.51</v>
      </c>
      <c r="L645" t="s">
        <v>5774</v>
      </c>
      <c r="M645">
        <v>6</v>
      </c>
    </row>
    <row r="646" spans="1:13" x14ac:dyDescent="0.25">
      <c r="A646">
        <v>645</v>
      </c>
      <c r="B646" t="s">
        <v>657</v>
      </c>
      <c r="C646">
        <v>69</v>
      </c>
      <c r="D646" t="s">
        <v>2948</v>
      </c>
      <c r="E646" t="s">
        <v>2953</v>
      </c>
      <c r="F646" t="s">
        <v>3566</v>
      </c>
      <c r="G646" s="2">
        <v>45644</v>
      </c>
      <c r="H646" s="2">
        <v>45652</v>
      </c>
      <c r="I646" t="s">
        <v>5759</v>
      </c>
      <c r="J646" t="s">
        <v>5768</v>
      </c>
      <c r="K646">
        <v>186117.32</v>
      </c>
      <c r="L646" t="s">
        <v>5773</v>
      </c>
      <c r="M646">
        <v>8</v>
      </c>
    </row>
    <row r="647" spans="1:13" x14ac:dyDescent="0.25">
      <c r="A647">
        <v>646</v>
      </c>
      <c r="B647" t="s">
        <v>658</v>
      </c>
      <c r="C647">
        <v>88</v>
      </c>
      <c r="D647" t="s">
        <v>2948</v>
      </c>
      <c r="E647" t="s">
        <v>2950</v>
      </c>
      <c r="F647" t="s">
        <v>3567</v>
      </c>
      <c r="G647" s="2">
        <v>45871</v>
      </c>
      <c r="H647" s="2">
        <v>45883</v>
      </c>
      <c r="I647" t="s">
        <v>5766</v>
      </c>
      <c r="J647" t="s">
        <v>5771</v>
      </c>
      <c r="K647">
        <v>174641.35</v>
      </c>
      <c r="L647" t="s">
        <v>5773</v>
      </c>
      <c r="M647">
        <v>12</v>
      </c>
    </row>
    <row r="648" spans="1:13" x14ac:dyDescent="0.25">
      <c r="A648">
        <v>647</v>
      </c>
      <c r="B648" t="s">
        <v>659</v>
      </c>
      <c r="C648">
        <v>70</v>
      </c>
      <c r="D648" t="s">
        <v>2948</v>
      </c>
      <c r="E648" t="s">
        <v>2949</v>
      </c>
      <c r="F648" t="s">
        <v>3568</v>
      </c>
      <c r="G648" s="2">
        <v>45899</v>
      </c>
      <c r="H648" s="2">
        <v>45900</v>
      </c>
      <c r="I648" t="s">
        <v>5766</v>
      </c>
      <c r="J648" t="s">
        <v>5768</v>
      </c>
      <c r="K648">
        <v>274948.98</v>
      </c>
      <c r="L648" t="s">
        <v>5773</v>
      </c>
      <c r="M648">
        <v>1</v>
      </c>
    </row>
    <row r="649" spans="1:13" x14ac:dyDescent="0.25">
      <c r="A649">
        <v>648</v>
      </c>
      <c r="B649" t="s">
        <v>660</v>
      </c>
      <c r="C649">
        <v>66</v>
      </c>
      <c r="D649" t="s">
        <v>2948</v>
      </c>
      <c r="E649" t="s">
        <v>2955</v>
      </c>
      <c r="F649" t="s">
        <v>3569</v>
      </c>
      <c r="G649" s="2">
        <v>45900</v>
      </c>
      <c r="H649" s="2">
        <v>45915</v>
      </c>
      <c r="I649" t="s">
        <v>5760</v>
      </c>
      <c r="J649" t="s">
        <v>5769</v>
      </c>
      <c r="K649">
        <v>411298.82</v>
      </c>
      <c r="L649" t="s">
        <v>5775</v>
      </c>
      <c r="M649">
        <v>15</v>
      </c>
    </row>
    <row r="650" spans="1:13" x14ac:dyDescent="0.25">
      <c r="A650">
        <v>649</v>
      </c>
      <c r="B650" t="s">
        <v>661</v>
      </c>
      <c r="C650">
        <v>38</v>
      </c>
      <c r="D650" t="s">
        <v>2948</v>
      </c>
      <c r="E650" t="s">
        <v>2953</v>
      </c>
      <c r="F650" t="s">
        <v>3570</v>
      </c>
      <c r="G650" s="2">
        <v>45595</v>
      </c>
      <c r="H650" s="2">
        <v>45606</v>
      </c>
      <c r="I650" t="s">
        <v>5763</v>
      </c>
      <c r="J650" t="s">
        <v>5772</v>
      </c>
      <c r="K650">
        <v>53273.760000000002</v>
      </c>
      <c r="L650" t="s">
        <v>5774</v>
      </c>
      <c r="M650">
        <v>11</v>
      </c>
    </row>
    <row r="651" spans="1:13" x14ac:dyDescent="0.25">
      <c r="A651">
        <v>650</v>
      </c>
      <c r="B651" t="s">
        <v>662</v>
      </c>
      <c r="C651">
        <v>34</v>
      </c>
      <c r="D651" t="s">
        <v>2948</v>
      </c>
      <c r="E651" t="s">
        <v>2950</v>
      </c>
      <c r="F651" t="s">
        <v>3571</v>
      </c>
      <c r="G651" s="2">
        <v>45751</v>
      </c>
      <c r="H651" s="2">
        <v>45758</v>
      </c>
      <c r="I651" t="s">
        <v>5766</v>
      </c>
      <c r="J651" t="s">
        <v>2949</v>
      </c>
      <c r="K651">
        <v>473766.38</v>
      </c>
      <c r="L651" t="s">
        <v>5773</v>
      </c>
      <c r="M651">
        <v>7</v>
      </c>
    </row>
    <row r="652" spans="1:13" x14ac:dyDescent="0.25">
      <c r="A652">
        <v>651</v>
      </c>
      <c r="B652" t="s">
        <v>663</v>
      </c>
      <c r="C652">
        <v>82</v>
      </c>
      <c r="D652" t="s">
        <v>2948</v>
      </c>
      <c r="E652" t="s">
        <v>2950</v>
      </c>
      <c r="F652" t="s">
        <v>3572</v>
      </c>
      <c r="G652" s="2">
        <v>45603</v>
      </c>
      <c r="H652" s="2">
        <v>45604</v>
      </c>
      <c r="I652" t="s">
        <v>5762</v>
      </c>
      <c r="J652" t="s">
        <v>5770</v>
      </c>
      <c r="K652">
        <v>175505.2</v>
      </c>
      <c r="L652" t="s">
        <v>5774</v>
      </c>
      <c r="M652">
        <v>1</v>
      </c>
    </row>
    <row r="653" spans="1:13" x14ac:dyDescent="0.25">
      <c r="A653">
        <v>652</v>
      </c>
      <c r="B653" t="s">
        <v>664</v>
      </c>
      <c r="C653">
        <v>66</v>
      </c>
      <c r="D653" t="s">
        <v>2948</v>
      </c>
      <c r="E653" t="s">
        <v>2954</v>
      </c>
      <c r="F653" t="s">
        <v>3573</v>
      </c>
      <c r="G653" s="2">
        <v>45783</v>
      </c>
      <c r="H653" s="2">
        <v>45798</v>
      </c>
      <c r="I653" t="s">
        <v>5764</v>
      </c>
      <c r="J653" t="s">
        <v>5769</v>
      </c>
      <c r="K653">
        <v>361765.25</v>
      </c>
      <c r="L653" t="s">
        <v>5774</v>
      </c>
      <c r="M653">
        <v>15</v>
      </c>
    </row>
    <row r="654" spans="1:13" x14ac:dyDescent="0.25">
      <c r="A654">
        <v>653</v>
      </c>
      <c r="B654" t="s">
        <v>665</v>
      </c>
      <c r="C654">
        <v>56</v>
      </c>
      <c r="D654" t="s">
        <v>2948</v>
      </c>
      <c r="E654" t="s">
        <v>2952</v>
      </c>
      <c r="F654" t="s">
        <v>3574</v>
      </c>
      <c r="G654" s="2">
        <v>45659</v>
      </c>
      <c r="H654" s="2">
        <v>45664</v>
      </c>
      <c r="I654" t="s">
        <v>5767</v>
      </c>
      <c r="J654" t="s">
        <v>5772</v>
      </c>
      <c r="K654">
        <v>87282.81</v>
      </c>
      <c r="L654" t="s">
        <v>5773</v>
      </c>
      <c r="M654">
        <v>5</v>
      </c>
    </row>
    <row r="655" spans="1:13" x14ac:dyDescent="0.25">
      <c r="A655">
        <v>654</v>
      </c>
      <c r="B655" t="s">
        <v>666</v>
      </c>
      <c r="C655">
        <v>31</v>
      </c>
      <c r="D655" t="s">
        <v>2948</v>
      </c>
      <c r="E655" t="s">
        <v>2951</v>
      </c>
      <c r="F655" t="s">
        <v>3575</v>
      </c>
      <c r="G655" s="2">
        <v>45638</v>
      </c>
      <c r="H655" s="2">
        <v>45639</v>
      </c>
      <c r="I655" t="s">
        <v>5759</v>
      </c>
      <c r="J655" t="s">
        <v>5771</v>
      </c>
      <c r="K655">
        <v>260177.55</v>
      </c>
      <c r="L655" t="s">
        <v>5775</v>
      </c>
      <c r="M655">
        <v>1</v>
      </c>
    </row>
    <row r="656" spans="1:13" x14ac:dyDescent="0.25">
      <c r="A656">
        <v>655</v>
      </c>
      <c r="B656" t="s">
        <v>667</v>
      </c>
      <c r="C656">
        <v>47</v>
      </c>
      <c r="D656" t="s">
        <v>2947</v>
      </c>
      <c r="E656" t="s">
        <v>2953</v>
      </c>
      <c r="F656" t="s">
        <v>3576</v>
      </c>
      <c r="G656" s="2">
        <v>45884</v>
      </c>
      <c r="H656" s="2">
        <v>45895</v>
      </c>
      <c r="I656" t="s">
        <v>5766</v>
      </c>
      <c r="J656" t="s">
        <v>5770</v>
      </c>
      <c r="K656">
        <v>498028.69</v>
      </c>
      <c r="L656" t="s">
        <v>5775</v>
      </c>
      <c r="M656">
        <v>11</v>
      </c>
    </row>
    <row r="657" spans="1:13" x14ac:dyDescent="0.25">
      <c r="A657">
        <v>656</v>
      </c>
      <c r="B657" t="s">
        <v>668</v>
      </c>
      <c r="C657">
        <v>52</v>
      </c>
      <c r="D657" t="s">
        <v>2947</v>
      </c>
      <c r="E657" t="s">
        <v>2953</v>
      </c>
      <c r="F657" t="s">
        <v>3577</v>
      </c>
      <c r="G657" s="2">
        <v>45613</v>
      </c>
      <c r="H657" s="2">
        <v>45616</v>
      </c>
      <c r="I657" t="s">
        <v>5763</v>
      </c>
      <c r="J657" t="s">
        <v>5771</v>
      </c>
      <c r="K657">
        <v>350347.73</v>
      </c>
      <c r="L657" t="s">
        <v>5774</v>
      </c>
      <c r="M657">
        <v>3</v>
      </c>
    </row>
    <row r="658" spans="1:13" x14ac:dyDescent="0.25">
      <c r="A658">
        <v>657</v>
      </c>
      <c r="B658" t="s">
        <v>669</v>
      </c>
      <c r="C658">
        <v>75</v>
      </c>
      <c r="D658" t="s">
        <v>2948</v>
      </c>
      <c r="E658" t="s">
        <v>2953</v>
      </c>
      <c r="F658" t="s">
        <v>3578</v>
      </c>
      <c r="G658" s="2">
        <v>45685</v>
      </c>
      <c r="H658" s="2">
        <v>45692</v>
      </c>
      <c r="I658" t="s">
        <v>5765</v>
      </c>
      <c r="J658" t="s">
        <v>5772</v>
      </c>
      <c r="K658">
        <v>38383.019999999997</v>
      </c>
      <c r="L658" t="s">
        <v>5775</v>
      </c>
      <c r="M658">
        <v>7</v>
      </c>
    </row>
    <row r="659" spans="1:13" x14ac:dyDescent="0.25">
      <c r="A659">
        <v>658</v>
      </c>
      <c r="B659" t="s">
        <v>670</v>
      </c>
      <c r="C659">
        <v>14</v>
      </c>
      <c r="D659" t="s">
        <v>2947</v>
      </c>
      <c r="E659" t="s">
        <v>2949</v>
      </c>
      <c r="F659" t="s">
        <v>3579</v>
      </c>
      <c r="G659" s="2">
        <v>45623</v>
      </c>
      <c r="H659" s="2">
        <v>45627</v>
      </c>
      <c r="I659" t="s">
        <v>5763</v>
      </c>
      <c r="J659" t="s">
        <v>5772</v>
      </c>
      <c r="K659">
        <v>323319.76</v>
      </c>
      <c r="L659" t="s">
        <v>5773</v>
      </c>
      <c r="M659">
        <v>4</v>
      </c>
    </row>
    <row r="660" spans="1:13" x14ac:dyDescent="0.25">
      <c r="A660">
        <v>659</v>
      </c>
      <c r="B660" t="s">
        <v>671</v>
      </c>
      <c r="C660">
        <v>84</v>
      </c>
      <c r="D660" t="s">
        <v>2947</v>
      </c>
      <c r="E660" t="s">
        <v>2950</v>
      </c>
      <c r="F660" t="s">
        <v>3580</v>
      </c>
      <c r="G660" s="2">
        <v>45754</v>
      </c>
      <c r="H660" s="2">
        <v>45762</v>
      </c>
      <c r="I660" t="s">
        <v>5759</v>
      </c>
      <c r="J660" t="s">
        <v>5768</v>
      </c>
      <c r="K660">
        <v>266701.38</v>
      </c>
      <c r="L660" t="s">
        <v>5775</v>
      </c>
      <c r="M660">
        <v>8</v>
      </c>
    </row>
    <row r="661" spans="1:13" x14ac:dyDescent="0.25">
      <c r="A661">
        <v>660</v>
      </c>
      <c r="B661" t="s">
        <v>672</v>
      </c>
      <c r="C661">
        <v>25</v>
      </c>
      <c r="D661" t="s">
        <v>2947</v>
      </c>
      <c r="E661" t="s">
        <v>2951</v>
      </c>
      <c r="F661" t="s">
        <v>3581</v>
      </c>
      <c r="G661" s="2">
        <v>45868</v>
      </c>
      <c r="H661" s="2">
        <v>45882</v>
      </c>
      <c r="I661" t="s">
        <v>5760</v>
      </c>
      <c r="J661" t="s">
        <v>5770</v>
      </c>
      <c r="K661">
        <v>38985.949999999997</v>
      </c>
      <c r="L661" t="s">
        <v>5773</v>
      </c>
      <c r="M661">
        <v>14</v>
      </c>
    </row>
    <row r="662" spans="1:13" x14ac:dyDescent="0.25">
      <c r="A662">
        <v>661</v>
      </c>
      <c r="B662" t="s">
        <v>673</v>
      </c>
      <c r="C662">
        <v>24</v>
      </c>
      <c r="D662" t="s">
        <v>2948</v>
      </c>
      <c r="E662" t="s">
        <v>2949</v>
      </c>
      <c r="F662" t="s">
        <v>3582</v>
      </c>
      <c r="G662" s="2">
        <v>45798</v>
      </c>
      <c r="H662" s="2">
        <v>45813</v>
      </c>
      <c r="I662" t="s">
        <v>5760</v>
      </c>
      <c r="J662" t="s">
        <v>5769</v>
      </c>
      <c r="K662">
        <v>297718.48</v>
      </c>
      <c r="L662" t="s">
        <v>5774</v>
      </c>
      <c r="M662">
        <v>15</v>
      </c>
    </row>
    <row r="663" spans="1:13" x14ac:dyDescent="0.25">
      <c r="A663">
        <v>662</v>
      </c>
      <c r="B663" t="s">
        <v>674</v>
      </c>
      <c r="C663">
        <v>2</v>
      </c>
      <c r="D663" t="s">
        <v>2948</v>
      </c>
      <c r="E663" t="s">
        <v>2949</v>
      </c>
      <c r="F663" t="s">
        <v>3583</v>
      </c>
      <c r="G663" s="2">
        <v>45716</v>
      </c>
      <c r="H663" s="2">
        <v>45724</v>
      </c>
      <c r="I663" t="s">
        <v>5763</v>
      </c>
      <c r="J663" t="s">
        <v>5769</v>
      </c>
      <c r="K663">
        <v>210030</v>
      </c>
      <c r="L663" t="s">
        <v>5773</v>
      </c>
      <c r="M663">
        <v>8</v>
      </c>
    </row>
    <row r="664" spans="1:13" x14ac:dyDescent="0.25">
      <c r="A664">
        <v>663</v>
      </c>
      <c r="B664" t="s">
        <v>675</v>
      </c>
      <c r="C664">
        <v>31</v>
      </c>
      <c r="D664" t="s">
        <v>2947</v>
      </c>
      <c r="E664" t="s">
        <v>2953</v>
      </c>
      <c r="F664" t="s">
        <v>3584</v>
      </c>
      <c r="G664" s="2">
        <v>45808</v>
      </c>
      <c r="H664" s="2">
        <v>45817</v>
      </c>
      <c r="I664" t="s">
        <v>5760</v>
      </c>
      <c r="J664" t="s">
        <v>5771</v>
      </c>
      <c r="K664">
        <v>50169</v>
      </c>
      <c r="L664" t="s">
        <v>5775</v>
      </c>
      <c r="M664">
        <v>9</v>
      </c>
    </row>
    <row r="665" spans="1:13" x14ac:dyDescent="0.25">
      <c r="A665">
        <v>664</v>
      </c>
      <c r="B665" t="s">
        <v>676</v>
      </c>
      <c r="C665">
        <v>57</v>
      </c>
      <c r="D665" t="s">
        <v>2947</v>
      </c>
      <c r="E665" t="s">
        <v>2951</v>
      </c>
      <c r="F665" t="s">
        <v>3585</v>
      </c>
      <c r="G665" s="2">
        <v>45656</v>
      </c>
      <c r="H665" s="2">
        <v>45670</v>
      </c>
      <c r="I665" t="s">
        <v>5762</v>
      </c>
      <c r="J665" t="s">
        <v>5769</v>
      </c>
      <c r="K665">
        <v>276652.2</v>
      </c>
      <c r="L665" t="s">
        <v>5773</v>
      </c>
      <c r="M665">
        <v>14</v>
      </c>
    </row>
    <row r="666" spans="1:13" x14ac:dyDescent="0.25">
      <c r="A666">
        <v>665</v>
      </c>
      <c r="B666" t="s">
        <v>677</v>
      </c>
      <c r="C666">
        <v>47</v>
      </c>
      <c r="D666" t="s">
        <v>2948</v>
      </c>
      <c r="E666" t="s">
        <v>2950</v>
      </c>
      <c r="F666" t="s">
        <v>3586</v>
      </c>
      <c r="G666" s="2">
        <v>45821</v>
      </c>
      <c r="H666" s="2">
        <v>45823</v>
      </c>
      <c r="I666" t="s">
        <v>5765</v>
      </c>
      <c r="J666" t="s">
        <v>5768</v>
      </c>
      <c r="K666">
        <v>131780.87</v>
      </c>
      <c r="L666" t="s">
        <v>5775</v>
      </c>
      <c r="M666">
        <v>2</v>
      </c>
    </row>
    <row r="667" spans="1:13" x14ac:dyDescent="0.25">
      <c r="A667">
        <v>666</v>
      </c>
      <c r="B667" t="s">
        <v>678</v>
      </c>
      <c r="C667">
        <v>40</v>
      </c>
      <c r="D667" t="s">
        <v>2947</v>
      </c>
      <c r="E667" t="s">
        <v>2950</v>
      </c>
      <c r="F667" t="s">
        <v>3587</v>
      </c>
      <c r="G667" s="2">
        <v>45872</v>
      </c>
      <c r="H667" s="2">
        <v>45881</v>
      </c>
      <c r="I667" t="s">
        <v>5761</v>
      </c>
      <c r="J667" t="s">
        <v>5769</v>
      </c>
      <c r="K667">
        <v>107411.31</v>
      </c>
      <c r="L667" t="s">
        <v>5774</v>
      </c>
      <c r="M667">
        <v>9</v>
      </c>
    </row>
    <row r="668" spans="1:13" x14ac:dyDescent="0.25">
      <c r="A668">
        <v>667</v>
      </c>
      <c r="B668" t="s">
        <v>679</v>
      </c>
      <c r="C668">
        <v>69</v>
      </c>
      <c r="D668" t="s">
        <v>2948</v>
      </c>
      <c r="E668" t="s">
        <v>2954</v>
      </c>
      <c r="F668" t="s">
        <v>3588</v>
      </c>
      <c r="G668" s="2">
        <v>45737</v>
      </c>
      <c r="H668" s="2">
        <v>45743</v>
      </c>
      <c r="I668" t="s">
        <v>5764</v>
      </c>
      <c r="J668" t="s">
        <v>5770</v>
      </c>
      <c r="K668">
        <v>378089.32</v>
      </c>
      <c r="L668" t="s">
        <v>5774</v>
      </c>
      <c r="M668">
        <v>6</v>
      </c>
    </row>
    <row r="669" spans="1:13" x14ac:dyDescent="0.25">
      <c r="A669">
        <v>668</v>
      </c>
      <c r="B669" t="s">
        <v>680</v>
      </c>
      <c r="C669">
        <v>22</v>
      </c>
      <c r="D669" t="s">
        <v>2947</v>
      </c>
      <c r="E669" t="s">
        <v>2953</v>
      </c>
      <c r="F669" t="s">
        <v>3589</v>
      </c>
      <c r="G669" s="2">
        <v>45891</v>
      </c>
      <c r="H669" s="2">
        <v>45906</v>
      </c>
      <c r="I669" t="s">
        <v>5759</v>
      </c>
      <c r="J669" t="s">
        <v>2949</v>
      </c>
      <c r="K669">
        <v>125814.7</v>
      </c>
      <c r="L669" t="s">
        <v>5775</v>
      </c>
      <c r="M669">
        <v>15</v>
      </c>
    </row>
    <row r="670" spans="1:13" x14ac:dyDescent="0.25">
      <c r="A670">
        <v>669</v>
      </c>
      <c r="B670" t="s">
        <v>681</v>
      </c>
      <c r="C670">
        <v>6</v>
      </c>
      <c r="D670" t="s">
        <v>2947</v>
      </c>
      <c r="E670" t="s">
        <v>2949</v>
      </c>
      <c r="F670" t="s">
        <v>3590</v>
      </c>
      <c r="G670" s="2">
        <v>45721</v>
      </c>
      <c r="H670" s="2">
        <v>45726</v>
      </c>
      <c r="I670" t="s">
        <v>5759</v>
      </c>
      <c r="J670" t="s">
        <v>5770</v>
      </c>
      <c r="K670">
        <v>86266.15</v>
      </c>
      <c r="L670" t="s">
        <v>5774</v>
      </c>
      <c r="M670">
        <v>5</v>
      </c>
    </row>
    <row r="671" spans="1:13" x14ac:dyDescent="0.25">
      <c r="A671">
        <v>670</v>
      </c>
      <c r="B671" t="s">
        <v>682</v>
      </c>
      <c r="C671">
        <v>24</v>
      </c>
      <c r="D671" t="s">
        <v>2947</v>
      </c>
      <c r="E671" t="s">
        <v>2951</v>
      </c>
      <c r="F671" t="s">
        <v>3591</v>
      </c>
      <c r="G671" s="2">
        <v>45624</v>
      </c>
      <c r="H671" s="2">
        <v>45629</v>
      </c>
      <c r="I671" t="s">
        <v>5767</v>
      </c>
      <c r="J671" t="s">
        <v>5771</v>
      </c>
      <c r="K671">
        <v>93611.13</v>
      </c>
      <c r="L671" t="s">
        <v>5775</v>
      </c>
      <c r="M671">
        <v>5</v>
      </c>
    </row>
    <row r="672" spans="1:13" x14ac:dyDescent="0.25">
      <c r="A672">
        <v>671</v>
      </c>
      <c r="B672" t="s">
        <v>683</v>
      </c>
      <c r="C672">
        <v>42</v>
      </c>
      <c r="D672" t="s">
        <v>2948</v>
      </c>
      <c r="E672" t="s">
        <v>2950</v>
      </c>
      <c r="F672" t="s">
        <v>3592</v>
      </c>
      <c r="G672" s="2">
        <v>45726</v>
      </c>
      <c r="H672" s="2">
        <v>45733</v>
      </c>
      <c r="I672" t="s">
        <v>5763</v>
      </c>
      <c r="J672" t="s">
        <v>5769</v>
      </c>
      <c r="K672">
        <v>29403.59</v>
      </c>
      <c r="L672" t="s">
        <v>5775</v>
      </c>
      <c r="M672">
        <v>7</v>
      </c>
    </row>
    <row r="673" spans="1:13" x14ac:dyDescent="0.25">
      <c r="A673">
        <v>672</v>
      </c>
      <c r="B673" t="s">
        <v>684</v>
      </c>
      <c r="C673">
        <v>47</v>
      </c>
      <c r="D673" t="s">
        <v>2947</v>
      </c>
      <c r="E673" t="s">
        <v>2955</v>
      </c>
      <c r="F673" t="s">
        <v>3593</v>
      </c>
      <c r="G673" s="2">
        <v>45755</v>
      </c>
      <c r="H673" s="2">
        <v>45769</v>
      </c>
      <c r="I673" t="s">
        <v>5762</v>
      </c>
      <c r="J673" t="s">
        <v>5769</v>
      </c>
      <c r="K673">
        <v>490026.19</v>
      </c>
      <c r="L673" t="s">
        <v>5774</v>
      </c>
      <c r="M673">
        <v>14</v>
      </c>
    </row>
    <row r="674" spans="1:13" x14ac:dyDescent="0.25">
      <c r="A674">
        <v>673</v>
      </c>
      <c r="B674" t="s">
        <v>685</v>
      </c>
      <c r="C674">
        <v>39</v>
      </c>
      <c r="D674" t="s">
        <v>2948</v>
      </c>
      <c r="E674" t="s">
        <v>2949</v>
      </c>
      <c r="F674" t="s">
        <v>3594</v>
      </c>
      <c r="G674" s="2">
        <v>45578</v>
      </c>
      <c r="H674" s="2">
        <v>45591</v>
      </c>
      <c r="I674" t="s">
        <v>5765</v>
      </c>
      <c r="J674" t="s">
        <v>2949</v>
      </c>
      <c r="K674">
        <v>22856.57</v>
      </c>
      <c r="L674" t="s">
        <v>5775</v>
      </c>
      <c r="M674">
        <v>13</v>
      </c>
    </row>
    <row r="675" spans="1:13" x14ac:dyDescent="0.25">
      <c r="A675">
        <v>674</v>
      </c>
      <c r="B675" t="s">
        <v>686</v>
      </c>
      <c r="C675">
        <v>32</v>
      </c>
      <c r="D675" t="s">
        <v>2947</v>
      </c>
      <c r="E675" t="s">
        <v>2953</v>
      </c>
      <c r="F675" t="s">
        <v>3595</v>
      </c>
      <c r="G675" s="2">
        <v>45893</v>
      </c>
      <c r="H675" s="2">
        <v>45900</v>
      </c>
      <c r="I675" t="s">
        <v>5763</v>
      </c>
      <c r="J675" t="s">
        <v>5770</v>
      </c>
      <c r="K675">
        <v>229418.98</v>
      </c>
      <c r="L675" t="s">
        <v>5774</v>
      </c>
      <c r="M675">
        <v>7</v>
      </c>
    </row>
    <row r="676" spans="1:13" x14ac:dyDescent="0.25">
      <c r="A676">
        <v>675</v>
      </c>
      <c r="B676" t="s">
        <v>687</v>
      </c>
      <c r="C676">
        <v>8</v>
      </c>
      <c r="D676" t="s">
        <v>2948</v>
      </c>
      <c r="E676" t="s">
        <v>2955</v>
      </c>
      <c r="F676" t="s">
        <v>3596</v>
      </c>
      <c r="G676" s="2">
        <v>45633</v>
      </c>
      <c r="H676" s="2">
        <v>45634</v>
      </c>
      <c r="I676" t="s">
        <v>5762</v>
      </c>
      <c r="J676" t="s">
        <v>5769</v>
      </c>
      <c r="K676">
        <v>454601.94</v>
      </c>
      <c r="L676" t="s">
        <v>5773</v>
      </c>
      <c r="M676">
        <v>1</v>
      </c>
    </row>
    <row r="677" spans="1:13" x14ac:dyDescent="0.25">
      <c r="A677">
        <v>676</v>
      </c>
      <c r="B677" t="s">
        <v>688</v>
      </c>
      <c r="C677">
        <v>65</v>
      </c>
      <c r="D677" t="s">
        <v>2947</v>
      </c>
      <c r="E677" t="s">
        <v>2950</v>
      </c>
      <c r="F677" t="s">
        <v>3597</v>
      </c>
      <c r="G677" s="2">
        <v>45586</v>
      </c>
      <c r="H677" s="2">
        <v>45595</v>
      </c>
      <c r="I677" t="s">
        <v>5758</v>
      </c>
      <c r="J677" t="s">
        <v>5771</v>
      </c>
      <c r="K677">
        <v>440552.24</v>
      </c>
      <c r="L677" t="s">
        <v>5773</v>
      </c>
      <c r="M677">
        <v>9</v>
      </c>
    </row>
    <row r="678" spans="1:13" x14ac:dyDescent="0.25">
      <c r="A678">
        <v>677</v>
      </c>
      <c r="B678" t="s">
        <v>689</v>
      </c>
      <c r="C678">
        <v>15</v>
      </c>
      <c r="D678" t="s">
        <v>2948</v>
      </c>
      <c r="E678" t="s">
        <v>2952</v>
      </c>
      <c r="F678" t="s">
        <v>3598</v>
      </c>
      <c r="G678" s="2">
        <v>45769</v>
      </c>
      <c r="H678" s="2">
        <v>45773</v>
      </c>
      <c r="I678" t="s">
        <v>5765</v>
      </c>
      <c r="J678" t="s">
        <v>5771</v>
      </c>
      <c r="K678">
        <v>250562.74</v>
      </c>
      <c r="L678" t="s">
        <v>5774</v>
      </c>
      <c r="M678">
        <v>4</v>
      </c>
    </row>
    <row r="679" spans="1:13" x14ac:dyDescent="0.25">
      <c r="A679">
        <v>678</v>
      </c>
      <c r="B679" t="s">
        <v>690</v>
      </c>
      <c r="C679">
        <v>18</v>
      </c>
      <c r="D679" t="s">
        <v>2947</v>
      </c>
      <c r="E679" t="s">
        <v>2955</v>
      </c>
      <c r="F679" t="s">
        <v>3599</v>
      </c>
      <c r="G679" s="2">
        <v>45665</v>
      </c>
      <c r="H679" s="2">
        <v>45671</v>
      </c>
      <c r="I679" t="s">
        <v>5767</v>
      </c>
      <c r="J679" t="s">
        <v>5769</v>
      </c>
      <c r="K679">
        <v>63499.44</v>
      </c>
      <c r="L679" t="s">
        <v>5775</v>
      </c>
      <c r="M679">
        <v>6</v>
      </c>
    </row>
    <row r="680" spans="1:13" x14ac:dyDescent="0.25">
      <c r="A680">
        <v>679</v>
      </c>
      <c r="B680" t="s">
        <v>691</v>
      </c>
      <c r="C680">
        <v>52</v>
      </c>
      <c r="D680" t="s">
        <v>2948</v>
      </c>
      <c r="E680" t="s">
        <v>2951</v>
      </c>
      <c r="F680" t="s">
        <v>3600</v>
      </c>
      <c r="G680" s="2">
        <v>45893</v>
      </c>
      <c r="H680" s="2">
        <v>45901</v>
      </c>
      <c r="I680" t="s">
        <v>5764</v>
      </c>
      <c r="J680" t="s">
        <v>5768</v>
      </c>
      <c r="K680">
        <v>100592.89</v>
      </c>
      <c r="L680" t="s">
        <v>5774</v>
      </c>
      <c r="M680">
        <v>8</v>
      </c>
    </row>
    <row r="681" spans="1:13" x14ac:dyDescent="0.25">
      <c r="A681">
        <v>680</v>
      </c>
      <c r="B681" t="s">
        <v>692</v>
      </c>
      <c r="C681">
        <v>55</v>
      </c>
      <c r="D681" t="s">
        <v>2947</v>
      </c>
      <c r="E681" t="s">
        <v>2955</v>
      </c>
      <c r="F681" t="s">
        <v>3601</v>
      </c>
      <c r="G681" s="2">
        <v>45581</v>
      </c>
      <c r="H681" s="2">
        <v>45585</v>
      </c>
      <c r="I681" t="s">
        <v>5765</v>
      </c>
      <c r="J681" t="s">
        <v>5771</v>
      </c>
      <c r="K681">
        <v>169167.54</v>
      </c>
      <c r="L681" t="s">
        <v>5774</v>
      </c>
      <c r="M681">
        <v>4</v>
      </c>
    </row>
    <row r="682" spans="1:13" x14ac:dyDescent="0.25">
      <c r="A682">
        <v>681</v>
      </c>
      <c r="B682" t="s">
        <v>693</v>
      </c>
      <c r="C682">
        <v>67</v>
      </c>
      <c r="D682" t="s">
        <v>2948</v>
      </c>
      <c r="E682" t="s">
        <v>2951</v>
      </c>
      <c r="F682" t="s">
        <v>3602</v>
      </c>
      <c r="G682" s="2">
        <v>45612</v>
      </c>
      <c r="H682" s="2">
        <v>45620</v>
      </c>
      <c r="I682" t="s">
        <v>5761</v>
      </c>
      <c r="J682" t="s">
        <v>5771</v>
      </c>
      <c r="K682">
        <v>11488.38</v>
      </c>
      <c r="L682" t="s">
        <v>5773</v>
      </c>
      <c r="M682">
        <v>8</v>
      </c>
    </row>
    <row r="683" spans="1:13" x14ac:dyDescent="0.25">
      <c r="A683">
        <v>682</v>
      </c>
      <c r="B683" t="s">
        <v>694</v>
      </c>
      <c r="C683">
        <v>29</v>
      </c>
      <c r="D683" t="s">
        <v>2947</v>
      </c>
      <c r="E683" t="s">
        <v>2954</v>
      </c>
      <c r="F683" t="s">
        <v>3603</v>
      </c>
      <c r="G683" s="2">
        <v>45761</v>
      </c>
      <c r="H683" s="2">
        <v>45770</v>
      </c>
      <c r="I683" t="s">
        <v>5767</v>
      </c>
      <c r="J683" t="s">
        <v>5771</v>
      </c>
      <c r="K683">
        <v>136830.28</v>
      </c>
      <c r="L683" t="s">
        <v>5773</v>
      </c>
      <c r="M683">
        <v>9</v>
      </c>
    </row>
    <row r="684" spans="1:13" x14ac:dyDescent="0.25">
      <c r="A684">
        <v>683</v>
      </c>
      <c r="B684" t="s">
        <v>695</v>
      </c>
      <c r="C684">
        <v>48</v>
      </c>
      <c r="D684" t="s">
        <v>2947</v>
      </c>
      <c r="E684" t="s">
        <v>2955</v>
      </c>
      <c r="F684" t="s">
        <v>3604</v>
      </c>
      <c r="G684" s="2">
        <v>45776</v>
      </c>
      <c r="H684" s="2">
        <v>45783</v>
      </c>
      <c r="I684" t="s">
        <v>5764</v>
      </c>
      <c r="J684" t="s">
        <v>5770</v>
      </c>
      <c r="K684">
        <v>183996.28</v>
      </c>
      <c r="L684" t="s">
        <v>5774</v>
      </c>
      <c r="M684">
        <v>7</v>
      </c>
    </row>
    <row r="685" spans="1:13" x14ac:dyDescent="0.25">
      <c r="A685">
        <v>684</v>
      </c>
      <c r="B685" t="s">
        <v>696</v>
      </c>
      <c r="C685">
        <v>1</v>
      </c>
      <c r="D685" t="s">
        <v>2948</v>
      </c>
      <c r="E685" t="s">
        <v>2952</v>
      </c>
      <c r="F685" t="s">
        <v>3605</v>
      </c>
      <c r="G685" s="2">
        <v>45594</v>
      </c>
      <c r="H685" s="2">
        <v>45603</v>
      </c>
      <c r="I685" t="s">
        <v>5766</v>
      </c>
      <c r="J685" t="s">
        <v>5769</v>
      </c>
      <c r="K685">
        <v>92908.12</v>
      </c>
      <c r="L685" t="s">
        <v>5774</v>
      </c>
      <c r="M685">
        <v>9</v>
      </c>
    </row>
    <row r="686" spans="1:13" x14ac:dyDescent="0.25">
      <c r="A686">
        <v>685</v>
      </c>
      <c r="B686" t="s">
        <v>697</v>
      </c>
      <c r="C686">
        <v>31</v>
      </c>
      <c r="D686" t="s">
        <v>2948</v>
      </c>
      <c r="E686" t="s">
        <v>2951</v>
      </c>
      <c r="F686" t="s">
        <v>3606</v>
      </c>
      <c r="G686" s="2">
        <v>45563</v>
      </c>
      <c r="H686" s="2">
        <v>45577</v>
      </c>
      <c r="I686" t="s">
        <v>5766</v>
      </c>
      <c r="J686" t="s">
        <v>5772</v>
      </c>
      <c r="K686">
        <v>488658.29</v>
      </c>
      <c r="L686" t="s">
        <v>5774</v>
      </c>
      <c r="M686">
        <v>14</v>
      </c>
    </row>
    <row r="687" spans="1:13" x14ac:dyDescent="0.25">
      <c r="A687">
        <v>686</v>
      </c>
      <c r="B687" t="s">
        <v>698</v>
      </c>
      <c r="C687">
        <v>19</v>
      </c>
      <c r="D687" t="s">
        <v>2947</v>
      </c>
      <c r="E687" t="s">
        <v>2949</v>
      </c>
      <c r="F687" t="s">
        <v>3607</v>
      </c>
      <c r="G687" s="2">
        <v>45706</v>
      </c>
      <c r="H687" s="2">
        <v>45717</v>
      </c>
      <c r="I687" t="s">
        <v>5767</v>
      </c>
      <c r="J687" t="s">
        <v>2949</v>
      </c>
      <c r="K687">
        <v>147132.10999999999</v>
      </c>
      <c r="L687" t="s">
        <v>5775</v>
      </c>
      <c r="M687">
        <v>11</v>
      </c>
    </row>
    <row r="688" spans="1:13" x14ac:dyDescent="0.25">
      <c r="A688">
        <v>687</v>
      </c>
      <c r="B688" t="s">
        <v>699</v>
      </c>
      <c r="C688">
        <v>73</v>
      </c>
      <c r="D688" t="s">
        <v>2948</v>
      </c>
      <c r="E688" t="s">
        <v>2951</v>
      </c>
      <c r="F688" t="s">
        <v>3608</v>
      </c>
      <c r="G688" s="2">
        <v>45673</v>
      </c>
      <c r="H688" s="2">
        <v>45683</v>
      </c>
      <c r="I688" t="s">
        <v>5760</v>
      </c>
      <c r="J688" t="s">
        <v>5769</v>
      </c>
      <c r="K688">
        <v>345099.35</v>
      </c>
      <c r="L688" t="s">
        <v>5773</v>
      </c>
      <c r="M688">
        <v>10</v>
      </c>
    </row>
    <row r="689" spans="1:13" x14ac:dyDescent="0.25">
      <c r="A689">
        <v>688</v>
      </c>
      <c r="B689" t="s">
        <v>700</v>
      </c>
      <c r="C689">
        <v>45</v>
      </c>
      <c r="D689" t="s">
        <v>2947</v>
      </c>
      <c r="E689" t="s">
        <v>2952</v>
      </c>
      <c r="F689" t="s">
        <v>3609</v>
      </c>
      <c r="G689" s="2">
        <v>45853</v>
      </c>
      <c r="H689" s="2">
        <v>45855</v>
      </c>
      <c r="I689" t="s">
        <v>5764</v>
      </c>
      <c r="J689" t="s">
        <v>5772</v>
      </c>
      <c r="K689">
        <v>98062.75</v>
      </c>
      <c r="L689" t="s">
        <v>5773</v>
      </c>
      <c r="M689">
        <v>2</v>
      </c>
    </row>
    <row r="690" spans="1:13" x14ac:dyDescent="0.25">
      <c r="A690">
        <v>689</v>
      </c>
      <c r="B690" t="s">
        <v>701</v>
      </c>
      <c r="C690">
        <v>6</v>
      </c>
      <c r="D690" t="s">
        <v>2948</v>
      </c>
      <c r="E690" t="s">
        <v>2953</v>
      </c>
      <c r="F690" t="s">
        <v>3610</v>
      </c>
      <c r="G690" s="2">
        <v>45677</v>
      </c>
      <c r="H690" s="2">
        <v>45686</v>
      </c>
      <c r="I690" t="s">
        <v>5762</v>
      </c>
      <c r="J690" t="s">
        <v>5772</v>
      </c>
      <c r="K690">
        <v>167667.23000000001</v>
      </c>
      <c r="L690" t="s">
        <v>5773</v>
      </c>
      <c r="M690">
        <v>9</v>
      </c>
    </row>
    <row r="691" spans="1:13" x14ac:dyDescent="0.25">
      <c r="A691">
        <v>690</v>
      </c>
      <c r="B691" t="s">
        <v>702</v>
      </c>
      <c r="C691">
        <v>15</v>
      </c>
      <c r="D691" t="s">
        <v>2947</v>
      </c>
      <c r="E691" t="s">
        <v>2955</v>
      </c>
      <c r="F691" t="s">
        <v>3611</v>
      </c>
      <c r="G691" s="2">
        <v>45599</v>
      </c>
      <c r="H691" s="2">
        <v>45606</v>
      </c>
      <c r="I691" t="s">
        <v>5765</v>
      </c>
      <c r="J691" t="s">
        <v>5768</v>
      </c>
      <c r="K691">
        <v>9990.94</v>
      </c>
      <c r="L691" t="s">
        <v>5773</v>
      </c>
      <c r="M691">
        <v>7</v>
      </c>
    </row>
    <row r="692" spans="1:13" x14ac:dyDescent="0.25">
      <c r="A692">
        <v>691</v>
      </c>
      <c r="B692" t="s">
        <v>703</v>
      </c>
      <c r="C692">
        <v>35</v>
      </c>
      <c r="D692" t="s">
        <v>2947</v>
      </c>
      <c r="E692" t="s">
        <v>2949</v>
      </c>
      <c r="F692" t="s">
        <v>3612</v>
      </c>
      <c r="G692" s="2">
        <v>45615</v>
      </c>
      <c r="H692" s="2">
        <v>45620</v>
      </c>
      <c r="I692" t="s">
        <v>5763</v>
      </c>
      <c r="J692" t="s">
        <v>5771</v>
      </c>
      <c r="K692">
        <v>118764.2</v>
      </c>
      <c r="L692" t="s">
        <v>5774</v>
      </c>
      <c r="M692">
        <v>5</v>
      </c>
    </row>
    <row r="693" spans="1:13" x14ac:dyDescent="0.25">
      <c r="A693">
        <v>692</v>
      </c>
      <c r="B693" t="s">
        <v>704</v>
      </c>
      <c r="C693">
        <v>25</v>
      </c>
      <c r="D693" t="s">
        <v>2948</v>
      </c>
      <c r="E693" t="s">
        <v>2949</v>
      </c>
      <c r="F693" t="s">
        <v>2991</v>
      </c>
      <c r="G693" s="2">
        <v>45881</v>
      </c>
      <c r="H693" s="2">
        <v>45888</v>
      </c>
      <c r="I693" t="s">
        <v>5765</v>
      </c>
      <c r="J693" t="s">
        <v>2949</v>
      </c>
      <c r="K693">
        <v>432481.95</v>
      </c>
      <c r="L693" t="s">
        <v>5775</v>
      </c>
      <c r="M693">
        <v>7</v>
      </c>
    </row>
    <row r="694" spans="1:13" x14ac:dyDescent="0.25">
      <c r="A694">
        <v>693</v>
      </c>
      <c r="B694" t="s">
        <v>705</v>
      </c>
      <c r="C694">
        <v>54</v>
      </c>
      <c r="D694" t="s">
        <v>2948</v>
      </c>
      <c r="E694" t="s">
        <v>2951</v>
      </c>
      <c r="F694" t="s">
        <v>3613</v>
      </c>
      <c r="G694" s="2">
        <v>45555</v>
      </c>
      <c r="H694" s="2">
        <v>45569</v>
      </c>
      <c r="I694" t="s">
        <v>5761</v>
      </c>
      <c r="J694" t="s">
        <v>5770</v>
      </c>
      <c r="K694">
        <v>284724.15999999997</v>
      </c>
      <c r="L694" t="s">
        <v>5773</v>
      </c>
      <c r="M694">
        <v>14</v>
      </c>
    </row>
    <row r="695" spans="1:13" x14ac:dyDescent="0.25">
      <c r="A695">
        <v>694</v>
      </c>
      <c r="B695" t="s">
        <v>706</v>
      </c>
      <c r="C695">
        <v>10</v>
      </c>
      <c r="D695" t="s">
        <v>2947</v>
      </c>
      <c r="E695" t="s">
        <v>2949</v>
      </c>
      <c r="F695" t="s">
        <v>3336</v>
      </c>
      <c r="G695" s="2">
        <v>45874</v>
      </c>
      <c r="H695" s="2">
        <v>45877</v>
      </c>
      <c r="I695" t="s">
        <v>5759</v>
      </c>
      <c r="J695" t="s">
        <v>2949</v>
      </c>
      <c r="K695">
        <v>499617.89</v>
      </c>
      <c r="L695" t="s">
        <v>5774</v>
      </c>
      <c r="M695">
        <v>3</v>
      </c>
    </row>
    <row r="696" spans="1:13" x14ac:dyDescent="0.25">
      <c r="A696">
        <v>695</v>
      </c>
      <c r="B696" t="s">
        <v>707</v>
      </c>
      <c r="C696">
        <v>19</v>
      </c>
      <c r="D696" t="s">
        <v>2948</v>
      </c>
      <c r="E696" t="s">
        <v>2949</v>
      </c>
      <c r="F696" t="s">
        <v>3614</v>
      </c>
      <c r="G696" s="2">
        <v>45605</v>
      </c>
      <c r="H696" s="2">
        <v>45619</v>
      </c>
      <c r="I696" t="s">
        <v>5766</v>
      </c>
      <c r="J696" t="s">
        <v>5770</v>
      </c>
      <c r="K696">
        <v>326255.82</v>
      </c>
      <c r="L696" t="s">
        <v>5774</v>
      </c>
      <c r="M696">
        <v>14</v>
      </c>
    </row>
    <row r="697" spans="1:13" x14ac:dyDescent="0.25">
      <c r="A697">
        <v>696</v>
      </c>
      <c r="B697" t="s">
        <v>708</v>
      </c>
      <c r="C697">
        <v>31</v>
      </c>
      <c r="D697" t="s">
        <v>2947</v>
      </c>
      <c r="E697" t="s">
        <v>2955</v>
      </c>
      <c r="F697" t="s">
        <v>3615</v>
      </c>
      <c r="G697" s="2">
        <v>45749</v>
      </c>
      <c r="H697" s="2">
        <v>45764</v>
      </c>
      <c r="I697" t="s">
        <v>5766</v>
      </c>
      <c r="J697" t="s">
        <v>5771</v>
      </c>
      <c r="K697">
        <v>381363.14</v>
      </c>
      <c r="L697" t="s">
        <v>5775</v>
      </c>
      <c r="M697">
        <v>15</v>
      </c>
    </row>
    <row r="698" spans="1:13" x14ac:dyDescent="0.25">
      <c r="A698">
        <v>697</v>
      </c>
      <c r="B698" t="s">
        <v>709</v>
      </c>
      <c r="C698">
        <v>73</v>
      </c>
      <c r="D698" t="s">
        <v>2947</v>
      </c>
      <c r="E698" t="s">
        <v>2951</v>
      </c>
      <c r="F698" t="s">
        <v>3616</v>
      </c>
      <c r="G698" s="2">
        <v>45786</v>
      </c>
      <c r="H698" s="2">
        <v>45800</v>
      </c>
      <c r="I698" t="s">
        <v>5759</v>
      </c>
      <c r="J698" t="s">
        <v>5772</v>
      </c>
      <c r="K698">
        <v>308836.31</v>
      </c>
      <c r="L698" t="s">
        <v>5773</v>
      </c>
      <c r="M698">
        <v>14</v>
      </c>
    </row>
    <row r="699" spans="1:13" x14ac:dyDescent="0.25">
      <c r="A699">
        <v>698</v>
      </c>
      <c r="B699" t="s">
        <v>710</v>
      </c>
      <c r="C699">
        <v>48</v>
      </c>
      <c r="D699" t="s">
        <v>2947</v>
      </c>
      <c r="E699" t="s">
        <v>2953</v>
      </c>
      <c r="F699" t="s">
        <v>3617</v>
      </c>
      <c r="G699" s="2">
        <v>45586</v>
      </c>
      <c r="H699" s="2">
        <v>45596</v>
      </c>
      <c r="I699" t="s">
        <v>5758</v>
      </c>
      <c r="J699" t="s">
        <v>2949</v>
      </c>
      <c r="K699">
        <v>375009.59</v>
      </c>
      <c r="L699" t="s">
        <v>5773</v>
      </c>
      <c r="M699">
        <v>10</v>
      </c>
    </row>
    <row r="700" spans="1:13" x14ac:dyDescent="0.25">
      <c r="A700">
        <v>699</v>
      </c>
      <c r="B700" t="s">
        <v>711</v>
      </c>
      <c r="C700">
        <v>20</v>
      </c>
      <c r="D700" t="s">
        <v>2948</v>
      </c>
      <c r="E700" t="s">
        <v>2953</v>
      </c>
      <c r="F700" t="s">
        <v>3618</v>
      </c>
      <c r="G700" s="2">
        <v>45781</v>
      </c>
      <c r="H700" s="2">
        <v>45784</v>
      </c>
      <c r="I700" t="s">
        <v>5764</v>
      </c>
      <c r="J700" t="s">
        <v>5769</v>
      </c>
      <c r="K700">
        <v>419033.92</v>
      </c>
      <c r="L700" t="s">
        <v>5775</v>
      </c>
      <c r="M700">
        <v>3</v>
      </c>
    </row>
    <row r="701" spans="1:13" x14ac:dyDescent="0.25">
      <c r="A701">
        <v>700</v>
      </c>
      <c r="B701" t="s">
        <v>712</v>
      </c>
      <c r="C701">
        <v>35</v>
      </c>
      <c r="D701" t="s">
        <v>2948</v>
      </c>
      <c r="E701" t="s">
        <v>2953</v>
      </c>
      <c r="F701" t="s">
        <v>3619</v>
      </c>
      <c r="G701" s="2">
        <v>45790</v>
      </c>
      <c r="H701" s="2">
        <v>45794</v>
      </c>
      <c r="I701" t="s">
        <v>5758</v>
      </c>
      <c r="J701" t="s">
        <v>5772</v>
      </c>
      <c r="K701">
        <v>376561</v>
      </c>
      <c r="L701" t="s">
        <v>5773</v>
      </c>
      <c r="M701">
        <v>4</v>
      </c>
    </row>
    <row r="702" spans="1:13" x14ac:dyDescent="0.25">
      <c r="A702">
        <v>701</v>
      </c>
      <c r="B702" t="s">
        <v>713</v>
      </c>
      <c r="C702">
        <v>26</v>
      </c>
      <c r="D702" t="s">
        <v>2947</v>
      </c>
      <c r="E702" t="s">
        <v>2954</v>
      </c>
      <c r="F702" t="s">
        <v>3620</v>
      </c>
      <c r="G702" s="2">
        <v>45628</v>
      </c>
      <c r="H702" s="2">
        <v>45642</v>
      </c>
      <c r="I702" t="s">
        <v>5766</v>
      </c>
      <c r="J702" t="s">
        <v>5772</v>
      </c>
      <c r="K702">
        <v>335360.38</v>
      </c>
      <c r="L702" t="s">
        <v>5774</v>
      </c>
      <c r="M702">
        <v>14</v>
      </c>
    </row>
    <row r="703" spans="1:13" x14ac:dyDescent="0.25">
      <c r="A703">
        <v>702</v>
      </c>
      <c r="B703" t="s">
        <v>714</v>
      </c>
      <c r="C703">
        <v>65</v>
      </c>
      <c r="D703" t="s">
        <v>2948</v>
      </c>
      <c r="E703" t="s">
        <v>2953</v>
      </c>
      <c r="F703" t="s">
        <v>3621</v>
      </c>
      <c r="G703" s="2">
        <v>45722</v>
      </c>
      <c r="H703" s="2">
        <v>45735</v>
      </c>
      <c r="I703" t="s">
        <v>5763</v>
      </c>
      <c r="J703" t="s">
        <v>5768</v>
      </c>
      <c r="K703">
        <v>438866.74</v>
      </c>
      <c r="L703" t="s">
        <v>5775</v>
      </c>
      <c r="M703">
        <v>13</v>
      </c>
    </row>
    <row r="704" spans="1:13" x14ac:dyDescent="0.25">
      <c r="A704">
        <v>703</v>
      </c>
      <c r="B704" t="s">
        <v>715</v>
      </c>
      <c r="C704">
        <v>39</v>
      </c>
      <c r="D704" t="s">
        <v>2947</v>
      </c>
      <c r="E704" t="s">
        <v>2949</v>
      </c>
      <c r="F704" t="s">
        <v>3485</v>
      </c>
      <c r="G704" s="2">
        <v>45700</v>
      </c>
      <c r="H704" s="2">
        <v>45714</v>
      </c>
      <c r="I704" t="s">
        <v>5758</v>
      </c>
      <c r="J704" t="s">
        <v>5769</v>
      </c>
      <c r="K704">
        <v>278890.89</v>
      </c>
      <c r="L704" t="s">
        <v>5774</v>
      </c>
      <c r="M704">
        <v>14</v>
      </c>
    </row>
    <row r="705" spans="1:13" x14ac:dyDescent="0.25">
      <c r="A705">
        <v>704</v>
      </c>
      <c r="B705" t="s">
        <v>716</v>
      </c>
      <c r="C705">
        <v>33</v>
      </c>
      <c r="D705" t="s">
        <v>2947</v>
      </c>
      <c r="E705" t="s">
        <v>2952</v>
      </c>
      <c r="F705" t="s">
        <v>3622</v>
      </c>
      <c r="G705" s="2">
        <v>45612</v>
      </c>
      <c r="H705" s="2">
        <v>45627</v>
      </c>
      <c r="I705" t="s">
        <v>5758</v>
      </c>
      <c r="J705" t="s">
        <v>5770</v>
      </c>
      <c r="K705">
        <v>378075.45</v>
      </c>
      <c r="L705" t="s">
        <v>5774</v>
      </c>
      <c r="M705">
        <v>15</v>
      </c>
    </row>
    <row r="706" spans="1:13" x14ac:dyDescent="0.25">
      <c r="A706">
        <v>705</v>
      </c>
      <c r="B706" t="s">
        <v>717</v>
      </c>
      <c r="C706">
        <v>8</v>
      </c>
      <c r="D706" t="s">
        <v>2947</v>
      </c>
      <c r="E706" t="s">
        <v>2951</v>
      </c>
      <c r="F706" t="s">
        <v>3020</v>
      </c>
      <c r="G706" s="2">
        <v>45753</v>
      </c>
      <c r="H706" s="2">
        <v>45765</v>
      </c>
      <c r="I706" t="s">
        <v>5759</v>
      </c>
      <c r="J706" t="s">
        <v>5772</v>
      </c>
      <c r="K706">
        <v>419887.22</v>
      </c>
      <c r="L706" t="s">
        <v>5774</v>
      </c>
      <c r="M706">
        <v>12</v>
      </c>
    </row>
    <row r="707" spans="1:13" x14ac:dyDescent="0.25">
      <c r="A707">
        <v>706</v>
      </c>
      <c r="B707" t="s">
        <v>718</v>
      </c>
      <c r="C707">
        <v>28</v>
      </c>
      <c r="D707" t="s">
        <v>2947</v>
      </c>
      <c r="E707" t="s">
        <v>2954</v>
      </c>
      <c r="F707" t="s">
        <v>3623</v>
      </c>
      <c r="G707" s="2">
        <v>45560</v>
      </c>
      <c r="H707" s="2">
        <v>45571</v>
      </c>
      <c r="I707" t="s">
        <v>5765</v>
      </c>
      <c r="J707" t="s">
        <v>5770</v>
      </c>
      <c r="K707">
        <v>229962.36</v>
      </c>
      <c r="L707" t="s">
        <v>5775</v>
      </c>
      <c r="M707">
        <v>11</v>
      </c>
    </row>
    <row r="708" spans="1:13" x14ac:dyDescent="0.25">
      <c r="A708">
        <v>707</v>
      </c>
      <c r="B708" t="s">
        <v>719</v>
      </c>
      <c r="C708">
        <v>57</v>
      </c>
      <c r="D708" t="s">
        <v>2948</v>
      </c>
      <c r="E708" t="s">
        <v>2954</v>
      </c>
      <c r="F708" t="s">
        <v>3624</v>
      </c>
      <c r="G708" s="2">
        <v>45788</v>
      </c>
      <c r="H708" s="2">
        <v>45802</v>
      </c>
      <c r="I708" t="s">
        <v>5767</v>
      </c>
      <c r="J708" t="s">
        <v>5769</v>
      </c>
      <c r="K708">
        <v>380309.43</v>
      </c>
      <c r="L708" t="s">
        <v>5774</v>
      </c>
      <c r="M708">
        <v>14</v>
      </c>
    </row>
    <row r="709" spans="1:13" x14ac:dyDescent="0.25">
      <c r="A709">
        <v>708</v>
      </c>
      <c r="B709" t="s">
        <v>720</v>
      </c>
      <c r="C709">
        <v>73</v>
      </c>
      <c r="D709" t="s">
        <v>2947</v>
      </c>
      <c r="E709" t="s">
        <v>2953</v>
      </c>
      <c r="F709" t="s">
        <v>3625</v>
      </c>
      <c r="G709" s="2">
        <v>45691</v>
      </c>
      <c r="H709" s="2">
        <v>45694</v>
      </c>
      <c r="I709" t="s">
        <v>5764</v>
      </c>
      <c r="J709" t="s">
        <v>5769</v>
      </c>
      <c r="K709">
        <v>270411.71000000002</v>
      </c>
      <c r="L709" t="s">
        <v>5773</v>
      </c>
      <c r="M709">
        <v>3</v>
      </c>
    </row>
    <row r="710" spans="1:13" x14ac:dyDescent="0.25">
      <c r="A710">
        <v>709</v>
      </c>
      <c r="B710" t="s">
        <v>721</v>
      </c>
      <c r="C710">
        <v>25</v>
      </c>
      <c r="D710" t="s">
        <v>2948</v>
      </c>
      <c r="E710" t="s">
        <v>2952</v>
      </c>
      <c r="F710" t="s">
        <v>3626</v>
      </c>
      <c r="G710" s="2">
        <v>45571</v>
      </c>
      <c r="H710" s="2">
        <v>45572</v>
      </c>
      <c r="I710" t="s">
        <v>5760</v>
      </c>
      <c r="J710" t="s">
        <v>5772</v>
      </c>
      <c r="K710">
        <v>381312.34</v>
      </c>
      <c r="L710" t="s">
        <v>5774</v>
      </c>
      <c r="M710">
        <v>1</v>
      </c>
    </row>
    <row r="711" spans="1:13" x14ac:dyDescent="0.25">
      <c r="A711">
        <v>710</v>
      </c>
      <c r="B711" t="s">
        <v>722</v>
      </c>
      <c r="C711">
        <v>16</v>
      </c>
      <c r="D711" t="s">
        <v>2947</v>
      </c>
      <c r="E711" t="s">
        <v>2949</v>
      </c>
      <c r="F711" t="s">
        <v>3627</v>
      </c>
      <c r="G711" s="2">
        <v>45810</v>
      </c>
      <c r="H711" s="2">
        <v>45819</v>
      </c>
      <c r="I711" t="s">
        <v>5763</v>
      </c>
      <c r="J711" t="s">
        <v>5771</v>
      </c>
      <c r="K711">
        <v>468270.16</v>
      </c>
      <c r="L711" t="s">
        <v>5773</v>
      </c>
      <c r="M711">
        <v>9</v>
      </c>
    </row>
    <row r="712" spans="1:13" x14ac:dyDescent="0.25">
      <c r="A712">
        <v>711</v>
      </c>
      <c r="B712" t="s">
        <v>723</v>
      </c>
      <c r="C712">
        <v>44</v>
      </c>
      <c r="D712" t="s">
        <v>2947</v>
      </c>
      <c r="E712" t="s">
        <v>2954</v>
      </c>
      <c r="F712" t="s">
        <v>3628</v>
      </c>
      <c r="G712" s="2">
        <v>45609</v>
      </c>
      <c r="H712" s="2">
        <v>45623</v>
      </c>
      <c r="I712" t="s">
        <v>5761</v>
      </c>
      <c r="J712" t="s">
        <v>5771</v>
      </c>
      <c r="K712">
        <v>417593.41</v>
      </c>
      <c r="L712" t="s">
        <v>5774</v>
      </c>
      <c r="M712">
        <v>14</v>
      </c>
    </row>
    <row r="713" spans="1:13" x14ac:dyDescent="0.25">
      <c r="A713">
        <v>712</v>
      </c>
      <c r="B713" t="s">
        <v>724</v>
      </c>
      <c r="C713">
        <v>86</v>
      </c>
      <c r="D713" t="s">
        <v>2948</v>
      </c>
      <c r="E713" t="s">
        <v>2950</v>
      </c>
      <c r="F713" t="s">
        <v>3629</v>
      </c>
      <c r="G713" s="2">
        <v>45798</v>
      </c>
      <c r="H713" s="2">
        <v>45802</v>
      </c>
      <c r="I713" t="s">
        <v>5760</v>
      </c>
      <c r="J713" t="s">
        <v>5769</v>
      </c>
      <c r="K713">
        <v>174289.87</v>
      </c>
      <c r="L713" t="s">
        <v>5775</v>
      </c>
      <c r="M713">
        <v>4</v>
      </c>
    </row>
    <row r="714" spans="1:13" x14ac:dyDescent="0.25">
      <c r="A714">
        <v>713</v>
      </c>
      <c r="B714" t="s">
        <v>725</v>
      </c>
      <c r="C714">
        <v>58</v>
      </c>
      <c r="D714" t="s">
        <v>2947</v>
      </c>
      <c r="E714" t="s">
        <v>2953</v>
      </c>
      <c r="F714" t="s">
        <v>3630</v>
      </c>
      <c r="G714" s="2">
        <v>45893</v>
      </c>
      <c r="H714" s="2">
        <v>45906</v>
      </c>
      <c r="I714" t="s">
        <v>5759</v>
      </c>
      <c r="J714" t="s">
        <v>5768</v>
      </c>
      <c r="K714">
        <v>385997.93</v>
      </c>
      <c r="L714" t="s">
        <v>5774</v>
      </c>
      <c r="M714">
        <v>13</v>
      </c>
    </row>
    <row r="715" spans="1:13" x14ac:dyDescent="0.25">
      <c r="A715">
        <v>714</v>
      </c>
      <c r="B715" t="s">
        <v>726</v>
      </c>
      <c r="C715">
        <v>3</v>
      </c>
      <c r="D715" t="s">
        <v>2948</v>
      </c>
      <c r="E715" t="s">
        <v>2953</v>
      </c>
      <c r="F715" t="s">
        <v>3631</v>
      </c>
      <c r="G715" s="2">
        <v>45626</v>
      </c>
      <c r="H715" s="2">
        <v>45634</v>
      </c>
      <c r="I715" t="s">
        <v>5767</v>
      </c>
      <c r="J715" t="s">
        <v>5770</v>
      </c>
      <c r="K715">
        <v>66819.47</v>
      </c>
      <c r="L715" t="s">
        <v>5773</v>
      </c>
      <c r="M715">
        <v>8</v>
      </c>
    </row>
    <row r="716" spans="1:13" x14ac:dyDescent="0.25">
      <c r="A716">
        <v>715</v>
      </c>
      <c r="B716" t="s">
        <v>727</v>
      </c>
      <c r="C716">
        <v>77</v>
      </c>
      <c r="D716" t="s">
        <v>2947</v>
      </c>
      <c r="E716" t="s">
        <v>2954</v>
      </c>
      <c r="F716" t="s">
        <v>3632</v>
      </c>
      <c r="G716" s="2">
        <v>45756</v>
      </c>
      <c r="H716" s="2">
        <v>45763</v>
      </c>
      <c r="I716" t="s">
        <v>5763</v>
      </c>
      <c r="J716" t="s">
        <v>5772</v>
      </c>
      <c r="K716">
        <v>9844.7800000000007</v>
      </c>
      <c r="L716" t="s">
        <v>5773</v>
      </c>
      <c r="M716">
        <v>7</v>
      </c>
    </row>
    <row r="717" spans="1:13" x14ac:dyDescent="0.25">
      <c r="A717">
        <v>716</v>
      </c>
      <c r="B717" t="s">
        <v>728</v>
      </c>
      <c r="C717">
        <v>34</v>
      </c>
      <c r="D717" t="s">
        <v>2947</v>
      </c>
      <c r="E717" t="s">
        <v>2955</v>
      </c>
      <c r="F717" t="s">
        <v>3633</v>
      </c>
      <c r="G717" s="2">
        <v>45622</v>
      </c>
      <c r="H717" s="2">
        <v>45632</v>
      </c>
      <c r="I717" t="s">
        <v>5758</v>
      </c>
      <c r="J717" t="s">
        <v>5771</v>
      </c>
      <c r="K717">
        <v>350903.22</v>
      </c>
      <c r="L717" t="s">
        <v>5774</v>
      </c>
      <c r="M717">
        <v>10</v>
      </c>
    </row>
    <row r="718" spans="1:13" x14ac:dyDescent="0.25">
      <c r="A718">
        <v>717</v>
      </c>
      <c r="B718" t="s">
        <v>729</v>
      </c>
      <c r="C718">
        <v>45</v>
      </c>
      <c r="D718" t="s">
        <v>2947</v>
      </c>
      <c r="E718" t="s">
        <v>2951</v>
      </c>
      <c r="F718" t="s">
        <v>3634</v>
      </c>
      <c r="G718" s="2">
        <v>45813</v>
      </c>
      <c r="H718" s="2">
        <v>45814</v>
      </c>
      <c r="I718" t="s">
        <v>5759</v>
      </c>
      <c r="J718" t="s">
        <v>5771</v>
      </c>
      <c r="K718">
        <v>80182.3</v>
      </c>
      <c r="L718" t="s">
        <v>5773</v>
      </c>
      <c r="M718">
        <v>1</v>
      </c>
    </row>
    <row r="719" spans="1:13" x14ac:dyDescent="0.25">
      <c r="A719">
        <v>718</v>
      </c>
      <c r="B719" t="s">
        <v>730</v>
      </c>
      <c r="C719">
        <v>2</v>
      </c>
      <c r="D719" t="s">
        <v>2947</v>
      </c>
      <c r="E719" t="s">
        <v>2951</v>
      </c>
      <c r="F719" t="s">
        <v>3635</v>
      </c>
      <c r="G719" s="2">
        <v>45573</v>
      </c>
      <c r="H719" s="2">
        <v>45586</v>
      </c>
      <c r="I719" t="s">
        <v>5767</v>
      </c>
      <c r="J719" t="s">
        <v>2949</v>
      </c>
      <c r="K719">
        <v>82742.86</v>
      </c>
      <c r="L719" t="s">
        <v>5775</v>
      </c>
      <c r="M719">
        <v>13</v>
      </c>
    </row>
    <row r="720" spans="1:13" x14ac:dyDescent="0.25">
      <c r="A720">
        <v>719</v>
      </c>
      <c r="B720" t="s">
        <v>731</v>
      </c>
      <c r="C720">
        <v>63</v>
      </c>
      <c r="D720" t="s">
        <v>2947</v>
      </c>
      <c r="E720" t="s">
        <v>2950</v>
      </c>
      <c r="F720" t="s">
        <v>3636</v>
      </c>
      <c r="G720" s="2">
        <v>45840</v>
      </c>
      <c r="H720" s="2">
        <v>45854</v>
      </c>
      <c r="I720" t="s">
        <v>5760</v>
      </c>
      <c r="J720" t="s">
        <v>2949</v>
      </c>
      <c r="K720">
        <v>339099.28</v>
      </c>
      <c r="L720" t="s">
        <v>5773</v>
      </c>
      <c r="M720">
        <v>14</v>
      </c>
    </row>
    <row r="721" spans="1:13" x14ac:dyDescent="0.25">
      <c r="A721">
        <v>720</v>
      </c>
      <c r="B721" t="s">
        <v>732</v>
      </c>
      <c r="C721">
        <v>35</v>
      </c>
      <c r="D721" t="s">
        <v>2947</v>
      </c>
      <c r="E721" t="s">
        <v>2950</v>
      </c>
      <c r="F721" t="s">
        <v>3637</v>
      </c>
      <c r="G721" s="2">
        <v>45831</v>
      </c>
      <c r="H721" s="2">
        <v>45838</v>
      </c>
      <c r="I721" t="s">
        <v>5766</v>
      </c>
      <c r="J721" t="s">
        <v>5772</v>
      </c>
      <c r="K721">
        <v>340849.38</v>
      </c>
      <c r="L721" t="s">
        <v>5775</v>
      </c>
      <c r="M721">
        <v>7</v>
      </c>
    </row>
    <row r="722" spans="1:13" x14ac:dyDescent="0.25">
      <c r="A722">
        <v>721</v>
      </c>
      <c r="B722" t="s">
        <v>733</v>
      </c>
      <c r="C722">
        <v>86</v>
      </c>
      <c r="D722" t="s">
        <v>2948</v>
      </c>
      <c r="E722" t="s">
        <v>2954</v>
      </c>
      <c r="F722" t="s">
        <v>3638</v>
      </c>
      <c r="G722" s="2">
        <v>45807</v>
      </c>
      <c r="H722" s="2">
        <v>45822</v>
      </c>
      <c r="I722" t="s">
        <v>5764</v>
      </c>
      <c r="J722" t="s">
        <v>5768</v>
      </c>
      <c r="K722">
        <v>180815.55</v>
      </c>
      <c r="L722" t="s">
        <v>5773</v>
      </c>
      <c r="M722">
        <v>15</v>
      </c>
    </row>
    <row r="723" spans="1:13" x14ac:dyDescent="0.25">
      <c r="A723">
        <v>722</v>
      </c>
      <c r="B723" t="s">
        <v>734</v>
      </c>
      <c r="C723">
        <v>8</v>
      </c>
      <c r="D723" t="s">
        <v>2948</v>
      </c>
      <c r="E723" t="s">
        <v>2949</v>
      </c>
      <c r="F723" t="s">
        <v>3639</v>
      </c>
      <c r="G723" s="2">
        <v>45595</v>
      </c>
      <c r="H723" s="2">
        <v>45609</v>
      </c>
      <c r="I723" t="s">
        <v>5760</v>
      </c>
      <c r="J723" t="s">
        <v>5769</v>
      </c>
      <c r="K723">
        <v>164482.53</v>
      </c>
      <c r="L723" t="s">
        <v>5775</v>
      </c>
      <c r="M723">
        <v>14</v>
      </c>
    </row>
    <row r="724" spans="1:13" x14ac:dyDescent="0.25">
      <c r="A724">
        <v>723</v>
      </c>
      <c r="B724" t="s">
        <v>735</v>
      </c>
      <c r="C724">
        <v>32</v>
      </c>
      <c r="D724" t="s">
        <v>2948</v>
      </c>
      <c r="E724" t="s">
        <v>2954</v>
      </c>
      <c r="F724" t="s">
        <v>3640</v>
      </c>
      <c r="G724" s="2">
        <v>45723</v>
      </c>
      <c r="H724" s="2">
        <v>45726</v>
      </c>
      <c r="I724" t="s">
        <v>5766</v>
      </c>
      <c r="J724" t="s">
        <v>5769</v>
      </c>
      <c r="K724">
        <v>154762.57999999999</v>
      </c>
      <c r="L724" t="s">
        <v>5773</v>
      </c>
      <c r="M724">
        <v>3</v>
      </c>
    </row>
    <row r="725" spans="1:13" x14ac:dyDescent="0.25">
      <c r="A725">
        <v>724</v>
      </c>
      <c r="B725" t="s">
        <v>736</v>
      </c>
      <c r="C725">
        <v>45</v>
      </c>
      <c r="D725" t="s">
        <v>2947</v>
      </c>
      <c r="E725" t="s">
        <v>2951</v>
      </c>
      <c r="F725" t="s">
        <v>3641</v>
      </c>
      <c r="G725" s="2">
        <v>45802</v>
      </c>
      <c r="H725" s="2">
        <v>45809</v>
      </c>
      <c r="I725" t="s">
        <v>5759</v>
      </c>
      <c r="J725" t="s">
        <v>5771</v>
      </c>
      <c r="K725">
        <v>273134.75</v>
      </c>
      <c r="L725" t="s">
        <v>5773</v>
      </c>
      <c r="M725">
        <v>7</v>
      </c>
    </row>
    <row r="726" spans="1:13" x14ac:dyDescent="0.25">
      <c r="A726">
        <v>725</v>
      </c>
      <c r="B726" t="s">
        <v>737</v>
      </c>
      <c r="C726">
        <v>9</v>
      </c>
      <c r="D726" t="s">
        <v>2948</v>
      </c>
      <c r="E726" t="s">
        <v>2949</v>
      </c>
      <c r="F726" t="s">
        <v>3642</v>
      </c>
      <c r="G726" s="2">
        <v>45905</v>
      </c>
      <c r="H726" s="2">
        <v>45919</v>
      </c>
      <c r="I726" t="s">
        <v>5761</v>
      </c>
      <c r="J726" t="s">
        <v>2949</v>
      </c>
      <c r="K726">
        <v>121007.62</v>
      </c>
      <c r="L726" t="s">
        <v>5774</v>
      </c>
      <c r="M726">
        <v>14</v>
      </c>
    </row>
    <row r="727" spans="1:13" x14ac:dyDescent="0.25">
      <c r="A727">
        <v>726</v>
      </c>
      <c r="B727" t="s">
        <v>738</v>
      </c>
      <c r="C727">
        <v>46</v>
      </c>
      <c r="D727" t="s">
        <v>2948</v>
      </c>
      <c r="E727" t="s">
        <v>2951</v>
      </c>
      <c r="F727" t="s">
        <v>3643</v>
      </c>
      <c r="G727" s="2">
        <v>45777</v>
      </c>
      <c r="H727" s="2">
        <v>45791</v>
      </c>
      <c r="I727" t="s">
        <v>5763</v>
      </c>
      <c r="J727" t="s">
        <v>5771</v>
      </c>
      <c r="K727">
        <v>82015.929999999993</v>
      </c>
      <c r="L727" t="s">
        <v>5774</v>
      </c>
      <c r="M727">
        <v>14</v>
      </c>
    </row>
    <row r="728" spans="1:13" x14ac:dyDescent="0.25">
      <c r="A728">
        <v>727</v>
      </c>
      <c r="B728" t="s">
        <v>739</v>
      </c>
      <c r="C728">
        <v>18</v>
      </c>
      <c r="D728" t="s">
        <v>2948</v>
      </c>
      <c r="E728" t="s">
        <v>2952</v>
      </c>
      <c r="F728" t="s">
        <v>3644</v>
      </c>
      <c r="G728" s="2">
        <v>45635</v>
      </c>
      <c r="H728" s="2">
        <v>45643</v>
      </c>
      <c r="I728" t="s">
        <v>5765</v>
      </c>
      <c r="J728" t="s">
        <v>2949</v>
      </c>
      <c r="K728">
        <v>355794.68</v>
      </c>
      <c r="L728" t="s">
        <v>5773</v>
      </c>
      <c r="M728">
        <v>8</v>
      </c>
    </row>
    <row r="729" spans="1:13" x14ac:dyDescent="0.25">
      <c r="A729">
        <v>728</v>
      </c>
      <c r="B729" t="s">
        <v>740</v>
      </c>
      <c r="C729">
        <v>28</v>
      </c>
      <c r="D729" t="s">
        <v>2948</v>
      </c>
      <c r="E729" t="s">
        <v>2949</v>
      </c>
      <c r="F729" t="s">
        <v>3645</v>
      </c>
      <c r="G729" s="2">
        <v>45742</v>
      </c>
      <c r="H729" s="2">
        <v>45751</v>
      </c>
      <c r="I729" t="s">
        <v>5763</v>
      </c>
      <c r="J729" t="s">
        <v>5768</v>
      </c>
      <c r="K729">
        <v>85791.81</v>
      </c>
      <c r="L729" t="s">
        <v>5775</v>
      </c>
      <c r="M729">
        <v>9</v>
      </c>
    </row>
    <row r="730" spans="1:13" x14ac:dyDescent="0.25">
      <c r="A730">
        <v>729</v>
      </c>
      <c r="B730" t="s">
        <v>741</v>
      </c>
      <c r="C730">
        <v>5</v>
      </c>
      <c r="D730" t="s">
        <v>2948</v>
      </c>
      <c r="E730" t="s">
        <v>2952</v>
      </c>
      <c r="F730" t="s">
        <v>3646</v>
      </c>
      <c r="G730" s="2">
        <v>45902</v>
      </c>
      <c r="H730" s="2">
        <v>45905</v>
      </c>
      <c r="I730" t="s">
        <v>5759</v>
      </c>
      <c r="J730" t="s">
        <v>5771</v>
      </c>
      <c r="K730">
        <v>306060.44</v>
      </c>
      <c r="L730" t="s">
        <v>5773</v>
      </c>
      <c r="M730">
        <v>3</v>
      </c>
    </row>
    <row r="731" spans="1:13" x14ac:dyDescent="0.25">
      <c r="A731">
        <v>730</v>
      </c>
      <c r="B731" t="s">
        <v>742</v>
      </c>
      <c r="C731">
        <v>6</v>
      </c>
      <c r="D731" t="s">
        <v>2948</v>
      </c>
      <c r="E731" t="s">
        <v>2951</v>
      </c>
      <c r="F731" t="s">
        <v>3647</v>
      </c>
      <c r="G731" s="2">
        <v>45777</v>
      </c>
      <c r="H731" s="2">
        <v>45792</v>
      </c>
      <c r="I731" t="s">
        <v>5767</v>
      </c>
      <c r="J731" t="s">
        <v>5769</v>
      </c>
      <c r="K731">
        <v>292075.17</v>
      </c>
      <c r="L731" t="s">
        <v>5774</v>
      </c>
      <c r="M731">
        <v>15</v>
      </c>
    </row>
    <row r="732" spans="1:13" x14ac:dyDescent="0.25">
      <c r="A732">
        <v>731</v>
      </c>
      <c r="B732" t="s">
        <v>743</v>
      </c>
      <c r="C732">
        <v>31</v>
      </c>
      <c r="D732" t="s">
        <v>2947</v>
      </c>
      <c r="E732" t="s">
        <v>2955</v>
      </c>
      <c r="F732" t="s">
        <v>3648</v>
      </c>
      <c r="G732" s="2">
        <v>45642</v>
      </c>
      <c r="H732" s="2">
        <v>45650</v>
      </c>
      <c r="I732" t="s">
        <v>5758</v>
      </c>
      <c r="J732" t="s">
        <v>5769</v>
      </c>
      <c r="K732">
        <v>443334.48</v>
      </c>
      <c r="L732" t="s">
        <v>5774</v>
      </c>
      <c r="M732">
        <v>8</v>
      </c>
    </row>
    <row r="733" spans="1:13" x14ac:dyDescent="0.25">
      <c r="A733">
        <v>732</v>
      </c>
      <c r="B733" t="s">
        <v>744</v>
      </c>
      <c r="C733">
        <v>66</v>
      </c>
      <c r="D733" t="s">
        <v>2948</v>
      </c>
      <c r="E733" t="s">
        <v>2955</v>
      </c>
      <c r="F733" t="s">
        <v>3353</v>
      </c>
      <c r="G733" s="2">
        <v>45776</v>
      </c>
      <c r="H733" s="2">
        <v>45785</v>
      </c>
      <c r="I733" t="s">
        <v>5761</v>
      </c>
      <c r="J733" t="s">
        <v>5770</v>
      </c>
      <c r="K733">
        <v>182555.44</v>
      </c>
      <c r="L733" t="s">
        <v>5774</v>
      </c>
      <c r="M733">
        <v>9</v>
      </c>
    </row>
    <row r="734" spans="1:13" x14ac:dyDescent="0.25">
      <c r="A734">
        <v>733</v>
      </c>
      <c r="B734" t="s">
        <v>745</v>
      </c>
      <c r="C734">
        <v>59</v>
      </c>
      <c r="D734" t="s">
        <v>2947</v>
      </c>
      <c r="E734" t="s">
        <v>2950</v>
      </c>
      <c r="F734" t="s">
        <v>3649</v>
      </c>
      <c r="G734" s="2">
        <v>45625</v>
      </c>
      <c r="H734" s="2">
        <v>45630</v>
      </c>
      <c r="I734" t="s">
        <v>5764</v>
      </c>
      <c r="J734" t="s">
        <v>5771</v>
      </c>
      <c r="K734">
        <v>119745.17</v>
      </c>
      <c r="L734" t="s">
        <v>5773</v>
      </c>
      <c r="M734">
        <v>5</v>
      </c>
    </row>
    <row r="735" spans="1:13" x14ac:dyDescent="0.25">
      <c r="A735">
        <v>734</v>
      </c>
      <c r="B735" t="s">
        <v>746</v>
      </c>
      <c r="C735">
        <v>2</v>
      </c>
      <c r="D735" t="s">
        <v>2948</v>
      </c>
      <c r="E735" t="s">
        <v>2954</v>
      </c>
      <c r="F735" t="s">
        <v>3650</v>
      </c>
      <c r="G735" s="2">
        <v>45630</v>
      </c>
      <c r="H735" s="2">
        <v>45642</v>
      </c>
      <c r="I735" t="s">
        <v>5764</v>
      </c>
      <c r="J735" t="s">
        <v>5769</v>
      </c>
      <c r="K735">
        <v>232217.42</v>
      </c>
      <c r="L735" t="s">
        <v>5774</v>
      </c>
      <c r="M735">
        <v>12</v>
      </c>
    </row>
    <row r="736" spans="1:13" x14ac:dyDescent="0.25">
      <c r="A736">
        <v>735</v>
      </c>
      <c r="B736" t="s">
        <v>747</v>
      </c>
      <c r="C736">
        <v>13</v>
      </c>
      <c r="D736" t="s">
        <v>2947</v>
      </c>
      <c r="E736" t="s">
        <v>2951</v>
      </c>
      <c r="F736" t="s">
        <v>3651</v>
      </c>
      <c r="G736" s="2">
        <v>45693</v>
      </c>
      <c r="H736" s="2">
        <v>45697</v>
      </c>
      <c r="I736" t="s">
        <v>5758</v>
      </c>
      <c r="J736" t="s">
        <v>5772</v>
      </c>
      <c r="K736">
        <v>459212.67</v>
      </c>
      <c r="L736" t="s">
        <v>5773</v>
      </c>
      <c r="M736">
        <v>4</v>
      </c>
    </row>
    <row r="737" spans="1:13" x14ac:dyDescent="0.25">
      <c r="A737">
        <v>736</v>
      </c>
      <c r="B737" t="s">
        <v>748</v>
      </c>
      <c r="C737">
        <v>22</v>
      </c>
      <c r="D737" t="s">
        <v>2948</v>
      </c>
      <c r="E737" t="s">
        <v>2955</v>
      </c>
      <c r="F737" t="s">
        <v>3652</v>
      </c>
      <c r="G737" s="2">
        <v>45856</v>
      </c>
      <c r="H737" s="2">
        <v>45860</v>
      </c>
      <c r="I737" t="s">
        <v>5767</v>
      </c>
      <c r="J737" t="s">
        <v>5768</v>
      </c>
      <c r="K737">
        <v>222509.54</v>
      </c>
      <c r="L737" t="s">
        <v>5774</v>
      </c>
      <c r="M737">
        <v>4</v>
      </c>
    </row>
    <row r="738" spans="1:13" x14ac:dyDescent="0.25">
      <c r="A738">
        <v>737</v>
      </c>
      <c r="B738" t="s">
        <v>749</v>
      </c>
      <c r="C738">
        <v>88</v>
      </c>
      <c r="D738" t="s">
        <v>2948</v>
      </c>
      <c r="E738" t="s">
        <v>2950</v>
      </c>
      <c r="F738" t="s">
        <v>3653</v>
      </c>
      <c r="G738" s="2">
        <v>45782</v>
      </c>
      <c r="H738" s="2">
        <v>45794</v>
      </c>
      <c r="I738" t="s">
        <v>5761</v>
      </c>
      <c r="J738" t="s">
        <v>5771</v>
      </c>
      <c r="K738">
        <v>375359.88</v>
      </c>
      <c r="L738" t="s">
        <v>5775</v>
      </c>
      <c r="M738">
        <v>12</v>
      </c>
    </row>
    <row r="739" spans="1:13" x14ac:dyDescent="0.25">
      <c r="A739">
        <v>738</v>
      </c>
      <c r="B739" t="s">
        <v>750</v>
      </c>
      <c r="C739">
        <v>1</v>
      </c>
      <c r="D739" t="s">
        <v>2947</v>
      </c>
      <c r="E739" t="s">
        <v>2950</v>
      </c>
      <c r="F739" t="s">
        <v>3654</v>
      </c>
      <c r="G739" s="2">
        <v>45735</v>
      </c>
      <c r="H739" s="2">
        <v>45741</v>
      </c>
      <c r="I739" t="s">
        <v>5759</v>
      </c>
      <c r="J739" t="s">
        <v>2949</v>
      </c>
      <c r="K739">
        <v>351452.29</v>
      </c>
      <c r="L739" t="s">
        <v>5774</v>
      </c>
      <c r="M739">
        <v>6</v>
      </c>
    </row>
    <row r="740" spans="1:13" x14ac:dyDescent="0.25">
      <c r="A740">
        <v>739</v>
      </c>
      <c r="B740" t="s">
        <v>751</v>
      </c>
      <c r="C740">
        <v>46</v>
      </c>
      <c r="D740" t="s">
        <v>2948</v>
      </c>
      <c r="E740" t="s">
        <v>2951</v>
      </c>
      <c r="F740" t="s">
        <v>3655</v>
      </c>
      <c r="G740" s="2">
        <v>45894</v>
      </c>
      <c r="H740" s="2">
        <v>45908</v>
      </c>
      <c r="I740" t="s">
        <v>5763</v>
      </c>
      <c r="J740" t="s">
        <v>2949</v>
      </c>
      <c r="K740">
        <v>390425.38</v>
      </c>
      <c r="L740" t="s">
        <v>5775</v>
      </c>
      <c r="M740">
        <v>14</v>
      </c>
    </row>
    <row r="741" spans="1:13" x14ac:dyDescent="0.25">
      <c r="A741">
        <v>740</v>
      </c>
      <c r="B741" t="s">
        <v>752</v>
      </c>
      <c r="C741">
        <v>87</v>
      </c>
      <c r="D741" t="s">
        <v>2948</v>
      </c>
      <c r="E741" t="s">
        <v>2954</v>
      </c>
      <c r="F741" t="s">
        <v>945</v>
      </c>
      <c r="G741" s="2">
        <v>45623</v>
      </c>
      <c r="H741" s="2">
        <v>45627</v>
      </c>
      <c r="I741" t="s">
        <v>5759</v>
      </c>
      <c r="J741" t="s">
        <v>5769</v>
      </c>
      <c r="K741">
        <v>268209.7</v>
      </c>
      <c r="L741" t="s">
        <v>5773</v>
      </c>
      <c r="M741">
        <v>4</v>
      </c>
    </row>
    <row r="742" spans="1:13" x14ac:dyDescent="0.25">
      <c r="A742">
        <v>741</v>
      </c>
      <c r="B742" t="s">
        <v>753</v>
      </c>
      <c r="C742">
        <v>4</v>
      </c>
      <c r="D742" t="s">
        <v>2948</v>
      </c>
      <c r="E742" t="s">
        <v>2955</v>
      </c>
      <c r="F742" t="s">
        <v>3656</v>
      </c>
      <c r="G742" s="2">
        <v>45694</v>
      </c>
      <c r="H742" s="2">
        <v>45695</v>
      </c>
      <c r="I742" t="s">
        <v>5761</v>
      </c>
      <c r="J742" t="s">
        <v>5769</v>
      </c>
      <c r="K742">
        <v>188545.18</v>
      </c>
      <c r="L742" t="s">
        <v>5775</v>
      </c>
      <c r="M742">
        <v>1</v>
      </c>
    </row>
    <row r="743" spans="1:13" x14ac:dyDescent="0.25">
      <c r="A743">
        <v>742</v>
      </c>
      <c r="B743" t="s">
        <v>754</v>
      </c>
      <c r="C743">
        <v>77</v>
      </c>
      <c r="D743" t="s">
        <v>2947</v>
      </c>
      <c r="E743" t="s">
        <v>2951</v>
      </c>
      <c r="F743" t="s">
        <v>3657</v>
      </c>
      <c r="G743" s="2">
        <v>45769</v>
      </c>
      <c r="H743" s="2">
        <v>45775</v>
      </c>
      <c r="I743" t="s">
        <v>5763</v>
      </c>
      <c r="J743" t="s">
        <v>5771</v>
      </c>
      <c r="K743">
        <v>499085.25</v>
      </c>
      <c r="L743" t="s">
        <v>5774</v>
      </c>
      <c r="M743">
        <v>6</v>
      </c>
    </row>
    <row r="744" spans="1:13" x14ac:dyDescent="0.25">
      <c r="A744">
        <v>743</v>
      </c>
      <c r="B744" t="s">
        <v>755</v>
      </c>
      <c r="C744">
        <v>57</v>
      </c>
      <c r="D744" t="s">
        <v>2947</v>
      </c>
      <c r="E744" t="s">
        <v>2950</v>
      </c>
      <c r="F744" t="s">
        <v>3658</v>
      </c>
      <c r="G744" s="2">
        <v>45817</v>
      </c>
      <c r="H744" s="2">
        <v>45822</v>
      </c>
      <c r="I744" t="s">
        <v>5760</v>
      </c>
      <c r="J744" t="s">
        <v>5769</v>
      </c>
      <c r="K744">
        <v>316503.98</v>
      </c>
      <c r="L744" t="s">
        <v>5773</v>
      </c>
      <c r="M744">
        <v>5</v>
      </c>
    </row>
    <row r="745" spans="1:13" x14ac:dyDescent="0.25">
      <c r="A745">
        <v>744</v>
      </c>
      <c r="B745" t="s">
        <v>756</v>
      </c>
      <c r="C745">
        <v>43</v>
      </c>
      <c r="D745" t="s">
        <v>2948</v>
      </c>
      <c r="E745" t="s">
        <v>2949</v>
      </c>
      <c r="F745" t="s">
        <v>3659</v>
      </c>
      <c r="G745" s="2">
        <v>45709</v>
      </c>
      <c r="H745" s="2">
        <v>45720</v>
      </c>
      <c r="I745" t="s">
        <v>5761</v>
      </c>
      <c r="J745" t="s">
        <v>5772</v>
      </c>
      <c r="K745">
        <v>491620.79</v>
      </c>
      <c r="L745" t="s">
        <v>5774</v>
      </c>
      <c r="M745">
        <v>11</v>
      </c>
    </row>
    <row r="746" spans="1:13" x14ac:dyDescent="0.25">
      <c r="A746">
        <v>745</v>
      </c>
      <c r="B746" t="s">
        <v>757</v>
      </c>
      <c r="C746">
        <v>3</v>
      </c>
      <c r="D746" t="s">
        <v>2948</v>
      </c>
      <c r="E746" t="s">
        <v>2951</v>
      </c>
      <c r="F746" t="s">
        <v>3660</v>
      </c>
      <c r="G746" s="2">
        <v>45840</v>
      </c>
      <c r="H746" s="2">
        <v>45845</v>
      </c>
      <c r="I746" t="s">
        <v>5764</v>
      </c>
      <c r="J746" t="s">
        <v>5768</v>
      </c>
      <c r="K746">
        <v>455112.52</v>
      </c>
      <c r="L746" t="s">
        <v>5773</v>
      </c>
      <c r="M746">
        <v>5</v>
      </c>
    </row>
    <row r="747" spans="1:13" x14ac:dyDescent="0.25">
      <c r="A747">
        <v>746</v>
      </c>
      <c r="B747" t="s">
        <v>758</v>
      </c>
      <c r="C747">
        <v>78</v>
      </c>
      <c r="D747" t="s">
        <v>2948</v>
      </c>
      <c r="E747" t="s">
        <v>2949</v>
      </c>
      <c r="F747" t="s">
        <v>3661</v>
      </c>
      <c r="G747" s="2">
        <v>45836</v>
      </c>
      <c r="H747" s="2">
        <v>45837</v>
      </c>
      <c r="I747" t="s">
        <v>5763</v>
      </c>
      <c r="J747" t="s">
        <v>5768</v>
      </c>
      <c r="K747">
        <v>92847.56</v>
      </c>
      <c r="L747" t="s">
        <v>5774</v>
      </c>
      <c r="M747">
        <v>1</v>
      </c>
    </row>
    <row r="748" spans="1:13" x14ac:dyDescent="0.25">
      <c r="A748">
        <v>747</v>
      </c>
      <c r="B748" t="s">
        <v>759</v>
      </c>
      <c r="C748">
        <v>48</v>
      </c>
      <c r="D748" t="s">
        <v>2948</v>
      </c>
      <c r="E748" t="s">
        <v>2955</v>
      </c>
      <c r="F748" t="s">
        <v>2131</v>
      </c>
      <c r="G748" s="2">
        <v>45854</v>
      </c>
      <c r="H748" s="2">
        <v>45858</v>
      </c>
      <c r="I748" t="s">
        <v>5764</v>
      </c>
      <c r="J748" t="s">
        <v>5769</v>
      </c>
      <c r="K748">
        <v>158644.04999999999</v>
      </c>
      <c r="L748" t="s">
        <v>5775</v>
      </c>
      <c r="M748">
        <v>4</v>
      </c>
    </row>
    <row r="749" spans="1:13" x14ac:dyDescent="0.25">
      <c r="A749">
        <v>748</v>
      </c>
      <c r="B749" t="s">
        <v>760</v>
      </c>
      <c r="C749">
        <v>25</v>
      </c>
      <c r="D749" t="s">
        <v>2948</v>
      </c>
      <c r="E749" t="s">
        <v>2951</v>
      </c>
      <c r="F749" t="s">
        <v>3662</v>
      </c>
      <c r="G749" s="2">
        <v>45693</v>
      </c>
      <c r="H749" s="2">
        <v>45701</v>
      </c>
      <c r="I749" t="s">
        <v>5766</v>
      </c>
      <c r="J749" t="s">
        <v>5768</v>
      </c>
      <c r="K749">
        <v>392676.75</v>
      </c>
      <c r="L749" t="s">
        <v>5775</v>
      </c>
      <c r="M749">
        <v>8</v>
      </c>
    </row>
    <row r="750" spans="1:13" x14ac:dyDescent="0.25">
      <c r="A750">
        <v>749</v>
      </c>
      <c r="B750" t="s">
        <v>761</v>
      </c>
      <c r="C750">
        <v>41</v>
      </c>
      <c r="D750" t="s">
        <v>2947</v>
      </c>
      <c r="E750" t="s">
        <v>2955</v>
      </c>
      <c r="F750" t="s">
        <v>3663</v>
      </c>
      <c r="G750" s="2">
        <v>45838</v>
      </c>
      <c r="H750" s="2">
        <v>45844</v>
      </c>
      <c r="I750" t="s">
        <v>5761</v>
      </c>
      <c r="J750" t="s">
        <v>5772</v>
      </c>
      <c r="K750">
        <v>322811.92</v>
      </c>
      <c r="L750" t="s">
        <v>5773</v>
      </c>
      <c r="M750">
        <v>6</v>
      </c>
    </row>
    <row r="751" spans="1:13" x14ac:dyDescent="0.25">
      <c r="A751">
        <v>750</v>
      </c>
      <c r="B751" t="s">
        <v>762</v>
      </c>
      <c r="C751">
        <v>36</v>
      </c>
      <c r="D751" t="s">
        <v>2948</v>
      </c>
      <c r="E751" t="s">
        <v>2954</v>
      </c>
      <c r="F751" t="s">
        <v>3664</v>
      </c>
      <c r="G751" s="2">
        <v>45826</v>
      </c>
      <c r="H751" s="2">
        <v>45835</v>
      </c>
      <c r="I751" t="s">
        <v>5764</v>
      </c>
      <c r="J751" t="s">
        <v>5771</v>
      </c>
      <c r="K751">
        <v>332405.86</v>
      </c>
      <c r="L751" t="s">
        <v>5774</v>
      </c>
      <c r="M751">
        <v>9</v>
      </c>
    </row>
    <row r="752" spans="1:13" x14ac:dyDescent="0.25">
      <c r="A752">
        <v>751</v>
      </c>
      <c r="B752" t="s">
        <v>763</v>
      </c>
      <c r="C752">
        <v>5</v>
      </c>
      <c r="D752" t="s">
        <v>2948</v>
      </c>
      <c r="E752" t="s">
        <v>2951</v>
      </c>
      <c r="F752" t="s">
        <v>3665</v>
      </c>
      <c r="G752" s="2">
        <v>45882</v>
      </c>
      <c r="H752" s="2">
        <v>45886</v>
      </c>
      <c r="I752" t="s">
        <v>5758</v>
      </c>
      <c r="J752" t="s">
        <v>5772</v>
      </c>
      <c r="K752">
        <v>57724.62</v>
      </c>
      <c r="L752" t="s">
        <v>5773</v>
      </c>
      <c r="M752">
        <v>4</v>
      </c>
    </row>
    <row r="753" spans="1:13" x14ac:dyDescent="0.25">
      <c r="A753">
        <v>752</v>
      </c>
      <c r="B753" t="s">
        <v>764</v>
      </c>
      <c r="C753">
        <v>57</v>
      </c>
      <c r="D753" t="s">
        <v>2948</v>
      </c>
      <c r="E753" t="s">
        <v>2949</v>
      </c>
      <c r="F753" t="s">
        <v>3666</v>
      </c>
      <c r="G753" s="2">
        <v>45558</v>
      </c>
      <c r="H753" s="2">
        <v>45567</v>
      </c>
      <c r="I753" t="s">
        <v>5759</v>
      </c>
      <c r="J753" t="s">
        <v>5770</v>
      </c>
      <c r="K753">
        <v>364680.03</v>
      </c>
      <c r="L753" t="s">
        <v>5773</v>
      </c>
      <c r="M753">
        <v>9</v>
      </c>
    </row>
    <row r="754" spans="1:13" x14ac:dyDescent="0.25">
      <c r="A754">
        <v>753</v>
      </c>
      <c r="B754" t="s">
        <v>765</v>
      </c>
      <c r="C754">
        <v>75</v>
      </c>
      <c r="D754" t="s">
        <v>2947</v>
      </c>
      <c r="E754" t="s">
        <v>2951</v>
      </c>
      <c r="F754" t="s">
        <v>3667</v>
      </c>
      <c r="G754" s="2">
        <v>45824</v>
      </c>
      <c r="H754" s="2">
        <v>45827</v>
      </c>
      <c r="I754" t="s">
        <v>5761</v>
      </c>
      <c r="J754" t="s">
        <v>5769</v>
      </c>
      <c r="K754">
        <v>374616.3</v>
      </c>
      <c r="L754" t="s">
        <v>5774</v>
      </c>
      <c r="M754">
        <v>3</v>
      </c>
    </row>
    <row r="755" spans="1:13" x14ac:dyDescent="0.25">
      <c r="A755">
        <v>754</v>
      </c>
      <c r="B755" t="s">
        <v>766</v>
      </c>
      <c r="C755">
        <v>44</v>
      </c>
      <c r="D755" t="s">
        <v>2947</v>
      </c>
      <c r="E755" t="s">
        <v>2952</v>
      </c>
      <c r="F755" t="s">
        <v>3668</v>
      </c>
      <c r="G755" s="2">
        <v>45594</v>
      </c>
      <c r="H755" s="2">
        <v>45595</v>
      </c>
      <c r="I755" t="s">
        <v>5762</v>
      </c>
      <c r="J755" t="s">
        <v>5768</v>
      </c>
      <c r="K755">
        <v>443200.14</v>
      </c>
      <c r="L755" t="s">
        <v>5774</v>
      </c>
      <c r="M755">
        <v>1</v>
      </c>
    </row>
    <row r="756" spans="1:13" x14ac:dyDescent="0.25">
      <c r="A756">
        <v>755</v>
      </c>
      <c r="B756" t="s">
        <v>767</v>
      </c>
      <c r="C756">
        <v>64</v>
      </c>
      <c r="D756" t="s">
        <v>2947</v>
      </c>
      <c r="E756" t="s">
        <v>2953</v>
      </c>
      <c r="F756" t="s">
        <v>3669</v>
      </c>
      <c r="G756" s="2">
        <v>45912</v>
      </c>
      <c r="H756" s="2">
        <v>45917</v>
      </c>
      <c r="I756" t="s">
        <v>5758</v>
      </c>
      <c r="J756" t="s">
        <v>5770</v>
      </c>
      <c r="K756">
        <v>37171.85</v>
      </c>
      <c r="L756" t="s">
        <v>5775</v>
      </c>
      <c r="M756">
        <v>5</v>
      </c>
    </row>
    <row r="757" spans="1:13" x14ac:dyDescent="0.25">
      <c r="A757">
        <v>756</v>
      </c>
      <c r="B757" t="s">
        <v>768</v>
      </c>
      <c r="C757">
        <v>57</v>
      </c>
      <c r="D757" t="s">
        <v>2948</v>
      </c>
      <c r="E757" t="s">
        <v>2949</v>
      </c>
      <c r="F757" t="s">
        <v>3670</v>
      </c>
      <c r="G757" s="2">
        <v>45906</v>
      </c>
      <c r="H757" s="2">
        <v>45913</v>
      </c>
      <c r="I757" t="s">
        <v>5758</v>
      </c>
      <c r="J757" t="s">
        <v>5768</v>
      </c>
      <c r="K757">
        <v>419695.47</v>
      </c>
      <c r="L757" t="s">
        <v>5774</v>
      </c>
      <c r="M757">
        <v>7</v>
      </c>
    </row>
    <row r="758" spans="1:13" x14ac:dyDescent="0.25">
      <c r="A758">
        <v>757</v>
      </c>
      <c r="B758" t="s">
        <v>769</v>
      </c>
      <c r="C758">
        <v>25</v>
      </c>
      <c r="D758" t="s">
        <v>2947</v>
      </c>
      <c r="E758" t="s">
        <v>2950</v>
      </c>
      <c r="F758" t="s">
        <v>3671</v>
      </c>
      <c r="G758" s="2">
        <v>45905</v>
      </c>
      <c r="H758" s="2">
        <v>45906</v>
      </c>
      <c r="I758" t="s">
        <v>5761</v>
      </c>
      <c r="J758" t="s">
        <v>2949</v>
      </c>
      <c r="K758">
        <v>486177.03</v>
      </c>
      <c r="L758" t="s">
        <v>5773</v>
      </c>
      <c r="M758">
        <v>1</v>
      </c>
    </row>
    <row r="759" spans="1:13" x14ac:dyDescent="0.25">
      <c r="A759">
        <v>758</v>
      </c>
      <c r="B759" t="s">
        <v>770</v>
      </c>
      <c r="C759">
        <v>87</v>
      </c>
      <c r="D759" t="s">
        <v>2948</v>
      </c>
      <c r="E759" t="s">
        <v>2955</v>
      </c>
      <c r="F759" t="s">
        <v>3672</v>
      </c>
      <c r="G759" s="2">
        <v>45820</v>
      </c>
      <c r="H759" s="2">
        <v>45827</v>
      </c>
      <c r="I759" t="s">
        <v>5766</v>
      </c>
      <c r="J759" t="s">
        <v>2949</v>
      </c>
      <c r="K759">
        <v>260501.99</v>
      </c>
      <c r="L759" t="s">
        <v>5775</v>
      </c>
      <c r="M759">
        <v>7</v>
      </c>
    </row>
    <row r="760" spans="1:13" x14ac:dyDescent="0.25">
      <c r="A760">
        <v>759</v>
      </c>
      <c r="B760" t="s">
        <v>771</v>
      </c>
      <c r="C760">
        <v>19</v>
      </c>
      <c r="D760" t="s">
        <v>2948</v>
      </c>
      <c r="E760" t="s">
        <v>2949</v>
      </c>
      <c r="F760" t="s">
        <v>3673</v>
      </c>
      <c r="G760" s="2">
        <v>45639</v>
      </c>
      <c r="H760" s="2">
        <v>45642</v>
      </c>
      <c r="I760" t="s">
        <v>5766</v>
      </c>
      <c r="J760" t="s">
        <v>5772</v>
      </c>
      <c r="K760">
        <v>243482.93</v>
      </c>
      <c r="L760" t="s">
        <v>5774</v>
      </c>
      <c r="M760">
        <v>3</v>
      </c>
    </row>
    <row r="761" spans="1:13" x14ac:dyDescent="0.25">
      <c r="A761">
        <v>760</v>
      </c>
      <c r="B761" t="s">
        <v>772</v>
      </c>
      <c r="C761">
        <v>80</v>
      </c>
      <c r="D761" t="s">
        <v>2948</v>
      </c>
      <c r="E761" t="s">
        <v>2954</v>
      </c>
      <c r="F761" t="s">
        <v>3674</v>
      </c>
      <c r="G761" s="2">
        <v>45684</v>
      </c>
      <c r="H761" s="2">
        <v>45691</v>
      </c>
      <c r="I761" t="s">
        <v>5760</v>
      </c>
      <c r="J761" t="s">
        <v>5769</v>
      </c>
      <c r="K761">
        <v>102733.05</v>
      </c>
      <c r="L761" t="s">
        <v>5773</v>
      </c>
      <c r="M761">
        <v>7</v>
      </c>
    </row>
    <row r="762" spans="1:13" x14ac:dyDescent="0.25">
      <c r="A762">
        <v>761</v>
      </c>
      <c r="B762" t="s">
        <v>773</v>
      </c>
      <c r="C762">
        <v>77</v>
      </c>
      <c r="D762" t="s">
        <v>2947</v>
      </c>
      <c r="E762" t="s">
        <v>2950</v>
      </c>
      <c r="F762" t="s">
        <v>3675</v>
      </c>
      <c r="G762" s="2">
        <v>45767</v>
      </c>
      <c r="H762" s="2">
        <v>45770</v>
      </c>
      <c r="I762" t="s">
        <v>5766</v>
      </c>
      <c r="J762" t="s">
        <v>5771</v>
      </c>
      <c r="K762">
        <v>6965.91</v>
      </c>
      <c r="L762" t="s">
        <v>5773</v>
      </c>
      <c r="M762">
        <v>3</v>
      </c>
    </row>
    <row r="763" spans="1:13" x14ac:dyDescent="0.25">
      <c r="A763">
        <v>762</v>
      </c>
      <c r="B763" t="s">
        <v>774</v>
      </c>
      <c r="C763">
        <v>82</v>
      </c>
      <c r="D763" t="s">
        <v>2947</v>
      </c>
      <c r="E763" t="s">
        <v>2952</v>
      </c>
      <c r="F763" t="s">
        <v>3676</v>
      </c>
      <c r="G763" s="2">
        <v>45732</v>
      </c>
      <c r="H763" s="2">
        <v>45745</v>
      </c>
      <c r="I763" t="s">
        <v>5758</v>
      </c>
      <c r="J763" t="s">
        <v>2949</v>
      </c>
      <c r="K763">
        <v>303391.11</v>
      </c>
      <c r="L763" t="s">
        <v>5773</v>
      </c>
      <c r="M763">
        <v>13</v>
      </c>
    </row>
    <row r="764" spans="1:13" x14ac:dyDescent="0.25">
      <c r="A764">
        <v>763</v>
      </c>
      <c r="B764" t="s">
        <v>775</v>
      </c>
      <c r="C764">
        <v>7</v>
      </c>
      <c r="D764" t="s">
        <v>2948</v>
      </c>
      <c r="E764" t="s">
        <v>2952</v>
      </c>
      <c r="F764" t="s">
        <v>3677</v>
      </c>
      <c r="G764" s="2">
        <v>45761</v>
      </c>
      <c r="H764" s="2">
        <v>45767</v>
      </c>
      <c r="I764" t="s">
        <v>5764</v>
      </c>
      <c r="J764" t="s">
        <v>5771</v>
      </c>
      <c r="K764">
        <v>19248.919999999998</v>
      </c>
      <c r="L764" t="s">
        <v>5774</v>
      </c>
      <c r="M764">
        <v>6</v>
      </c>
    </row>
    <row r="765" spans="1:13" x14ac:dyDescent="0.25">
      <c r="A765">
        <v>764</v>
      </c>
      <c r="B765" t="s">
        <v>776</v>
      </c>
      <c r="C765">
        <v>75</v>
      </c>
      <c r="D765" t="s">
        <v>2947</v>
      </c>
      <c r="E765" t="s">
        <v>2952</v>
      </c>
      <c r="F765" t="s">
        <v>3678</v>
      </c>
      <c r="G765" s="2">
        <v>45618</v>
      </c>
      <c r="H765" s="2">
        <v>45629</v>
      </c>
      <c r="I765" t="s">
        <v>5763</v>
      </c>
      <c r="J765" t="s">
        <v>5770</v>
      </c>
      <c r="K765">
        <v>277198.77</v>
      </c>
      <c r="L765" t="s">
        <v>5774</v>
      </c>
      <c r="M765">
        <v>11</v>
      </c>
    </row>
    <row r="766" spans="1:13" x14ac:dyDescent="0.25">
      <c r="A766">
        <v>765</v>
      </c>
      <c r="B766" t="s">
        <v>777</v>
      </c>
      <c r="C766">
        <v>49</v>
      </c>
      <c r="D766" t="s">
        <v>2947</v>
      </c>
      <c r="E766" t="s">
        <v>2953</v>
      </c>
      <c r="F766" t="s">
        <v>3679</v>
      </c>
      <c r="G766" s="2">
        <v>45887</v>
      </c>
      <c r="H766" s="2">
        <v>45896</v>
      </c>
      <c r="I766" t="s">
        <v>5759</v>
      </c>
      <c r="J766" t="s">
        <v>5772</v>
      </c>
      <c r="K766">
        <v>116151.95</v>
      </c>
      <c r="L766" t="s">
        <v>5773</v>
      </c>
      <c r="M766">
        <v>9</v>
      </c>
    </row>
    <row r="767" spans="1:13" x14ac:dyDescent="0.25">
      <c r="A767">
        <v>766</v>
      </c>
      <c r="B767" t="s">
        <v>778</v>
      </c>
      <c r="C767">
        <v>36</v>
      </c>
      <c r="D767" t="s">
        <v>2948</v>
      </c>
      <c r="E767" t="s">
        <v>2950</v>
      </c>
      <c r="F767" t="s">
        <v>3680</v>
      </c>
      <c r="G767" s="2">
        <v>45565</v>
      </c>
      <c r="H767" s="2">
        <v>45573</v>
      </c>
      <c r="I767" t="s">
        <v>5758</v>
      </c>
      <c r="J767" t="s">
        <v>5768</v>
      </c>
      <c r="K767">
        <v>407200.73</v>
      </c>
      <c r="L767" t="s">
        <v>5775</v>
      </c>
      <c r="M767">
        <v>8</v>
      </c>
    </row>
    <row r="768" spans="1:13" x14ac:dyDescent="0.25">
      <c r="A768">
        <v>767</v>
      </c>
      <c r="B768" t="s">
        <v>779</v>
      </c>
      <c r="C768">
        <v>65</v>
      </c>
      <c r="D768" t="s">
        <v>2948</v>
      </c>
      <c r="E768" t="s">
        <v>2954</v>
      </c>
      <c r="F768" t="s">
        <v>3681</v>
      </c>
      <c r="G768" s="2">
        <v>45567</v>
      </c>
      <c r="H768" s="2">
        <v>45571</v>
      </c>
      <c r="I768" t="s">
        <v>5764</v>
      </c>
      <c r="J768" t="s">
        <v>5771</v>
      </c>
      <c r="K768">
        <v>127066.96</v>
      </c>
      <c r="L768" t="s">
        <v>5775</v>
      </c>
      <c r="M768">
        <v>4</v>
      </c>
    </row>
    <row r="769" spans="1:13" x14ac:dyDescent="0.25">
      <c r="A769">
        <v>768</v>
      </c>
      <c r="B769" t="s">
        <v>780</v>
      </c>
      <c r="C769">
        <v>50</v>
      </c>
      <c r="D769" t="s">
        <v>2948</v>
      </c>
      <c r="E769" t="s">
        <v>2950</v>
      </c>
      <c r="F769" t="s">
        <v>3682</v>
      </c>
      <c r="G769" s="2">
        <v>45731</v>
      </c>
      <c r="H769" s="2">
        <v>45739</v>
      </c>
      <c r="I769" t="s">
        <v>5765</v>
      </c>
      <c r="J769" t="s">
        <v>5772</v>
      </c>
      <c r="K769">
        <v>66468.75</v>
      </c>
      <c r="L769" t="s">
        <v>5775</v>
      </c>
      <c r="M769">
        <v>8</v>
      </c>
    </row>
    <row r="770" spans="1:13" x14ac:dyDescent="0.25">
      <c r="A770">
        <v>769</v>
      </c>
      <c r="B770" t="s">
        <v>781</v>
      </c>
      <c r="C770">
        <v>23</v>
      </c>
      <c r="D770" t="s">
        <v>2947</v>
      </c>
      <c r="E770" t="s">
        <v>2950</v>
      </c>
      <c r="F770" t="s">
        <v>3683</v>
      </c>
      <c r="G770" s="2">
        <v>45593</v>
      </c>
      <c r="H770" s="2">
        <v>45607</v>
      </c>
      <c r="I770" t="s">
        <v>5758</v>
      </c>
      <c r="J770" t="s">
        <v>5768</v>
      </c>
      <c r="K770">
        <v>130306.58</v>
      </c>
      <c r="L770" t="s">
        <v>5774</v>
      </c>
      <c r="M770">
        <v>14</v>
      </c>
    </row>
    <row r="771" spans="1:13" x14ac:dyDescent="0.25">
      <c r="A771">
        <v>770</v>
      </c>
      <c r="B771" t="s">
        <v>782</v>
      </c>
      <c r="C771">
        <v>19</v>
      </c>
      <c r="D771" t="s">
        <v>2948</v>
      </c>
      <c r="E771" t="s">
        <v>2951</v>
      </c>
      <c r="F771" t="s">
        <v>3684</v>
      </c>
      <c r="G771" s="2">
        <v>45772</v>
      </c>
      <c r="H771" s="2">
        <v>45776</v>
      </c>
      <c r="I771" t="s">
        <v>5760</v>
      </c>
      <c r="J771" t="s">
        <v>5771</v>
      </c>
      <c r="K771">
        <v>390581.32</v>
      </c>
      <c r="L771" t="s">
        <v>5775</v>
      </c>
      <c r="M771">
        <v>4</v>
      </c>
    </row>
    <row r="772" spans="1:13" x14ac:dyDescent="0.25">
      <c r="A772">
        <v>771</v>
      </c>
      <c r="B772" t="s">
        <v>783</v>
      </c>
      <c r="C772">
        <v>82</v>
      </c>
      <c r="D772" t="s">
        <v>2948</v>
      </c>
      <c r="E772" t="s">
        <v>2955</v>
      </c>
      <c r="F772" t="s">
        <v>3685</v>
      </c>
      <c r="G772" s="2">
        <v>45652</v>
      </c>
      <c r="H772" s="2">
        <v>45658</v>
      </c>
      <c r="I772" t="s">
        <v>5761</v>
      </c>
      <c r="J772" t="s">
        <v>5769</v>
      </c>
      <c r="K772">
        <v>179282.38</v>
      </c>
      <c r="L772" t="s">
        <v>5774</v>
      </c>
      <c r="M772">
        <v>6</v>
      </c>
    </row>
    <row r="773" spans="1:13" x14ac:dyDescent="0.25">
      <c r="A773">
        <v>772</v>
      </c>
      <c r="B773" t="s">
        <v>784</v>
      </c>
      <c r="C773">
        <v>44</v>
      </c>
      <c r="D773" t="s">
        <v>2947</v>
      </c>
      <c r="E773" t="s">
        <v>2950</v>
      </c>
      <c r="F773" t="s">
        <v>3686</v>
      </c>
      <c r="G773" s="2">
        <v>45618</v>
      </c>
      <c r="H773" s="2">
        <v>45633</v>
      </c>
      <c r="I773" t="s">
        <v>5767</v>
      </c>
      <c r="J773" t="s">
        <v>5769</v>
      </c>
      <c r="K773">
        <v>345702.86</v>
      </c>
      <c r="L773" t="s">
        <v>5773</v>
      </c>
      <c r="M773">
        <v>15</v>
      </c>
    </row>
    <row r="774" spans="1:13" x14ac:dyDescent="0.25">
      <c r="A774">
        <v>773</v>
      </c>
      <c r="B774" t="s">
        <v>785</v>
      </c>
      <c r="C774">
        <v>84</v>
      </c>
      <c r="D774" t="s">
        <v>2947</v>
      </c>
      <c r="E774" t="s">
        <v>2949</v>
      </c>
      <c r="F774" t="s">
        <v>3687</v>
      </c>
      <c r="G774" s="2">
        <v>45755</v>
      </c>
      <c r="H774" s="2">
        <v>45762</v>
      </c>
      <c r="I774" t="s">
        <v>5760</v>
      </c>
      <c r="J774" t="s">
        <v>5770</v>
      </c>
      <c r="K774">
        <v>406607.76</v>
      </c>
      <c r="L774" t="s">
        <v>5774</v>
      </c>
      <c r="M774">
        <v>7</v>
      </c>
    </row>
    <row r="775" spans="1:13" x14ac:dyDescent="0.25">
      <c r="A775">
        <v>774</v>
      </c>
      <c r="B775" t="s">
        <v>786</v>
      </c>
      <c r="C775">
        <v>89</v>
      </c>
      <c r="D775" t="s">
        <v>2948</v>
      </c>
      <c r="E775" t="s">
        <v>2950</v>
      </c>
      <c r="F775" t="s">
        <v>3688</v>
      </c>
      <c r="G775" s="2">
        <v>45620</v>
      </c>
      <c r="H775" s="2">
        <v>45623</v>
      </c>
      <c r="I775" t="s">
        <v>5767</v>
      </c>
      <c r="J775" t="s">
        <v>2949</v>
      </c>
      <c r="K775">
        <v>154436.56</v>
      </c>
      <c r="L775" t="s">
        <v>5775</v>
      </c>
      <c r="M775">
        <v>3</v>
      </c>
    </row>
    <row r="776" spans="1:13" x14ac:dyDescent="0.25">
      <c r="A776">
        <v>775</v>
      </c>
      <c r="B776" t="s">
        <v>787</v>
      </c>
      <c r="C776">
        <v>19</v>
      </c>
      <c r="D776" t="s">
        <v>2948</v>
      </c>
      <c r="E776" t="s">
        <v>2955</v>
      </c>
      <c r="F776" t="s">
        <v>3689</v>
      </c>
      <c r="G776" s="2">
        <v>45686</v>
      </c>
      <c r="H776" s="2">
        <v>45699</v>
      </c>
      <c r="I776" t="s">
        <v>5758</v>
      </c>
      <c r="J776" t="s">
        <v>5769</v>
      </c>
      <c r="K776">
        <v>354168.68</v>
      </c>
      <c r="L776" t="s">
        <v>5773</v>
      </c>
      <c r="M776">
        <v>13</v>
      </c>
    </row>
    <row r="777" spans="1:13" x14ac:dyDescent="0.25">
      <c r="A777">
        <v>776</v>
      </c>
      <c r="B777" t="s">
        <v>788</v>
      </c>
      <c r="C777">
        <v>2</v>
      </c>
      <c r="D777" t="s">
        <v>2948</v>
      </c>
      <c r="E777" t="s">
        <v>2954</v>
      </c>
      <c r="F777" t="s">
        <v>3690</v>
      </c>
      <c r="G777" s="2">
        <v>45576</v>
      </c>
      <c r="H777" s="2">
        <v>45586</v>
      </c>
      <c r="I777" t="s">
        <v>5767</v>
      </c>
      <c r="J777" t="s">
        <v>5768</v>
      </c>
      <c r="K777">
        <v>407267.91</v>
      </c>
      <c r="L777" t="s">
        <v>5774</v>
      </c>
      <c r="M777">
        <v>10</v>
      </c>
    </row>
    <row r="778" spans="1:13" x14ac:dyDescent="0.25">
      <c r="A778">
        <v>777</v>
      </c>
      <c r="B778" t="s">
        <v>789</v>
      </c>
      <c r="C778">
        <v>5</v>
      </c>
      <c r="D778" t="s">
        <v>2948</v>
      </c>
      <c r="E778" t="s">
        <v>2954</v>
      </c>
      <c r="F778" t="s">
        <v>3691</v>
      </c>
      <c r="G778" s="2">
        <v>45586</v>
      </c>
      <c r="H778" s="2">
        <v>45597</v>
      </c>
      <c r="I778" t="s">
        <v>5758</v>
      </c>
      <c r="J778" t="s">
        <v>5770</v>
      </c>
      <c r="K778">
        <v>115898.04</v>
      </c>
      <c r="L778" t="s">
        <v>5773</v>
      </c>
      <c r="M778">
        <v>11</v>
      </c>
    </row>
    <row r="779" spans="1:13" x14ac:dyDescent="0.25">
      <c r="A779">
        <v>778</v>
      </c>
      <c r="B779" t="s">
        <v>790</v>
      </c>
      <c r="C779">
        <v>65</v>
      </c>
      <c r="D779" t="s">
        <v>2948</v>
      </c>
      <c r="E779" t="s">
        <v>2949</v>
      </c>
      <c r="F779" t="s">
        <v>3692</v>
      </c>
      <c r="G779" s="2">
        <v>45892</v>
      </c>
      <c r="H779" s="2">
        <v>45900</v>
      </c>
      <c r="I779" t="s">
        <v>5759</v>
      </c>
      <c r="J779" t="s">
        <v>5769</v>
      </c>
      <c r="K779">
        <v>178918.41</v>
      </c>
      <c r="L779" t="s">
        <v>5774</v>
      </c>
      <c r="M779">
        <v>8</v>
      </c>
    </row>
    <row r="780" spans="1:13" x14ac:dyDescent="0.25">
      <c r="A780">
        <v>779</v>
      </c>
      <c r="B780" t="s">
        <v>791</v>
      </c>
      <c r="C780">
        <v>45</v>
      </c>
      <c r="D780" t="s">
        <v>2947</v>
      </c>
      <c r="E780" t="s">
        <v>2952</v>
      </c>
      <c r="F780" t="s">
        <v>3693</v>
      </c>
      <c r="G780" s="2">
        <v>45712</v>
      </c>
      <c r="H780" s="2">
        <v>45719</v>
      </c>
      <c r="I780" t="s">
        <v>5762</v>
      </c>
      <c r="J780" t="s">
        <v>2949</v>
      </c>
      <c r="K780">
        <v>377346.57</v>
      </c>
      <c r="L780" t="s">
        <v>5775</v>
      </c>
      <c r="M780">
        <v>7</v>
      </c>
    </row>
    <row r="781" spans="1:13" x14ac:dyDescent="0.25">
      <c r="A781">
        <v>780</v>
      </c>
      <c r="B781" t="s">
        <v>792</v>
      </c>
      <c r="C781">
        <v>60</v>
      </c>
      <c r="D781" t="s">
        <v>2947</v>
      </c>
      <c r="E781" t="s">
        <v>2952</v>
      </c>
      <c r="F781" t="s">
        <v>3694</v>
      </c>
      <c r="G781" s="2">
        <v>45902</v>
      </c>
      <c r="H781" s="2">
        <v>45907</v>
      </c>
      <c r="I781" t="s">
        <v>5761</v>
      </c>
      <c r="J781" t="s">
        <v>5768</v>
      </c>
      <c r="K781">
        <v>237960.62</v>
      </c>
      <c r="L781" t="s">
        <v>5774</v>
      </c>
      <c r="M781">
        <v>5</v>
      </c>
    </row>
    <row r="782" spans="1:13" x14ac:dyDescent="0.25">
      <c r="A782">
        <v>781</v>
      </c>
      <c r="B782" t="s">
        <v>793</v>
      </c>
      <c r="C782">
        <v>24</v>
      </c>
      <c r="D782" t="s">
        <v>2947</v>
      </c>
      <c r="E782" t="s">
        <v>2953</v>
      </c>
      <c r="F782" t="s">
        <v>3695</v>
      </c>
      <c r="G782" s="2">
        <v>45656</v>
      </c>
      <c r="H782" s="2">
        <v>45664</v>
      </c>
      <c r="I782" t="s">
        <v>5763</v>
      </c>
      <c r="J782" t="s">
        <v>5772</v>
      </c>
      <c r="K782">
        <v>41111.43</v>
      </c>
      <c r="L782" t="s">
        <v>5774</v>
      </c>
      <c r="M782">
        <v>8</v>
      </c>
    </row>
    <row r="783" spans="1:13" x14ac:dyDescent="0.25">
      <c r="A783">
        <v>782</v>
      </c>
      <c r="B783" t="s">
        <v>794</v>
      </c>
      <c r="C783">
        <v>13</v>
      </c>
      <c r="D783" t="s">
        <v>2948</v>
      </c>
      <c r="E783" t="s">
        <v>2955</v>
      </c>
      <c r="F783" t="s">
        <v>3696</v>
      </c>
      <c r="G783" s="2">
        <v>45611</v>
      </c>
      <c r="H783" s="2">
        <v>45616</v>
      </c>
      <c r="I783" t="s">
        <v>5760</v>
      </c>
      <c r="J783" t="s">
        <v>5771</v>
      </c>
      <c r="K783">
        <v>19369.740000000002</v>
      </c>
      <c r="L783" t="s">
        <v>5773</v>
      </c>
      <c r="M783">
        <v>5</v>
      </c>
    </row>
    <row r="784" spans="1:13" x14ac:dyDescent="0.25">
      <c r="A784">
        <v>783</v>
      </c>
      <c r="B784" t="s">
        <v>795</v>
      </c>
      <c r="C784">
        <v>63</v>
      </c>
      <c r="D784" t="s">
        <v>2948</v>
      </c>
      <c r="E784" t="s">
        <v>2954</v>
      </c>
      <c r="F784" t="s">
        <v>3697</v>
      </c>
      <c r="G784" s="2">
        <v>45692</v>
      </c>
      <c r="H784" s="2">
        <v>45704</v>
      </c>
      <c r="I784" t="s">
        <v>5765</v>
      </c>
      <c r="J784" t="s">
        <v>5768</v>
      </c>
      <c r="K784">
        <v>186308.51</v>
      </c>
      <c r="L784" t="s">
        <v>5774</v>
      </c>
      <c r="M784">
        <v>12</v>
      </c>
    </row>
    <row r="785" spans="1:13" x14ac:dyDescent="0.25">
      <c r="A785">
        <v>784</v>
      </c>
      <c r="B785" t="s">
        <v>796</v>
      </c>
      <c r="C785">
        <v>43</v>
      </c>
      <c r="D785" t="s">
        <v>2947</v>
      </c>
      <c r="E785" t="s">
        <v>2951</v>
      </c>
      <c r="F785" t="s">
        <v>3698</v>
      </c>
      <c r="G785" s="2">
        <v>45663</v>
      </c>
      <c r="H785" s="2">
        <v>45672</v>
      </c>
      <c r="I785" t="s">
        <v>5758</v>
      </c>
      <c r="J785" t="s">
        <v>5772</v>
      </c>
      <c r="K785">
        <v>415128.2</v>
      </c>
      <c r="L785" t="s">
        <v>5774</v>
      </c>
      <c r="M785">
        <v>9</v>
      </c>
    </row>
    <row r="786" spans="1:13" x14ac:dyDescent="0.25">
      <c r="A786">
        <v>785</v>
      </c>
      <c r="B786" t="s">
        <v>797</v>
      </c>
      <c r="C786">
        <v>28</v>
      </c>
      <c r="D786" t="s">
        <v>2947</v>
      </c>
      <c r="E786" t="s">
        <v>2952</v>
      </c>
      <c r="F786" t="s">
        <v>3699</v>
      </c>
      <c r="G786" s="2">
        <v>45749</v>
      </c>
      <c r="H786" s="2">
        <v>45760</v>
      </c>
      <c r="I786" t="s">
        <v>5767</v>
      </c>
      <c r="J786" t="s">
        <v>5771</v>
      </c>
      <c r="K786">
        <v>90556.32</v>
      </c>
      <c r="L786" t="s">
        <v>5773</v>
      </c>
      <c r="M786">
        <v>11</v>
      </c>
    </row>
    <row r="787" spans="1:13" x14ac:dyDescent="0.25">
      <c r="A787">
        <v>786</v>
      </c>
      <c r="B787" t="s">
        <v>798</v>
      </c>
      <c r="C787">
        <v>70</v>
      </c>
      <c r="D787" t="s">
        <v>2947</v>
      </c>
      <c r="E787" t="s">
        <v>2951</v>
      </c>
      <c r="F787" t="s">
        <v>3700</v>
      </c>
      <c r="G787" s="2">
        <v>45719</v>
      </c>
      <c r="H787" s="2">
        <v>45723</v>
      </c>
      <c r="I787" t="s">
        <v>5760</v>
      </c>
      <c r="J787" t="s">
        <v>2949</v>
      </c>
      <c r="K787">
        <v>462909.6</v>
      </c>
      <c r="L787" t="s">
        <v>5775</v>
      </c>
      <c r="M787">
        <v>4</v>
      </c>
    </row>
    <row r="788" spans="1:13" x14ac:dyDescent="0.25">
      <c r="A788">
        <v>787</v>
      </c>
      <c r="B788" t="s">
        <v>799</v>
      </c>
      <c r="C788">
        <v>57</v>
      </c>
      <c r="D788" t="s">
        <v>2947</v>
      </c>
      <c r="E788" t="s">
        <v>2950</v>
      </c>
      <c r="F788" t="s">
        <v>3701</v>
      </c>
      <c r="G788" s="2">
        <v>45862</v>
      </c>
      <c r="H788" s="2">
        <v>45872</v>
      </c>
      <c r="I788" t="s">
        <v>5758</v>
      </c>
      <c r="J788" t="s">
        <v>5771</v>
      </c>
      <c r="K788">
        <v>41040.26</v>
      </c>
      <c r="L788" t="s">
        <v>5773</v>
      </c>
      <c r="M788">
        <v>10</v>
      </c>
    </row>
    <row r="789" spans="1:13" x14ac:dyDescent="0.25">
      <c r="A789">
        <v>788</v>
      </c>
      <c r="B789" t="s">
        <v>800</v>
      </c>
      <c r="C789">
        <v>89</v>
      </c>
      <c r="D789" t="s">
        <v>2947</v>
      </c>
      <c r="E789" t="s">
        <v>2954</v>
      </c>
      <c r="F789" t="s">
        <v>3702</v>
      </c>
      <c r="G789" s="2">
        <v>45741</v>
      </c>
      <c r="H789" s="2">
        <v>45746</v>
      </c>
      <c r="I789" t="s">
        <v>5760</v>
      </c>
      <c r="J789" t="s">
        <v>5768</v>
      </c>
      <c r="K789">
        <v>134472.17000000001</v>
      </c>
      <c r="L789" t="s">
        <v>5774</v>
      </c>
      <c r="M789">
        <v>5</v>
      </c>
    </row>
    <row r="790" spans="1:13" x14ac:dyDescent="0.25">
      <c r="A790">
        <v>789</v>
      </c>
      <c r="B790" t="s">
        <v>801</v>
      </c>
      <c r="C790">
        <v>7</v>
      </c>
      <c r="D790" t="s">
        <v>2947</v>
      </c>
      <c r="E790" t="s">
        <v>2952</v>
      </c>
      <c r="F790" t="s">
        <v>3703</v>
      </c>
      <c r="G790" s="2">
        <v>45767</v>
      </c>
      <c r="H790" s="2">
        <v>45775</v>
      </c>
      <c r="I790" t="s">
        <v>5761</v>
      </c>
      <c r="J790" t="s">
        <v>5769</v>
      </c>
      <c r="K790">
        <v>486582.27</v>
      </c>
      <c r="L790" t="s">
        <v>5774</v>
      </c>
      <c r="M790">
        <v>8</v>
      </c>
    </row>
    <row r="791" spans="1:13" x14ac:dyDescent="0.25">
      <c r="A791">
        <v>790</v>
      </c>
      <c r="B791" t="s">
        <v>802</v>
      </c>
      <c r="C791">
        <v>48</v>
      </c>
      <c r="D791" t="s">
        <v>2947</v>
      </c>
      <c r="E791" t="s">
        <v>2953</v>
      </c>
      <c r="F791" t="s">
        <v>3704</v>
      </c>
      <c r="G791" s="2">
        <v>45621</v>
      </c>
      <c r="H791" s="2">
        <v>45632</v>
      </c>
      <c r="I791" t="s">
        <v>5766</v>
      </c>
      <c r="J791" t="s">
        <v>5772</v>
      </c>
      <c r="K791">
        <v>67051.88</v>
      </c>
      <c r="L791" t="s">
        <v>5775</v>
      </c>
      <c r="M791">
        <v>11</v>
      </c>
    </row>
    <row r="792" spans="1:13" x14ac:dyDescent="0.25">
      <c r="A792">
        <v>791</v>
      </c>
      <c r="B792" t="s">
        <v>803</v>
      </c>
      <c r="C792">
        <v>6</v>
      </c>
      <c r="D792" t="s">
        <v>2947</v>
      </c>
      <c r="E792" t="s">
        <v>2950</v>
      </c>
      <c r="F792" t="s">
        <v>3705</v>
      </c>
      <c r="G792" s="2">
        <v>45561</v>
      </c>
      <c r="H792" s="2">
        <v>45576</v>
      </c>
      <c r="I792" t="s">
        <v>5766</v>
      </c>
      <c r="J792" t="s">
        <v>5770</v>
      </c>
      <c r="K792">
        <v>62475.1</v>
      </c>
      <c r="L792" t="s">
        <v>5774</v>
      </c>
      <c r="M792">
        <v>15</v>
      </c>
    </row>
    <row r="793" spans="1:13" x14ac:dyDescent="0.25">
      <c r="A793">
        <v>792</v>
      </c>
      <c r="B793" t="s">
        <v>804</v>
      </c>
      <c r="C793">
        <v>31</v>
      </c>
      <c r="D793" t="s">
        <v>2948</v>
      </c>
      <c r="E793" t="s">
        <v>2955</v>
      </c>
      <c r="F793" t="s">
        <v>3706</v>
      </c>
      <c r="G793" s="2">
        <v>45874</v>
      </c>
      <c r="H793" s="2">
        <v>45884</v>
      </c>
      <c r="I793" t="s">
        <v>5759</v>
      </c>
      <c r="J793" t="s">
        <v>5770</v>
      </c>
      <c r="K793">
        <v>217397.93</v>
      </c>
      <c r="L793" t="s">
        <v>5774</v>
      </c>
      <c r="M793">
        <v>10</v>
      </c>
    </row>
    <row r="794" spans="1:13" x14ac:dyDescent="0.25">
      <c r="A794">
        <v>793</v>
      </c>
      <c r="B794" t="s">
        <v>805</v>
      </c>
      <c r="C794">
        <v>34</v>
      </c>
      <c r="D794" t="s">
        <v>2947</v>
      </c>
      <c r="E794" t="s">
        <v>2949</v>
      </c>
      <c r="F794" t="s">
        <v>3707</v>
      </c>
      <c r="G794" s="2">
        <v>45646</v>
      </c>
      <c r="H794" s="2">
        <v>45657</v>
      </c>
      <c r="I794" t="s">
        <v>5765</v>
      </c>
      <c r="J794" t="s">
        <v>5771</v>
      </c>
      <c r="K794">
        <v>178920.88</v>
      </c>
      <c r="L794" t="s">
        <v>5774</v>
      </c>
      <c r="M794">
        <v>11</v>
      </c>
    </row>
    <row r="795" spans="1:13" x14ac:dyDescent="0.25">
      <c r="A795">
        <v>794</v>
      </c>
      <c r="B795" t="s">
        <v>806</v>
      </c>
      <c r="C795">
        <v>1</v>
      </c>
      <c r="D795" t="s">
        <v>2948</v>
      </c>
      <c r="E795" t="s">
        <v>2955</v>
      </c>
      <c r="F795" t="s">
        <v>3708</v>
      </c>
      <c r="G795" s="2">
        <v>45791</v>
      </c>
      <c r="H795" s="2">
        <v>45805</v>
      </c>
      <c r="I795" t="s">
        <v>5758</v>
      </c>
      <c r="J795" t="s">
        <v>2949</v>
      </c>
      <c r="K795">
        <v>217929.29</v>
      </c>
      <c r="L795" t="s">
        <v>5774</v>
      </c>
      <c r="M795">
        <v>14</v>
      </c>
    </row>
    <row r="796" spans="1:13" x14ac:dyDescent="0.25">
      <c r="A796">
        <v>795</v>
      </c>
      <c r="B796" t="s">
        <v>807</v>
      </c>
      <c r="C796">
        <v>85</v>
      </c>
      <c r="D796" t="s">
        <v>2947</v>
      </c>
      <c r="E796" t="s">
        <v>2953</v>
      </c>
      <c r="F796" t="s">
        <v>3709</v>
      </c>
      <c r="G796" s="2">
        <v>45554</v>
      </c>
      <c r="H796" s="2">
        <v>45563</v>
      </c>
      <c r="I796" t="s">
        <v>5764</v>
      </c>
      <c r="J796" t="s">
        <v>5772</v>
      </c>
      <c r="K796">
        <v>482947.78</v>
      </c>
      <c r="L796" t="s">
        <v>5775</v>
      </c>
      <c r="M796">
        <v>9</v>
      </c>
    </row>
    <row r="797" spans="1:13" x14ac:dyDescent="0.25">
      <c r="A797">
        <v>796</v>
      </c>
      <c r="B797" t="s">
        <v>808</v>
      </c>
      <c r="C797">
        <v>31</v>
      </c>
      <c r="D797" t="s">
        <v>2947</v>
      </c>
      <c r="E797" t="s">
        <v>2954</v>
      </c>
      <c r="F797" t="s">
        <v>3710</v>
      </c>
      <c r="G797" s="2">
        <v>45561</v>
      </c>
      <c r="H797" s="2">
        <v>45565</v>
      </c>
      <c r="I797" t="s">
        <v>5763</v>
      </c>
      <c r="J797" t="s">
        <v>2949</v>
      </c>
      <c r="K797">
        <v>17379.87</v>
      </c>
      <c r="L797" t="s">
        <v>5775</v>
      </c>
      <c r="M797">
        <v>4</v>
      </c>
    </row>
    <row r="798" spans="1:13" x14ac:dyDescent="0.25">
      <c r="A798">
        <v>797</v>
      </c>
      <c r="B798" t="s">
        <v>809</v>
      </c>
      <c r="C798">
        <v>41</v>
      </c>
      <c r="D798" t="s">
        <v>2948</v>
      </c>
      <c r="E798" t="s">
        <v>2953</v>
      </c>
      <c r="F798" t="s">
        <v>3711</v>
      </c>
      <c r="G798" s="2">
        <v>45740</v>
      </c>
      <c r="H798" s="2">
        <v>45743</v>
      </c>
      <c r="I798" t="s">
        <v>5762</v>
      </c>
      <c r="J798" t="s">
        <v>2949</v>
      </c>
      <c r="K798">
        <v>234684.72</v>
      </c>
      <c r="L798" t="s">
        <v>5773</v>
      </c>
      <c r="M798">
        <v>3</v>
      </c>
    </row>
    <row r="799" spans="1:13" x14ac:dyDescent="0.25">
      <c r="A799">
        <v>798</v>
      </c>
      <c r="B799" t="s">
        <v>810</v>
      </c>
      <c r="C799">
        <v>33</v>
      </c>
      <c r="D799" t="s">
        <v>2948</v>
      </c>
      <c r="E799" t="s">
        <v>2955</v>
      </c>
      <c r="F799" t="s">
        <v>3712</v>
      </c>
      <c r="G799" s="2">
        <v>45820</v>
      </c>
      <c r="H799" s="2">
        <v>45834</v>
      </c>
      <c r="I799" t="s">
        <v>5760</v>
      </c>
      <c r="J799" t="s">
        <v>5771</v>
      </c>
      <c r="K799">
        <v>316612</v>
      </c>
      <c r="L799" t="s">
        <v>5773</v>
      </c>
      <c r="M799">
        <v>14</v>
      </c>
    </row>
    <row r="800" spans="1:13" x14ac:dyDescent="0.25">
      <c r="A800">
        <v>799</v>
      </c>
      <c r="B800" t="s">
        <v>811</v>
      </c>
      <c r="C800">
        <v>60</v>
      </c>
      <c r="D800" t="s">
        <v>2948</v>
      </c>
      <c r="E800" t="s">
        <v>2954</v>
      </c>
      <c r="F800" t="s">
        <v>3713</v>
      </c>
      <c r="G800" s="2">
        <v>45728</v>
      </c>
      <c r="H800" s="2">
        <v>45732</v>
      </c>
      <c r="I800" t="s">
        <v>5765</v>
      </c>
      <c r="J800" t="s">
        <v>5769</v>
      </c>
      <c r="K800">
        <v>439882.06</v>
      </c>
      <c r="L800" t="s">
        <v>5775</v>
      </c>
      <c r="M800">
        <v>4</v>
      </c>
    </row>
    <row r="801" spans="1:13" x14ac:dyDescent="0.25">
      <c r="A801">
        <v>800</v>
      </c>
      <c r="B801" t="s">
        <v>812</v>
      </c>
      <c r="C801">
        <v>62</v>
      </c>
      <c r="D801" t="s">
        <v>2948</v>
      </c>
      <c r="E801" t="s">
        <v>2951</v>
      </c>
      <c r="F801" t="s">
        <v>3714</v>
      </c>
      <c r="G801" s="2">
        <v>45636</v>
      </c>
      <c r="H801" s="2">
        <v>45644</v>
      </c>
      <c r="I801" t="s">
        <v>5758</v>
      </c>
      <c r="J801" t="s">
        <v>2949</v>
      </c>
      <c r="K801">
        <v>36110.83</v>
      </c>
      <c r="L801" t="s">
        <v>5773</v>
      </c>
      <c r="M801">
        <v>8</v>
      </c>
    </row>
    <row r="802" spans="1:13" x14ac:dyDescent="0.25">
      <c r="A802">
        <v>801</v>
      </c>
      <c r="B802" t="s">
        <v>813</v>
      </c>
      <c r="C802">
        <v>18</v>
      </c>
      <c r="D802" t="s">
        <v>2948</v>
      </c>
      <c r="E802" t="s">
        <v>2950</v>
      </c>
      <c r="F802" t="s">
        <v>3715</v>
      </c>
      <c r="G802" s="2">
        <v>45670</v>
      </c>
      <c r="H802" s="2">
        <v>45676</v>
      </c>
      <c r="I802" t="s">
        <v>5760</v>
      </c>
      <c r="J802" t="s">
        <v>5771</v>
      </c>
      <c r="K802">
        <v>39804.080000000002</v>
      </c>
      <c r="L802" t="s">
        <v>5774</v>
      </c>
      <c r="M802">
        <v>6</v>
      </c>
    </row>
    <row r="803" spans="1:13" x14ac:dyDescent="0.25">
      <c r="A803">
        <v>802</v>
      </c>
      <c r="B803" t="s">
        <v>814</v>
      </c>
      <c r="C803">
        <v>4</v>
      </c>
      <c r="D803" t="s">
        <v>2947</v>
      </c>
      <c r="E803" t="s">
        <v>2949</v>
      </c>
      <c r="F803" t="s">
        <v>3716</v>
      </c>
      <c r="G803" s="2">
        <v>45844</v>
      </c>
      <c r="H803" s="2">
        <v>45854</v>
      </c>
      <c r="I803" t="s">
        <v>5762</v>
      </c>
      <c r="J803" t="s">
        <v>5768</v>
      </c>
      <c r="K803">
        <v>97133.48</v>
      </c>
      <c r="L803" t="s">
        <v>5774</v>
      </c>
      <c r="M803">
        <v>10</v>
      </c>
    </row>
    <row r="804" spans="1:13" x14ac:dyDescent="0.25">
      <c r="A804">
        <v>803</v>
      </c>
      <c r="B804" t="s">
        <v>815</v>
      </c>
      <c r="C804">
        <v>62</v>
      </c>
      <c r="D804" t="s">
        <v>2948</v>
      </c>
      <c r="E804" t="s">
        <v>2953</v>
      </c>
      <c r="F804" t="s">
        <v>3717</v>
      </c>
      <c r="G804" s="2">
        <v>45728</v>
      </c>
      <c r="H804" s="2">
        <v>45741</v>
      </c>
      <c r="I804" t="s">
        <v>5763</v>
      </c>
      <c r="J804" t="s">
        <v>5771</v>
      </c>
      <c r="K804">
        <v>228560.95</v>
      </c>
      <c r="L804" t="s">
        <v>5775</v>
      </c>
      <c r="M804">
        <v>13</v>
      </c>
    </row>
    <row r="805" spans="1:13" x14ac:dyDescent="0.25">
      <c r="A805">
        <v>804</v>
      </c>
      <c r="B805" t="s">
        <v>816</v>
      </c>
      <c r="C805">
        <v>6</v>
      </c>
      <c r="D805" t="s">
        <v>2948</v>
      </c>
      <c r="E805" t="s">
        <v>2955</v>
      </c>
      <c r="F805" t="s">
        <v>3718</v>
      </c>
      <c r="G805" s="2">
        <v>45801</v>
      </c>
      <c r="H805" s="2">
        <v>45803</v>
      </c>
      <c r="I805" t="s">
        <v>5765</v>
      </c>
      <c r="J805" t="s">
        <v>5771</v>
      </c>
      <c r="K805">
        <v>469173.92</v>
      </c>
      <c r="L805" t="s">
        <v>5773</v>
      </c>
      <c r="M805">
        <v>2</v>
      </c>
    </row>
    <row r="806" spans="1:13" x14ac:dyDescent="0.25">
      <c r="A806">
        <v>805</v>
      </c>
      <c r="B806" t="s">
        <v>817</v>
      </c>
      <c r="C806">
        <v>37</v>
      </c>
      <c r="D806" t="s">
        <v>2948</v>
      </c>
      <c r="E806" t="s">
        <v>2950</v>
      </c>
      <c r="F806" t="s">
        <v>3719</v>
      </c>
      <c r="G806" s="2">
        <v>45842</v>
      </c>
      <c r="H806" s="2">
        <v>45845</v>
      </c>
      <c r="I806" t="s">
        <v>5765</v>
      </c>
      <c r="J806" t="s">
        <v>5772</v>
      </c>
      <c r="K806">
        <v>97961.24</v>
      </c>
      <c r="L806" t="s">
        <v>5775</v>
      </c>
      <c r="M806">
        <v>3</v>
      </c>
    </row>
    <row r="807" spans="1:13" x14ac:dyDescent="0.25">
      <c r="A807">
        <v>806</v>
      </c>
      <c r="B807" t="s">
        <v>818</v>
      </c>
      <c r="C807">
        <v>8</v>
      </c>
      <c r="D807" t="s">
        <v>2947</v>
      </c>
      <c r="E807" t="s">
        <v>2955</v>
      </c>
      <c r="F807" t="s">
        <v>3720</v>
      </c>
      <c r="G807" s="2">
        <v>45751</v>
      </c>
      <c r="H807" s="2">
        <v>45757</v>
      </c>
      <c r="I807" t="s">
        <v>5759</v>
      </c>
      <c r="J807" t="s">
        <v>5769</v>
      </c>
      <c r="K807">
        <v>131877.96</v>
      </c>
      <c r="L807" t="s">
        <v>5773</v>
      </c>
      <c r="M807">
        <v>6</v>
      </c>
    </row>
    <row r="808" spans="1:13" x14ac:dyDescent="0.25">
      <c r="A808">
        <v>807</v>
      </c>
      <c r="B808" t="s">
        <v>819</v>
      </c>
      <c r="C808">
        <v>37</v>
      </c>
      <c r="D808" t="s">
        <v>2947</v>
      </c>
      <c r="E808" t="s">
        <v>2949</v>
      </c>
      <c r="F808" t="s">
        <v>3721</v>
      </c>
      <c r="G808" s="2">
        <v>45568</v>
      </c>
      <c r="H808" s="2">
        <v>45581</v>
      </c>
      <c r="I808" t="s">
        <v>5758</v>
      </c>
      <c r="J808" t="s">
        <v>5768</v>
      </c>
      <c r="K808">
        <v>231614.62</v>
      </c>
      <c r="L808" t="s">
        <v>5773</v>
      </c>
      <c r="M808">
        <v>13</v>
      </c>
    </row>
    <row r="809" spans="1:13" x14ac:dyDescent="0.25">
      <c r="A809">
        <v>808</v>
      </c>
      <c r="B809" t="s">
        <v>820</v>
      </c>
      <c r="C809">
        <v>23</v>
      </c>
      <c r="D809" t="s">
        <v>2948</v>
      </c>
      <c r="E809" t="s">
        <v>2954</v>
      </c>
      <c r="F809" t="s">
        <v>3722</v>
      </c>
      <c r="G809" s="2">
        <v>45894</v>
      </c>
      <c r="H809" s="2">
        <v>45895</v>
      </c>
      <c r="I809" t="s">
        <v>5759</v>
      </c>
      <c r="J809" t="s">
        <v>5769</v>
      </c>
      <c r="K809">
        <v>323279.28000000003</v>
      </c>
      <c r="L809" t="s">
        <v>5773</v>
      </c>
      <c r="M809">
        <v>1</v>
      </c>
    </row>
    <row r="810" spans="1:13" x14ac:dyDescent="0.25">
      <c r="A810">
        <v>809</v>
      </c>
      <c r="B810" t="s">
        <v>821</v>
      </c>
      <c r="C810">
        <v>5</v>
      </c>
      <c r="D810" t="s">
        <v>2947</v>
      </c>
      <c r="E810" t="s">
        <v>2949</v>
      </c>
      <c r="F810" t="s">
        <v>3723</v>
      </c>
      <c r="G810" s="2">
        <v>45710</v>
      </c>
      <c r="H810" s="2">
        <v>45725</v>
      </c>
      <c r="I810" t="s">
        <v>5763</v>
      </c>
      <c r="J810" t="s">
        <v>5772</v>
      </c>
      <c r="K810">
        <v>106147.32</v>
      </c>
      <c r="L810" t="s">
        <v>5774</v>
      </c>
      <c r="M810">
        <v>15</v>
      </c>
    </row>
    <row r="811" spans="1:13" x14ac:dyDescent="0.25">
      <c r="A811">
        <v>810</v>
      </c>
      <c r="B811" t="s">
        <v>822</v>
      </c>
      <c r="C811">
        <v>35</v>
      </c>
      <c r="D811" t="s">
        <v>2947</v>
      </c>
      <c r="E811" t="s">
        <v>2949</v>
      </c>
      <c r="F811" t="s">
        <v>3724</v>
      </c>
      <c r="G811" s="2">
        <v>45771</v>
      </c>
      <c r="H811" s="2">
        <v>45784</v>
      </c>
      <c r="I811" t="s">
        <v>5763</v>
      </c>
      <c r="J811" t="s">
        <v>5769</v>
      </c>
      <c r="K811">
        <v>433688.98</v>
      </c>
      <c r="L811" t="s">
        <v>5773</v>
      </c>
      <c r="M811">
        <v>13</v>
      </c>
    </row>
    <row r="812" spans="1:13" x14ac:dyDescent="0.25">
      <c r="A812">
        <v>811</v>
      </c>
      <c r="B812" t="s">
        <v>823</v>
      </c>
      <c r="C812">
        <v>31</v>
      </c>
      <c r="D812" t="s">
        <v>2947</v>
      </c>
      <c r="E812" t="s">
        <v>2955</v>
      </c>
      <c r="F812" t="s">
        <v>3725</v>
      </c>
      <c r="G812" s="2">
        <v>45715</v>
      </c>
      <c r="H812" s="2">
        <v>45728</v>
      </c>
      <c r="I812" t="s">
        <v>5767</v>
      </c>
      <c r="J812" t="s">
        <v>5770</v>
      </c>
      <c r="K812">
        <v>369954.01</v>
      </c>
      <c r="L812" t="s">
        <v>5774</v>
      </c>
      <c r="M812">
        <v>13</v>
      </c>
    </row>
    <row r="813" spans="1:13" x14ac:dyDescent="0.25">
      <c r="A813">
        <v>812</v>
      </c>
      <c r="B813" t="s">
        <v>824</v>
      </c>
      <c r="C813">
        <v>3</v>
      </c>
      <c r="D813" t="s">
        <v>2947</v>
      </c>
      <c r="E813" t="s">
        <v>2953</v>
      </c>
      <c r="F813" t="s">
        <v>3726</v>
      </c>
      <c r="G813" s="2">
        <v>45652</v>
      </c>
      <c r="H813" s="2">
        <v>45664</v>
      </c>
      <c r="I813" t="s">
        <v>5764</v>
      </c>
      <c r="J813" t="s">
        <v>2949</v>
      </c>
      <c r="K813">
        <v>59545.9</v>
      </c>
      <c r="L813" t="s">
        <v>5774</v>
      </c>
      <c r="M813">
        <v>12</v>
      </c>
    </row>
    <row r="814" spans="1:13" x14ac:dyDescent="0.25">
      <c r="A814">
        <v>813</v>
      </c>
      <c r="B814" t="s">
        <v>825</v>
      </c>
      <c r="C814">
        <v>85</v>
      </c>
      <c r="D814" t="s">
        <v>2947</v>
      </c>
      <c r="E814" t="s">
        <v>2955</v>
      </c>
      <c r="F814" t="s">
        <v>3727</v>
      </c>
      <c r="G814" s="2">
        <v>45560</v>
      </c>
      <c r="H814" s="2">
        <v>45561</v>
      </c>
      <c r="I814" t="s">
        <v>5765</v>
      </c>
      <c r="J814" t="s">
        <v>2949</v>
      </c>
      <c r="K814">
        <v>456791.39</v>
      </c>
      <c r="L814" t="s">
        <v>5773</v>
      </c>
      <c r="M814">
        <v>1</v>
      </c>
    </row>
    <row r="815" spans="1:13" x14ac:dyDescent="0.25">
      <c r="A815">
        <v>814</v>
      </c>
      <c r="B815" t="s">
        <v>826</v>
      </c>
      <c r="C815">
        <v>70</v>
      </c>
      <c r="D815" t="s">
        <v>2947</v>
      </c>
      <c r="E815" t="s">
        <v>2955</v>
      </c>
      <c r="F815" t="s">
        <v>3728</v>
      </c>
      <c r="G815" s="2">
        <v>45561</v>
      </c>
      <c r="H815" s="2">
        <v>45568</v>
      </c>
      <c r="I815" t="s">
        <v>5761</v>
      </c>
      <c r="J815" t="s">
        <v>5769</v>
      </c>
      <c r="K815">
        <v>285739.78000000003</v>
      </c>
      <c r="L815" t="s">
        <v>5773</v>
      </c>
      <c r="M815">
        <v>7</v>
      </c>
    </row>
    <row r="816" spans="1:13" x14ac:dyDescent="0.25">
      <c r="A816">
        <v>815</v>
      </c>
      <c r="B816" t="s">
        <v>827</v>
      </c>
      <c r="C816">
        <v>12</v>
      </c>
      <c r="D816" t="s">
        <v>2948</v>
      </c>
      <c r="E816" t="s">
        <v>2951</v>
      </c>
      <c r="F816" t="s">
        <v>3729</v>
      </c>
      <c r="G816" s="2">
        <v>45745</v>
      </c>
      <c r="H816" s="2">
        <v>45758</v>
      </c>
      <c r="I816" t="s">
        <v>5760</v>
      </c>
      <c r="J816" t="s">
        <v>5772</v>
      </c>
      <c r="K816">
        <v>236303.35</v>
      </c>
      <c r="L816" t="s">
        <v>5774</v>
      </c>
      <c r="M816">
        <v>13</v>
      </c>
    </row>
    <row r="817" spans="1:13" x14ac:dyDescent="0.25">
      <c r="A817">
        <v>816</v>
      </c>
      <c r="B817" t="s">
        <v>828</v>
      </c>
      <c r="C817">
        <v>6</v>
      </c>
      <c r="D817" t="s">
        <v>2948</v>
      </c>
      <c r="E817" t="s">
        <v>2951</v>
      </c>
      <c r="F817" t="s">
        <v>3730</v>
      </c>
      <c r="G817" s="2">
        <v>45640</v>
      </c>
      <c r="H817" s="2">
        <v>45654</v>
      </c>
      <c r="I817" t="s">
        <v>5759</v>
      </c>
      <c r="J817" t="s">
        <v>5769</v>
      </c>
      <c r="K817">
        <v>339146.56</v>
      </c>
      <c r="L817" t="s">
        <v>5774</v>
      </c>
      <c r="M817">
        <v>14</v>
      </c>
    </row>
    <row r="818" spans="1:13" x14ac:dyDescent="0.25">
      <c r="A818">
        <v>817</v>
      </c>
      <c r="B818" t="s">
        <v>829</v>
      </c>
      <c r="C818">
        <v>71</v>
      </c>
      <c r="D818" t="s">
        <v>2947</v>
      </c>
      <c r="E818" t="s">
        <v>2953</v>
      </c>
      <c r="F818" t="s">
        <v>3731</v>
      </c>
      <c r="G818" s="2">
        <v>45827</v>
      </c>
      <c r="H818" s="2">
        <v>45829</v>
      </c>
      <c r="I818" t="s">
        <v>5764</v>
      </c>
      <c r="J818" t="s">
        <v>5768</v>
      </c>
      <c r="K818">
        <v>499704.05</v>
      </c>
      <c r="L818" t="s">
        <v>5775</v>
      </c>
      <c r="M818">
        <v>2</v>
      </c>
    </row>
    <row r="819" spans="1:13" x14ac:dyDescent="0.25">
      <c r="A819">
        <v>818</v>
      </c>
      <c r="B819" t="s">
        <v>830</v>
      </c>
      <c r="C819">
        <v>63</v>
      </c>
      <c r="D819" t="s">
        <v>2947</v>
      </c>
      <c r="E819" t="s">
        <v>2949</v>
      </c>
      <c r="F819" t="s">
        <v>3732</v>
      </c>
      <c r="G819" s="2">
        <v>45879</v>
      </c>
      <c r="H819" s="2">
        <v>45890</v>
      </c>
      <c r="I819" t="s">
        <v>5761</v>
      </c>
      <c r="J819" t="s">
        <v>5772</v>
      </c>
      <c r="K819">
        <v>190076.15</v>
      </c>
      <c r="L819" t="s">
        <v>5775</v>
      </c>
      <c r="M819">
        <v>11</v>
      </c>
    </row>
    <row r="820" spans="1:13" x14ac:dyDescent="0.25">
      <c r="A820">
        <v>819</v>
      </c>
      <c r="B820" t="s">
        <v>831</v>
      </c>
      <c r="C820">
        <v>30</v>
      </c>
      <c r="D820" t="s">
        <v>2948</v>
      </c>
      <c r="E820" t="s">
        <v>2952</v>
      </c>
      <c r="F820" t="s">
        <v>3733</v>
      </c>
      <c r="G820" s="2">
        <v>45561</v>
      </c>
      <c r="H820" s="2">
        <v>45566</v>
      </c>
      <c r="I820" t="s">
        <v>5759</v>
      </c>
      <c r="J820" t="s">
        <v>5772</v>
      </c>
      <c r="K820">
        <v>402194.24</v>
      </c>
      <c r="L820" t="s">
        <v>5773</v>
      </c>
      <c r="M820">
        <v>5</v>
      </c>
    </row>
    <row r="821" spans="1:13" x14ac:dyDescent="0.25">
      <c r="A821">
        <v>820</v>
      </c>
      <c r="B821" t="s">
        <v>832</v>
      </c>
      <c r="C821">
        <v>38</v>
      </c>
      <c r="D821" t="s">
        <v>2948</v>
      </c>
      <c r="E821" t="s">
        <v>2951</v>
      </c>
      <c r="F821" t="s">
        <v>3734</v>
      </c>
      <c r="G821" s="2">
        <v>45666</v>
      </c>
      <c r="H821" s="2">
        <v>45677</v>
      </c>
      <c r="I821" t="s">
        <v>5758</v>
      </c>
      <c r="J821" t="s">
        <v>5768</v>
      </c>
      <c r="K821">
        <v>111102.07</v>
      </c>
      <c r="L821" t="s">
        <v>5774</v>
      </c>
      <c r="M821">
        <v>11</v>
      </c>
    </row>
    <row r="822" spans="1:13" x14ac:dyDescent="0.25">
      <c r="A822">
        <v>821</v>
      </c>
      <c r="B822" t="s">
        <v>833</v>
      </c>
      <c r="C822">
        <v>53</v>
      </c>
      <c r="D822" t="s">
        <v>2947</v>
      </c>
      <c r="E822" t="s">
        <v>2950</v>
      </c>
      <c r="F822" t="s">
        <v>3735</v>
      </c>
      <c r="G822" s="2">
        <v>45913</v>
      </c>
      <c r="H822" s="2">
        <v>45926</v>
      </c>
      <c r="I822" t="s">
        <v>5760</v>
      </c>
      <c r="J822" t="s">
        <v>5771</v>
      </c>
      <c r="K822">
        <v>233563.04</v>
      </c>
      <c r="L822" t="s">
        <v>5773</v>
      </c>
      <c r="M822">
        <v>13</v>
      </c>
    </row>
    <row r="823" spans="1:13" x14ac:dyDescent="0.25">
      <c r="A823">
        <v>822</v>
      </c>
      <c r="B823" t="s">
        <v>834</v>
      </c>
      <c r="C823">
        <v>55</v>
      </c>
      <c r="D823" t="s">
        <v>2948</v>
      </c>
      <c r="E823" t="s">
        <v>2952</v>
      </c>
      <c r="F823" t="s">
        <v>3736</v>
      </c>
      <c r="G823" s="2">
        <v>45820</v>
      </c>
      <c r="H823" s="2">
        <v>45830</v>
      </c>
      <c r="I823" t="s">
        <v>5764</v>
      </c>
      <c r="J823" t="s">
        <v>5772</v>
      </c>
      <c r="K823">
        <v>353071.04</v>
      </c>
      <c r="L823" t="s">
        <v>5774</v>
      </c>
      <c r="M823">
        <v>10</v>
      </c>
    </row>
    <row r="824" spans="1:13" x14ac:dyDescent="0.25">
      <c r="A824">
        <v>823</v>
      </c>
      <c r="B824" t="s">
        <v>835</v>
      </c>
      <c r="C824">
        <v>73</v>
      </c>
      <c r="D824" t="s">
        <v>2948</v>
      </c>
      <c r="E824" t="s">
        <v>2954</v>
      </c>
      <c r="F824" t="s">
        <v>3737</v>
      </c>
      <c r="G824" s="2">
        <v>45799</v>
      </c>
      <c r="H824" s="2">
        <v>45813</v>
      </c>
      <c r="I824" t="s">
        <v>5761</v>
      </c>
      <c r="J824" t="s">
        <v>5768</v>
      </c>
      <c r="K824">
        <v>218340.41</v>
      </c>
      <c r="L824" t="s">
        <v>5773</v>
      </c>
      <c r="M824">
        <v>14</v>
      </c>
    </row>
    <row r="825" spans="1:13" x14ac:dyDescent="0.25">
      <c r="A825">
        <v>824</v>
      </c>
      <c r="B825" t="s">
        <v>836</v>
      </c>
      <c r="C825">
        <v>20</v>
      </c>
      <c r="D825" t="s">
        <v>2947</v>
      </c>
      <c r="E825" t="s">
        <v>2954</v>
      </c>
      <c r="F825" t="s">
        <v>3738</v>
      </c>
      <c r="G825" s="2">
        <v>45880</v>
      </c>
      <c r="H825" s="2">
        <v>45892</v>
      </c>
      <c r="I825" t="s">
        <v>5762</v>
      </c>
      <c r="J825" t="s">
        <v>5771</v>
      </c>
      <c r="K825">
        <v>493478.42</v>
      </c>
      <c r="L825" t="s">
        <v>5774</v>
      </c>
      <c r="M825">
        <v>12</v>
      </c>
    </row>
    <row r="826" spans="1:13" x14ac:dyDescent="0.25">
      <c r="A826">
        <v>825</v>
      </c>
      <c r="B826" t="s">
        <v>837</v>
      </c>
      <c r="C826">
        <v>23</v>
      </c>
      <c r="D826" t="s">
        <v>2948</v>
      </c>
      <c r="E826" t="s">
        <v>2954</v>
      </c>
      <c r="F826" t="s">
        <v>3739</v>
      </c>
      <c r="G826" s="2">
        <v>45683</v>
      </c>
      <c r="H826" s="2">
        <v>45686</v>
      </c>
      <c r="I826" t="s">
        <v>5764</v>
      </c>
      <c r="J826" t="s">
        <v>5769</v>
      </c>
      <c r="K826">
        <v>198838.25</v>
      </c>
      <c r="L826" t="s">
        <v>5775</v>
      </c>
      <c r="M826">
        <v>3</v>
      </c>
    </row>
    <row r="827" spans="1:13" x14ac:dyDescent="0.25">
      <c r="A827">
        <v>826</v>
      </c>
      <c r="B827" t="s">
        <v>838</v>
      </c>
      <c r="C827">
        <v>75</v>
      </c>
      <c r="D827" t="s">
        <v>2948</v>
      </c>
      <c r="E827" t="s">
        <v>2949</v>
      </c>
      <c r="F827" t="s">
        <v>3740</v>
      </c>
      <c r="G827" s="2">
        <v>45647</v>
      </c>
      <c r="H827" s="2">
        <v>45654</v>
      </c>
      <c r="I827" t="s">
        <v>5763</v>
      </c>
      <c r="J827" t="s">
        <v>5768</v>
      </c>
      <c r="K827">
        <v>190522.79</v>
      </c>
      <c r="L827" t="s">
        <v>5773</v>
      </c>
      <c r="M827">
        <v>7</v>
      </c>
    </row>
    <row r="828" spans="1:13" x14ac:dyDescent="0.25">
      <c r="A828">
        <v>827</v>
      </c>
      <c r="B828" t="s">
        <v>839</v>
      </c>
      <c r="C828">
        <v>20</v>
      </c>
      <c r="D828" t="s">
        <v>2948</v>
      </c>
      <c r="E828" t="s">
        <v>2952</v>
      </c>
      <c r="F828" t="s">
        <v>3741</v>
      </c>
      <c r="G828" s="2">
        <v>45859</v>
      </c>
      <c r="H828" s="2">
        <v>45869</v>
      </c>
      <c r="I828" t="s">
        <v>5766</v>
      </c>
      <c r="J828" t="s">
        <v>2949</v>
      </c>
      <c r="K828">
        <v>224325.14</v>
      </c>
      <c r="L828" t="s">
        <v>5774</v>
      </c>
      <c r="M828">
        <v>10</v>
      </c>
    </row>
    <row r="829" spans="1:13" x14ac:dyDescent="0.25">
      <c r="A829">
        <v>828</v>
      </c>
      <c r="B829" t="s">
        <v>840</v>
      </c>
      <c r="C829">
        <v>23</v>
      </c>
      <c r="D829" t="s">
        <v>2948</v>
      </c>
      <c r="E829" t="s">
        <v>2955</v>
      </c>
      <c r="F829" t="s">
        <v>3742</v>
      </c>
      <c r="G829" s="2">
        <v>45722</v>
      </c>
      <c r="H829" s="2">
        <v>45736</v>
      </c>
      <c r="I829" t="s">
        <v>5760</v>
      </c>
      <c r="J829" t="s">
        <v>2949</v>
      </c>
      <c r="K829">
        <v>29898.82</v>
      </c>
      <c r="L829" t="s">
        <v>5775</v>
      </c>
      <c r="M829">
        <v>14</v>
      </c>
    </row>
    <row r="830" spans="1:13" x14ac:dyDescent="0.25">
      <c r="A830">
        <v>829</v>
      </c>
      <c r="B830" t="s">
        <v>841</v>
      </c>
      <c r="C830">
        <v>53</v>
      </c>
      <c r="D830" t="s">
        <v>2948</v>
      </c>
      <c r="E830" t="s">
        <v>2953</v>
      </c>
      <c r="F830" t="s">
        <v>3743</v>
      </c>
      <c r="G830" s="2">
        <v>45904</v>
      </c>
      <c r="H830" s="2">
        <v>45914</v>
      </c>
      <c r="I830" t="s">
        <v>5758</v>
      </c>
      <c r="J830" t="s">
        <v>5771</v>
      </c>
      <c r="K830">
        <v>480891.06</v>
      </c>
      <c r="L830" t="s">
        <v>5773</v>
      </c>
      <c r="M830">
        <v>10</v>
      </c>
    </row>
    <row r="831" spans="1:13" x14ac:dyDescent="0.25">
      <c r="A831">
        <v>830</v>
      </c>
      <c r="B831" t="s">
        <v>842</v>
      </c>
      <c r="C831">
        <v>67</v>
      </c>
      <c r="D831" t="s">
        <v>2948</v>
      </c>
      <c r="E831" t="s">
        <v>2952</v>
      </c>
      <c r="F831" t="s">
        <v>3744</v>
      </c>
      <c r="G831" s="2">
        <v>45901</v>
      </c>
      <c r="H831" s="2">
        <v>45902</v>
      </c>
      <c r="I831" t="s">
        <v>5762</v>
      </c>
      <c r="J831" t="s">
        <v>2949</v>
      </c>
      <c r="K831">
        <v>337170.76</v>
      </c>
      <c r="L831" t="s">
        <v>5773</v>
      </c>
      <c r="M831">
        <v>1</v>
      </c>
    </row>
    <row r="832" spans="1:13" x14ac:dyDescent="0.25">
      <c r="A832">
        <v>831</v>
      </c>
      <c r="B832" t="s">
        <v>843</v>
      </c>
      <c r="C832">
        <v>62</v>
      </c>
      <c r="D832" t="s">
        <v>2948</v>
      </c>
      <c r="E832" t="s">
        <v>2952</v>
      </c>
      <c r="F832" t="s">
        <v>3745</v>
      </c>
      <c r="G832" s="2">
        <v>45675</v>
      </c>
      <c r="H832" s="2">
        <v>45685</v>
      </c>
      <c r="I832" t="s">
        <v>5765</v>
      </c>
      <c r="J832" t="s">
        <v>5768</v>
      </c>
      <c r="K832">
        <v>178999.07</v>
      </c>
      <c r="L832" t="s">
        <v>5774</v>
      </c>
      <c r="M832">
        <v>10</v>
      </c>
    </row>
    <row r="833" spans="1:13" x14ac:dyDescent="0.25">
      <c r="A833">
        <v>832</v>
      </c>
      <c r="B833" t="s">
        <v>844</v>
      </c>
      <c r="C833">
        <v>72</v>
      </c>
      <c r="D833" t="s">
        <v>2948</v>
      </c>
      <c r="E833" t="s">
        <v>2954</v>
      </c>
      <c r="F833" t="s">
        <v>3746</v>
      </c>
      <c r="G833" s="2">
        <v>45786</v>
      </c>
      <c r="H833" s="2">
        <v>45787</v>
      </c>
      <c r="I833" t="s">
        <v>5759</v>
      </c>
      <c r="J833" t="s">
        <v>5771</v>
      </c>
      <c r="K833">
        <v>391451.52</v>
      </c>
      <c r="L833" t="s">
        <v>5775</v>
      </c>
      <c r="M833">
        <v>1</v>
      </c>
    </row>
    <row r="834" spans="1:13" x14ac:dyDescent="0.25">
      <c r="A834">
        <v>833</v>
      </c>
      <c r="B834" t="s">
        <v>845</v>
      </c>
      <c r="C834">
        <v>90</v>
      </c>
      <c r="D834" t="s">
        <v>2948</v>
      </c>
      <c r="E834" t="s">
        <v>2953</v>
      </c>
      <c r="F834" t="s">
        <v>3747</v>
      </c>
      <c r="G834" s="2">
        <v>45585</v>
      </c>
      <c r="H834" s="2">
        <v>45595</v>
      </c>
      <c r="I834" t="s">
        <v>5762</v>
      </c>
      <c r="J834" t="s">
        <v>5771</v>
      </c>
      <c r="K834">
        <v>309159.90000000002</v>
      </c>
      <c r="L834" t="s">
        <v>5773</v>
      </c>
      <c r="M834">
        <v>10</v>
      </c>
    </row>
    <row r="835" spans="1:13" x14ac:dyDescent="0.25">
      <c r="A835">
        <v>834</v>
      </c>
      <c r="B835" t="s">
        <v>846</v>
      </c>
      <c r="C835">
        <v>76</v>
      </c>
      <c r="D835" t="s">
        <v>2947</v>
      </c>
      <c r="E835" t="s">
        <v>2955</v>
      </c>
      <c r="F835" t="s">
        <v>3748</v>
      </c>
      <c r="G835" s="2">
        <v>45695</v>
      </c>
      <c r="H835" s="2">
        <v>45696</v>
      </c>
      <c r="I835" t="s">
        <v>5762</v>
      </c>
      <c r="J835" t="s">
        <v>5770</v>
      </c>
      <c r="K835">
        <v>410910.57</v>
      </c>
      <c r="L835" t="s">
        <v>5774</v>
      </c>
      <c r="M835">
        <v>1</v>
      </c>
    </row>
    <row r="836" spans="1:13" x14ac:dyDescent="0.25">
      <c r="A836">
        <v>835</v>
      </c>
      <c r="B836" t="s">
        <v>847</v>
      </c>
      <c r="C836">
        <v>11</v>
      </c>
      <c r="D836" t="s">
        <v>2948</v>
      </c>
      <c r="E836" t="s">
        <v>2952</v>
      </c>
      <c r="F836" t="s">
        <v>3749</v>
      </c>
      <c r="G836" s="2">
        <v>45783</v>
      </c>
      <c r="H836" s="2">
        <v>45792</v>
      </c>
      <c r="I836" t="s">
        <v>5759</v>
      </c>
      <c r="J836" t="s">
        <v>5769</v>
      </c>
      <c r="K836">
        <v>464509.58</v>
      </c>
      <c r="L836" t="s">
        <v>5773</v>
      </c>
      <c r="M836">
        <v>9</v>
      </c>
    </row>
    <row r="837" spans="1:13" x14ac:dyDescent="0.25">
      <c r="A837">
        <v>836</v>
      </c>
      <c r="B837" t="s">
        <v>848</v>
      </c>
      <c r="C837">
        <v>20</v>
      </c>
      <c r="D837" t="s">
        <v>2948</v>
      </c>
      <c r="E837" t="s">
        <v>2951</v>
      </c>
      <c r="F837" t="s">
        <v>3750</v>
      </c>
      <c r="G837" s="2">
        <v>45572</v>
      </c>
      <c r="H837" s="2">
        <v>45583</v>
      </c>
      <c r="I837" t="s">
        <v>5766</v>
      </c>
      <c r="J837" t="s">
        <v>5771</v>
      </c>
      <c r="K837">
        <v>150670.32999999999</v>
      </c>
      <c r="L837" t="s">
        <v>5773</v>
      </c>
      <c r="M837">
        <v>11</v>
      </c>
    </row>
    <row r="838" spans="1:13" x14ac:dyDescent="0.25">
      <c r="A838">
        <v>837</v>
      </c>
      <c r="B838" t="s">
        <v>849</v>
      </c>
      <c r="C838">
        <v>19</v>
      </c>
      <c r="D838" t="s">
        <v>2948</v>
      </c>
      <c r="E838" t="s">
        <v>2951</v>
      </c>
      <c r="F838" t="s">
        <v>3751</v>
      </c>
      <c r="G838" s="2">
        <v>45778</v>
      </c>
      <c r="H838" s="2">
        <v>45783</v>
      </c>
      <c r="I838" t="s">
        <v>5767</v>
      </c>
      <c r="J838" t="s">
        <v>5768</v>
      </c>
      <c r="K838">
        <v>305655.34000000003</v>
      </c>
      <c r="L838" t="s">
        <v>5774</v>
      </c>
      <c r="M838">
        <v>5</v>
      </c>
    </row>
    <row r="839" spans="1:13" x14ac:dyDescent="0.25">
      <c r="A839">
        <v>838</v>
      </c>
      <c r="B839" t="s">
        <v>850</v>
      </c>
      <c r="C839">
        <v>8</v>
      </c>
      <c r="D839" t="s">
        <v>2948</v>
      </c>
      <c r="E839" t="s">
        <v>2953</v>
      </c>
      <c r="F839" t="s">
        <v>3752</v>
      </c>
      <c r="G839" s="2">
        <v>45609</v>
      </c>
      <c r="H839" s="2">
        <v>45621</v>
      </c>
      <c r="I839" t="s">
        <v>5763</v>
      </c>
      <c r="J839" t="s">
        <v>2949</v>
      </c>
      <c r="K839">
        <v>231360.39</v>
      </c>
      <c r="L839" t="s">
        <v>5775</v>
      </c>
      <c r="M839">
        <v>12</v>
      </c>
    </row>
    <row r="840" spans="1:13" x14ac:dyDescent="0.25">
      <c r="A840">
        <v>839</v>
      </c>
      <c r="B840" t="s">
        <v>851</v>
      </c>
      <c r="C840">
        <v>31</v>
      </c>
      <c r="D840" t="s">
        <v>2947</v>
      </c>
      <c r="E840" t="s">
        <v>2955</v>
      </c>
      <c r="F840" t="s">
        <v>3753</v>
      </c>
      <c r="G840" s="2">
        <v>45862</v>
      </c>
      <c r="H840" s="2">
        <v>45869</v>
      </c>
      <c r="I840" t="s">
        <v>5767</v>
      </c>
      <c r="J840" t="s">
        <v>2949</v>
      </c>
      <c r="K840">
        <v>248542.79</v>
      </c>
      <c r="L840" t="s">
        <v>5775</v>
      </c>
      <c r="M840">
        <v>7</v>
      </c>
    </row>
    <row r="841" spans="1:13" x14ac:dyDescent="0.25">
      <c r="A841">
        <v>840</v>
      </c>
      <c r="B841" t="s">
        <v>852</v>
      </c>
      <c r="C841">
        <v>40</v>
      </c>
      <c r="D841" t="s">
        <v>2948</v>
      </c>
      <c r="E841" t="s">
        <v>2954</v>
      </c>
      <c r="F841" t="s">
        <v>3754</v>
      </c>
      <c r="G841" s="2">
        <v>45686</v>
      </c>
      <c r="H841" s="2">
        <v>45689</v>
      </c>
      <c r="I841" t="s">
        <v>5767</v>
      </c>
      <c r="J841" t="s">
        <v>5771</v>
      </c>
      <c r="K841">
        <v>99034.64</v>
      </c>
      <c r="L841" t="s">
        <v>5775</v>
      </c>
      <c r="M841">
        <v>3</v>
      </c>
    </row>
    <row r="842" spans="1:13" x14ac:dyDescent="0.25">
      <c r="A842">
        <v>841</v>
      </c>
      <c r="B842" t="s">
        <v>853</v>
      </c>
      <c r="C842">
        <v>69</v>
      </c>
      <c r="D842" t="s">
        <v>2948</v>
      </c>
      <c r="E842" t="s">
        <v>2952</v>
      </c>
      <c r="F842" t="s">
        <v>580</v>
      </c>
      <c r="G842" s="2">
        <v>45899</v>
      </c>
      <c r="H842" s="2">
        <v>45901</v>
      </c>
      <c r="I842" t="s">
        <v>5762</v>
      </c>
      <c r="J842" t="s">
        <v>5770</v>
      </c>
      <c r="K842">
        <v>289186.68</v>
      </c>
      <c r="L842" t="s">
        <v>5773</v>
      </c>
      <c r="M842">
        <v>2</v>
      </c>
    </row>
    <row r="843" spans="1:13" x14ac:dyDescent="0.25">
      <c r="A843">
        <v>842</v>
      </c>
      <c r="B843" t="s">
        <v>854</v>
      </c>
      <c r="C843">
        <v>71</v>
      </c>
      <c r="D843" t="s">
        <v>2947</v>
      </c>
      <c r="E843" t="s">
        <v>2949</v>
      </c>
      <c r="F843" t="s">
        <v>3755</v>
      </c>
      <c r="G843" s="2">
        <v>45761</v>
      </c>
      <c r="H843" s="2">
        <v>45768</v>
      </c>
      <c r="I843" t="s">
        <v>5761</v>
      </c>
      <c r="J843" t="s">
        <v>5770</v>
      </c>
      <c r="K843">
        <v>416123.9</v>
      </c>
      <c r="L843" t="s">
        <v>5774</v>
      </c>
      <c r="M843">
        <v>7</v>
      </c>
    </row>
    <row r="844" spans="1:13" x14ac:dyDescent="0.25">
      <c r="A844">
        <v>843</v>
      </c>
      <c r="B844" t="s">
        <v>855</v>
      </c>
      <c r="C844">
        <v>63</v>
      </c>
      <c r="D844" t="s">
        <v>2948</v>
      </c>
      <c r="E844" t="s">
        <v>2949</v>
      </c>
      <c r="F844" t="s">
        <v>3756</v>
      </c>
      <c r="G844" s="2">
        <v>45752</v>
      </c>
      <c r="H844" s="2">
        <v>45760</v>
      </c>
      <c r="I844" t="s">
        <v>5764</v>
      </c>
      <c r="J844" t="s">
        <v>5769</v>
      </c>
      <c r="K844">
        <v>142008.23000000001</v>
      </c>
      <c r="L844" t="s">
        <v>5775</v>
      </c>
      <c r="M844">
        <v>8</v>
      </c>
    </row>
    <row r="845" spans="1:13" x14ac:dyDescent="0.25">
      <c r="A845">
        <v>844</v>
      </c>
      <c r="B845" t="s">
        <v>856</v>
      </c>
      <c r="C845">
        <v>74</v>
      </c>
      <c r="D845" t="s">
        <v>2947</v>
      </c>
      <c r="E845" t="s">
        <v>2952</v>
      </c>
      <c r="F845" t="s">
        <v>3757</v>
      </c>
      <c r="G845" s="2">
        <v>45605</v>
      </c>
      <c r="H845" s="2">
        <v>45615</v>
      </c>
      <c r="I845" t="s">
        <v>5765</v>
      </c>
      <c r="J845" t="s">
        <v>5770</v>
      </c>
      <c r="K845">
        <v>231193.47</v>
      </c>
      <c r="L845" t="s">
        <v>5775</v>
      </c>
      <c r="M845">
        <v>10</v>
      </c>
    </row>
    <row r="846" spans="1:13" x14ac:dyDescent="0.25">
      <c r="A846">
        <v>845</v>
      </c>
      <c r="B846" t="s">
        <v>857</v>
      </c>
      <c r="C846">
        <v>24</v>
      </c>
      <c r="D846" t="s">
        <v>2947</v>
      </c>
      <c r="E846" t="s">
        <v>2955</v>
      </c>
      <c r="F846" t="s">
        <v>3758</v>
      </c>
      <c r="G846" s="2">
        <v>45549</v>
      </c>
      <c r="H846" s="2">
        <v>45563</v>
      </c>
      <c r="I846" t="s">
        <v>5760</v>
      </c>
      <c r="J846" t="s">
        <v>5772</v>
      </c>
      <c r="K846">
        <v>227723.69</v>
      </c>
      <c r="L846" t="s">
        <v>5775</v>
      </c>
      <c r="M846">
        <v>14</v>
      </c>
    </row>
    <row r="847" spans="1:13" x14ac:dyDescent="0.25">
      <c r="A847">
        <v>846</v>
      </c>
      <c r="B847" t="s">
        <v>858</v>
      </c>
      <c r="C847">
        <v>10</v>
      </c>
      <c r="D847" t="s">
        <v>2948</v>
      </c>
      <c r="E847" t="s">
        <v>2951</v>
      </c>
      <c r="F847" t="s">
        <v>3759</v>
      </c>
      <c r="G847" s="2">
        <v>45763</v>
      </c>
      <c r="H847" s="2">
        <v>45766</v>
      </c>
      <c r="I847" t="s">
        <v>5763</v>
      </c>
      <c r="J847" t="s">
        <v>5771</v>
      </c>
      <c r="K847">
        <v>207786.77</v>
      </c>
      <c r="L847" t="s">
        <v>5775</v>
      </c>
      <c r="M847">
        <v>3</v>
      </c>
    </row>
    <row r="848" spans="1:13" x14ac:dyDescent="0.25">
      <c r="A848">
        <v>847</v>
      </c>
      <c r="B848" t="s">
        <v>859</v>
      </c>
      <c r="C848">
        <v>47</v>
      </c>
      <c r="D848" t="s">
        <v>2948</v>
      </c>
      <c r="E848" t="s">
        <v>2951</v>
      </c>
      <c r="F848" t="s">
        <v>3760</v>
      </c>
      <c r="G848" s="2">
        <v>45824</v>
      </c>
      <c r="H848" s="2">
        <v>45839</v>
      </c>
      <c r="I848" t="s">
        <v>5766</v>
      </c>
      <c r="J848" t="s">
        <v>5770</v>
      </c>
      <c r="K848">
        <v>405203.31</v>
      </c>
      <c r="L848" t="s">
        <v>5773</v>
      </c>
      <c r="M848">
        <v>15</v>
      </c>
    </row>
    <row r="849" spans="1:13" x14ac:dyDescent="0.25">
      <c r="A849">
        <v>848</v>
      </c>
      <c r="B849" t="s">
        <v>860</v>
      </c>
      <c r="C849">
        <v>78</v>
      </c>
      <c r="D849" t="s">
        <v>2948</v>
      </c>
      <c r="E849" t="s">
        <v>2949</v>
      </c>
      <c r="F849" t="s">
        <v>3761</v>
      </c>
      <c r="G849" s="2">
        <v>45799</v>
      </c>
      <c r="H849" s="2">
        <v>45801</v>
      </c>
      <c r="I849" t="s">
        <v>5758</v>
      </c>
      <c r="J849" t="s">
        <v>5772</v>
      </c>
      <c r="K849">
        <v>355807.32</v>
      </c>
      <c r="L849" t="s">
        <v>5775</v>
      </c>
      <c r="M849">
        <v>2</v>
      </c>
    </row>
    <row r="850" spans="1:13" x14ac:dyDescent="0.25">
      <c r="A850">
        <v>849</v>
      </c>
      <c r="B850" t="s">
        <v>861</v>
      </c>
      <c r="C850">
        <v>40</v>
      </c>
      <c r="D850" t="s">
        <v>2947</v>
      </c>
      <c r="E850" t="s">
        <v>2953</v>
      </c>
      <c r="F850" t="s">
        <v>3762</v>
      </c>
      <c r="G850" s="2">
        <v>45906</v>
      </c>
      <c r="H850" s="2">
        <v>45913</v>
      </c>
      <c r="I850" t="s">
        <v>5762</v>
      </c>
      <c r="J850" t="s">
        <v>5772</v>
      </c>
      <c r="K850">
        <v>61119.55</v>
      </c>
      <c r="L850" t="s">
        <v>5774</v>
      </c>
      <c r="M850">
        <v>7</v>
      </c>
    </row>
    <row r="851" spans="1:13" x14ac:dyDescent="0.25">
      <c r="A851">
        <v>850</v>
      </c>
      <c r="B851" t="s">
        <v>862</v>
      </c>
      <c r="C851">
        <v>6</v>
      </c>
      <c r="D851" t="s">
        <v>2947</v>
      </c>
      <c r="E851" t="s">
        <v>2953</v>
      </c>
      <c r="F851" t="s">
        <v>3763</v>
      </c>
      <c r="G851" s="2">
        <v>45752</v>
      </c>
      <c r="H851" s="2">
        <v>45762</v>
      </c>
      <c r="I851" t="s">
        <v>5758</v>
      </c>
      <c r="J851" t="s">
        <v>5769</v>
      </c>
      <c r="K851">
        <v>95775.96</v>
      </c>
      <c r="L851" t="s">
        <v>5775</v>
      </c>
      <c r="M851">
        <v>10</v>
      </c>
    </row>
    <row r="852" spans="1:13" x14ac:dyDescent="0.25">
      <c r="A852">
        <v>851</v>
      </c>
      <c r="B852" t="s">
        <v>863</v>
      </c>
      <c r="C852">
        <v>81</v>
      </c>
      <c r="D852" t="s">
        <v>2947</v>
      </c>
      <c r="E852" t="s">
        <v>2950</v>
      </c>
      <c r="F852" t="s">
        <v>3764</v>
      </c>
      <c r="G852" s="2">
        <v>45561</v>
      </c>
      <c r="H852" s="2">
        <v>45568</v>
      </c>
      <c r="I852" t="s">
        <v>5765</v>
      </c>
      <c r="J852" t="s">
        <v>5771</v>
      </c>
      <c r="K852">
        <v>213115.86</v>
      </c>
      <c r="L852" t="s">
        <v>5773</v>
      </c>
      <c r="M852">
        <v>7</v>
      </c>
    </row>
    <row r="853" spans="1:13" x14ac:dyDescent="0.25">
      <c r="A853">
        <v>852</v>
      </c>
      <c r="B853" t="s">
        <v>864</v>
      </c>
      <c r="C853">
        <v>68</v>
      </c>
      <c r="D853" t="s">
        <v>2947</v>
      </c>
      <c r="E853" t="s">
        <v>2950</v>
      </c>
      <c r="F853" t="s">
        <v>3765</v>
      </c>
      <c r="G853" s="2">
        <v>45775</v>
      </c>
      <c r="H853" s="2">
        <v>45787</v>
      </c>
      <c r="I853" t="s">
        <v>5759</v>
      </c>
      <c r="J853" t="s">
        <v>2949</v>
      </c>
      <c r="K853">
        <v>393653.73</v>
      </c>
      <c r="L853" t="s">
        <v>5774</v>
      </c>
      <c r="M853">
        <v>12</v>
      </c>
    </row>
    <row r="854" spans="1:13" x14ac:dyDescent="0.25">
      <c r="A854">
        <v>853</v>
      </c>
      <c r="B854" t="s">
        <v>865</v>
      </c>
      <c r="C854">
        <v>30</v>
      </c>
      <c r="D854" t="s">
        <v>2948</v>
      </c>
      <c r="E854" t="s">
        <v>2955</v>
      </c>
      <c r="F854" t="s">
        <v>3766</v>
      </c>
      <c r="G854" s="2">
        <v>45578</v>
      </c>
      <c r="H854" s="2">
        <v>45586</v>
      </c>
      <c r="I854" t="s">
        <v>5765</v>
      </c>
      <c r="J854" t="s">
        <v>5769</v>
      </c>
      <c r="K854">
        <v>435509.03</v>
      </c>
      <c r="L854" t="s">
        <v>5774</v>
      </c>
      <c r="M854">
        <v>8</v>
      </c>
    </row>
    <row r="855" spans="1:13" x14ac:dyDescent="0.25">
      <c r="A855">
        <v>854</v>
      </c>
      <c r="B855" t="s">
        <v>866</v>
      </c>
      <c r="C855">
        <v>13</v>
      </c>
      <c r="D855" t="s">
        <v>2948</v>
      </c>
      <c r="E855" t="s">
        <v>2951</v>
      </c>
      <c r="F855" t="s">
        <v>3767</v>
      </c>
      <c r="G855" s="2">
        <v>45555</v>
      </c>
      <c r="H855" s="2">
        <v>45556</v>
      </c>
      <c r="I855" t="s">
        <v>5760</v>
      </c>
      <c r="J855" t="s">
        <v>5769</v>
      </c>
      <c r="K855">
        <v>462048.11</v>
      </c>
      <c r="L855" t="s">
        <v>5775</v>
      </c>
      <c r="M855">
        <v>1</v>
      </c>
    </row>
    <row r="856" spans="1:13" x14ac:dyDescent="0.25">
      <c r="A856">
        <v>855</v>
      </c>
      <c r="B856" t="s">
        <v>867</v>
      </c>
      <c r="C856">
        <v>59</v>
      </c>
      <c r="D856" t="s">
        <v>2948</v>
      </c>
      <c r="E856" t="s">
        <v>2955</v>
      </c>
      <c r="F856" t="s">
        <v>3258</v>
      </c>
      <c r="G856" s="2">
        <v>45823</v>
      </c>
      <c r="H856" s="2">
        <v>45831</v>
      </c>
      <c r="I856" t="s">
        <v>5764</v>
      </c>
      <c r="J856" t="s">
        <v>2949</v>
      </c>
      <c r="K856">
        <v>25155.77</v>
      </c>
      <c r="L856" t="s">
        <v>5773</v>
      </c>
      <c r="M856">
        <v>8</v>
      </c>
    </row>
    <row r="857" spans="1:13" x14ac:dyDescent="0.25">
      <c r="A857">
        <v>856</v>
      </c>
      <c r="B857" t="s">
        <v>868</v>
      </c>
      <c r="C857">
        <v>80</v>
      </c>
      <c r="D857" t="s">
        <v>2947</v>
      </c>
      <c r="E857" t="s">
        <v>2953</v>
      </c>
      <c r="F857" t="s">
        <v>3768</v>
      </c>
      <c r="G857" s="2">
        <v>45909</v>
      </c>
      <c r="H857" s="2">
        <v>45921</v>
      </c>
      <c r="I857" t="s">
        <v>5758</v>
      </c>
      <c r="J857" t="s">
        <v>5772</v>
      </c>
      <c r="K857">
        <v>477626.5</v>
      </c>
      <c r="L857" t="s">
        <v>5774</v>
      </c>
      <c r="M857">
        <v>12</v>
      </c>
    </row>
    <row r="858" spans="1:13" x14ac:dyDescent="0.25">
      <c r="A858">
        <v>857</v>
      </c>
      <c r="B858" t="s">
        <v>869</v>
      </c>
      <c r="C858">
        <v>40</v>
      </c>
      <c r="D858" t="s">
        <v>2948</v>
      </c>
      <c r="E858" t="s">
        <v>2949</v>
      </c>
      <c r="F858" t="s">
        <v>3769</v>
      </c>
      <c r="G858" s="2">
        <v>45849</v>
      </c>
      <c r="H858" s="2">
        <v>45859</v>
      </c>
      <c r="I858" t="s">
        <v>5764</v>
      </c>
      <c r="J858" t="s">
        <v>2949</v>
      </c>
      <c r="K858">
        <v>370255.57</v>
      </c>
      <c r="L858" t="s">
        <v>5774</v>
      </c>
      <c r="M858">
        <v>10</v>
      </c>
    </row>
    <row r="859" spans="1:13" x14ac:dyDescent="0.25">
      <c r="A859">
        <v>858</v>
      </c>
      <c r="B859" t="s">
        <v>870</v>
      </c>
      <c r="C859">
        <v>61</v>
      </c>
      <c r="D859" t="s">
        <v>2948</v>
      </c>
      <c r="E859" t="s">
        <v>2954</v>
      </c>
      <c r="F859" t="s">
        <v>3770</v>
      </c>
      <c r="G859" s="2">
        <v>45796</v>
      </c>
      <c r="H859" s="2">
        <v>45797</v>
      </c>
      <c r="I859" t="s">
        <v>5765</v>
      </c>
      <c r="J859" t="s">
        <v>5769</v>
      </c>
      <c r="K859">
        <v>171951.4</v>
      </c>
      <c r="L859" t="s">
        <v>5774</v>
      </c>
      <c r="M859">
        <v>1</v>
      </c>
    </row>
    <row r="860" spans="1:13" x14ac:dyDescent="0.25">
      <c r="A860">
        <v>859</v>
      </c>
      <c r="B860" t="s">
        <v>871</v>
      </c>
      <c r="C860">
        <v>67</v>
      </c>
      <c r="D860" t="s">
        <v>2947</v>
      </c>
      <c r="E860" t="s">
        <v>2951</v>
      </c>
      <c r="F860" t="s">
        <v>3771</v>
      </c>
      <c r="G860" s="2">
        <v>45761</v>
      </c>
      <c r="H860" s="2">
        <v>45766</v>
      </c>
      <c r="I860" t="s">
        <v>5765</v>
      </c>
      <c r="J860" t="s">
        <v>5769</v>
      </c>
      <c r="K860">
        <v>462228.88</v>
      </c>
      <c r="L860" t="s">
        <v>5773</v>
      </c>
      <c r="M860">
        <v>5</v>
      </c>
    </row>
    <row r="861" spans="1:13" x14ac:dyDescent="0.25">
      <c r="A861">
        <v>860</v>
      </c>
      <c r="B861" t="s">
        <v>872</v>
      </c>
      <c r="C861">
        <v>55</v>
      </c>
      <c r="D861" t="s">
        <v>2948</v>
      </c>
      <c r="E861" t="s">
        <v>2953</v>
      </c>
      <c r="F861" t="s">
        <v>3772</v>
      </c>
      <c r="G861" s="2">
        <v>45571</v>
      </c>
      <c r="H861" s="2">
        <v>45584</v>
      </c>
      <c r="I861" t="s">
        <v>5758</v>
      </c>
      <c r="J861" t="s">
        <v>5768</v>
      </c>
      <c r="K861">
        <v>289928.86</v>
      </c>
      <c r="L861" t="s">
        <v>5774</v>
      </c>
      <c r="M861">
        <v>13</v>
      </c>
    </row>
    <row r="862" spans="1:13" x14ac:dyDescent="0.25">
      <c r="A862">
        <v>861</v>
      </c>
      <c r="B862" t="s">
        <v>873</v>
      </c>
      <c r="C862">
        <v>9</v>
      </c>
      <c r="D862" t="s">
        <v>2947</v>
      </c>
      <c r="E862" t="s">
        <v>2949</v>
      </c>
      <c r="F862" t="s">
        <v>3773</v>
      </c>
      <c r="G862" s="2">
        <v>45875</v>
      </c>
      <c r="H862" s="2">
        <v>45884</v>
      </c>
      <c r="I862" t="s">
        <v>5765</v>
      </c>
      <c r="J862" t="s">
        <v>5771</v>
      </c>
      <c r="K862">
        <v>487383.86</v>
      </c>
      <c r="L862" t="s">
        <v>5773</v>
      </c>
      <c r="M862">
        <v>9</v>
      </c>
    </row>
    <row r="863" spans="1:13" x14ac:dyDescent="0.25">
      <c r="A863">
        <v>862</v>
      </c>
      <c r="B863" t="s">
        <v>874</v>
      </c>
      <c r="C863">
        <v>3</v>
      </c>
      <c r="D863" t="s">
        <v>2948</v>
      </c>
      <c r="E863" t="s">
        <v>2952</v>
      </c>
      <c r="F863" t="s">
        <v>3774</v>
      </c>
      <c r="G863" s="2">
        <v>45689</v>
      </c>
      <c r="H863" s="2">
        <v>45696</v>
      </c>
      <c r="I863" t="s">
        <v>5760</v>
      </c>
      <c r="J863" t="s">
        <v>5768</v>
      </c>
      <c r="K863">
        <v>372868.75</v>
      </c>
      <c r="L863" t="s">
        <v>5775</v>
      </c>
      <c r="M863">
        <v>7</v>
      </c>
    </row>
    <row r="864" spans="1:13" x14ac:dyDescent="0.25">
      <c r="A864">
        <v>863</v>
      </c>
      <c r="B864" t="s">
        <v>875</v>
      </c>
      <c r="C864">
        <v>15</v>
      </c>
      <c r="D864" t="s">
        <v>2948</v>
      </c>
      <c r="E864" t="s">
        <v>2953</v>
      </c>
      <c r="F864" t="s">
        <v>3775</v>
      </c>
      <c r="G864" s="2">
        <v>45679</v>
      </c>
      <c r="H864" s="2">
        <v>45685</v>
      </c>
      <c r="I864" t="s">
        <v>5764</v>
      </c>
      <c r="J864" t="s">
        <v>5771</v>
      </c>
      <c r="K864">
        <v>399312.76</v>
      </c>
      <c r="L864" t="s">
        <v>5773</v>
      </c>
      <c r="M864">
        <v>6</v>
      </c>
    </row>
    <row r="865" spans="1:13" x14ac:dyDescent="0.25">
      <c r="A865">
        <v>864</v>
      </c>
      <c r="B865" t="s">
        <v>876</v>
      </c>
      <c r="C865">
        <v>45</v>
      </c>
      <c r="D865" t="s">
        <v>2948</v>
      </c>
      <c r="E865" t="s">
        <v>2951</v>
      </c>
      <c r="F865" t="s">
        <v>1072</v>
      </c>
      <c r="G865" s="2">
        <v>45589</v>
      </c>
      <c r="H865" s="2">
        <v>45592</v>
      </c>
      <c r="I865" t="s">
        <v>5759</v>
      </c>
      <c r="J865" t="s">
        <v>5768</v>
      </c>
      <c r="K865">
        <v>12333.77</v>
      </c>
      <c r="L865" t="s">
        <v>5775</v>
      </c>
      <c r="M865">
        <v>3</v>
      </c>
    </row>
    <row r="866" spans="1:13" x14ac:dyDescent="0.25">
      <c r="A866">
        <v>865</v>
      </c>
      <c r="B866" t="s">
        <v>877</v>
      </c>
      <c r="C866">
        <v>28</v>
      </c>
      <c r="D866" t="s">
        <v>2948</v>
      </c>
      <c r="E866" t="s">
        <v>2952</v>
      </c>
      <c r="F866" t="s">
        <v>3776</v>
      </c>
      <c r="G866" s="2">
        <v>45851</v>
      </c>
      <c r="H866" s="2">
        <v>45863</v>
      </c>
      <c r="I866" t="s">
        <v>5767</v>
      </c>
      <c r="J866" t="s">
        <v>5769</v>
      </c>
      <c r="K866">
        <v>119807.58</v>
      </c>
      <c r="L866" t="s">
        <v>5773</v>
      </c>
      <c r="M866">
        <v>12</v>
      </c>
    </row>
    <row r="867" spans="1:13" x14ac:dyDescent="0.25">
      <c r="A867">
        <v>866</v>
      </c>
      <c r="B867" t="s">
        <v>878</v>
      </c>
      <c r="C867">
        <v>9</v>
      </c>
      <c r="D867" t="s">
        <v>2948</v>
      </c>
      <c r="E867" t="s">
        <v>2953</v>
      </c>
      <c r="F867" t="s">
        <v>3777</v>
      </c>
      <c r="G867" s="2">
        <v>45664</v>
      </c>
      <c r="H867" s="2">
        <v>45679</v>
      </c>
      <c r="I867" t="s">
        <v>5761</v>
      </c>
      <c r="J867" t="s">
        <v>2949</v>
      </c>
      <c r="K867">
        <v>209599.42</v>
      </c>
      <c r="L867" t="s">
        <v>5773</v>
      </c>
      <c r="M867">
        <v>15</v>
      </c>
    </row>
    <row r="868" spans="1:13" x14ac:dyDescent="0.25">
      <c r="A868">
        <v>867</v>
      </c>
      <c r="B868" t="s">
        <v>879</v>
      </c>
      <c r="C868">
        <v>34</v>
      </c>
      <c r="D868" t="s">
        <v>2947</v>
      </c>
      <c r="E868" t="s">
        <v>2950</v>
      </c>
      <c r="F868" t="s">
        <v>3778</v>
      </c>
      <c r="G868" s="2">
        <v>45799</v>
      </c>
      <c r="H868" s="2">
        <v>45801</v>
      </c>
      <c r="I868" t="s">
        <v>5762</v>
      </c>
      <c r="J868" t="s">
        <v>2949</v>
      </c>
      <c r="K868">
        <v>83508.479999999996</v>
      </c>
      <c r="L868" t="s">
        <v>5773</v>
      </c>
      <c r="M868">
        <v>2</v>
      </c>
    </row>
    <row r="869" spans="1:13" x14ac:dyDescent="0.25">
      <c r="A869">
        <v>868</v>
      </c>
      <c r="B869" t="s">
        <v>880</v>
      </c>
      <c r="C869">
        <v>13</v>
      </c>
      <c r="D869" t="s">
        <v>2947</v>
      </c>
      <c r="E869" t="s">
        <v>2949</v>
      </c>
      <c r="F869" t="s">
        <v>3779</v>
      </c>
      <c r="G869" s="2">
        <v>45551</v>
      </c>
      <c r="H869" s="2">
        <v>45561</v>
      </c>
      <c r="I869" t="s">
        <v>5762</v>
      </c>
      <c r="J869" t="s">
        <v>5770</v>
      </c>
      <c r="K869">
        <v>206170.88</v>
      </c>
      <c r="L869" t="s">
        <v>5775</v>
      </c>
      <c r="M869">
        <v>10</v>
      </c>
    </row>
    <row r="870" spans="1:13" x14ac:dyDescent="0.25">
      <c r="A870">
        <v>869</v>
      </c>
      <c r="B870" t="s">
        <v>881</v>
      </c>
      <c r="C870">
        <v>73</v>
      </c>
      <c r="D870" t="s">
        <v>2948</v>
      </c>
      <c r="E870" t="s">
        <v>2954</v>
      </c>
      <c r="F870" t="s">
        <v>3780</v>
      </c>
      <c r="G870" s="2">
        <v>45858</v>
      </c>
      <c r="H870" s="2">
        <v>45860</v>
      </c>
      <c r="I870" t="s">
        <v>5767</v>
      </c>
      <c r="J870" t="s">
        <v>5770</v>
      </c>
      <c r="K870">
        <v>91117.14</v>
      </c>
      <c r="L870" t="s">
        <v>5775</v>
      </c>
      <c r="M870">
        <v>2</v>
      </c>
    </row>
    <row r="871" spans="1:13" x14ac:dyDescent="0.25">
      <c r="A871">
        <v>870</v>
      </c>
      <c r="B871" t="s">
        <v>882</v>
      </c>
      <c r="C871">
        <v>30</v>
      </c>
      <c r="D871" t="s">
        <v>2948</v>
      </c>
      <c r="E871" t="s">
        <v>2952</v>
      </c>
      <c r="F871" t="s">
        <v>3781</v>
      </c>
      <c r="G871" s="2">
        <v>45830</v>
      </c>
      <c r="H871" s="2">
        <v>45832</v>
      </c>
      <c r="I871" t="s">
        <v>5765</v>
      </c>
      <c r="J871" t="s">
        <v>5768</v>
      </c>
      <c r="K871">
        <v>395778.52</v>
      </c>
      <c r="L871" t="s">
        <v>5775</v>
      </c>
      <c r="M871">
        <v>2</v>
      </c>
    </row>
    <row r="872" spans="1:13" x14ac:dyDescent="0.25">
      <c r="A872">
        <v>871</v>
      </c>
      <c r="B872" t="s">
        <v>883</v>
      </c>
      <c r="C872">
        <v>8</v>
      </c>
      <c r="D872" t="s">
        <v>2948</v>
      </c>
      <c r="E872" t="s">
        <v>2950</v>
      </c>
      <c r="F872" t="s">
        <v>3782</v>
      </c>
      <c r="G872" s="2">
        <v>45733</v>
      </c>
      <c r="H872" s="2">
        <v>45741</v>
      </c>
      <c r="I872" t="s">
        <v>5763</v>
      </c>
      <c r="J872" t="s">
        <v>5768</v>
      </c>
      <c r="K872">
        <v>446441.04</v>
      </c>
      <c r="L872" t="s">
        <v>5774</v>
      </c>
      <c r="M872">
        <v>8</v>
      </c>
    </row>
    <row r="873" spans="1:13" x14ac:dyDescent="0.25">
      <c r="A873">
        <v>872</v>
      </c>
      <c r="B873" t="s">
        <v>884</v>
      </c>
      <c r="C873">
        <v>78</v>
      </c>
      <c r="D873" t="s">
        <v>2948</v>
      </c>
      <c r="E873" t="s">
        <v>2954</v>
      </c>
      <c r="F873" t="s">
        <v>3783</v>
      </c>
      <c r="G873" s="2">
        <v>45782</v>
      </c>
      <c r="H873" s="2">
        <v>45790</v>
      </c>
      <c r="I873" t="s">
        <v>5760</v>
      </c>
      <c r="J873" t="s">
        <v>5770</v>
      </c>
      <c r="K873">
        <v>59341.24</v>
      </c>
      <c r="L873" t="s">
        <v>5774</v>
      </c>
      <c r="M873">
        <v>8</v>
      </c>
    </row>
    <row r="874" spans="1:13" x14ac:dyDescent="0.25">
      <c r="A874">
        <v>873</v>
      </c>
      <c r="B874" t="s">
        <v>885</v>
      </c>
      <c r="C874">
        <v>9</v>
      </c>
      <c r="D874" t="s">
        <v>2947</v>
      </c>
      <c r="E874" t="s">
        <v>2950</v>
      </c>
      <c r="F874" t="s">
        <v>3784</v>
      </c>
      <c r="G874" s="2">
        <v>45807</v>
      </c>
      <c r="H874" s="2">
        <v>45818</v>
      </c>
      <c r="I874" t="s">
        <v>5758</v>
      </c>
      <c r="J874" t="s">
        <v>5771</v>
      </c>
      <c r="K874">
        <v>377560.12</v>
      </c>
      <c r="L874" t="s">
        <v>5773</v>
      </c>
      <c r="M874">
        <v>11</v>
      </c>
    </row>
    <row r="875" spans="1:13" x14ac:dyDescent="0.25">
      <c r="A875">
        <v>874</v>
      </c>
      <c r="B875" t="s">
        <v>886</v>
      </c>
      <c r="C875">
        <v>41</v>
      </c>
      <c r="D875" t="s">
        <v>2947</v>
      </c>
      <c r="E875" t="s">
        <v>2950</v>
      </c>
      <c r="F875" t="s">
        <v>3785</v>
      </c>
      <c r="G875" s="2">
        <v>45746</v>
      </c>
      <c r="H875" s="2">
        <v>45749</v>
      </c>
      <c r="I875" t="s">
        <v>5767</v>
      </c>
      <c r="J875" t="s">
        <v>2949</v>
      </c>
      <c r="K875">
        <v>374945.43</v>
      </c>
      <c r="L875" t="s">
        <v>5775</v>
      </c>
      <c r="M875">
        <v>3</v>
      </c>
    </row>
    <row r="876" spans="1:13" x14ac:dyDescent="0.25">
      <c r="A876">
        <v>875</v>
      </c>
      <c r="B876" t="s">
        <v>887</v>
      </c>
      <c r="C876">
        <v>25</v>
      </c>
      <c r="D876" t="s">
        <v>2947</v>
      </c>
      <c r="E876" t="s">
        <v>2953</v>
      </c>
      <c r="F876" t="s">
        <v>3786</v>
      </c>
      <c r="G876" s="2">
        <v>45797</v>
      </c>
      <c r="H876" s="2">
        <v>45803</v>
      </c>
      <c r="I876" t="s">
        <v>5766</v>
      </c>
      <c r="J876" t="s">
        <v>5769</v>
      </c>
      <c r="K876">
        <v>230458</v>
      </c>
      <c r="L876" t="s">
        <v>5773</v>
      </c>
      <c r="M876">
        <v>6</v>
      </c>
    </row>
    <row r="877" spans="1:13" x14ac:dyDescent="0.25">
      <c r="A877">
        <v>876</v>
      </c>
      <c r="B877" t="s">
        <v>888</v>
      </c>
      <c r="C877">
        <v>24</v>
      </c>
      <c r="D877" t="s">
        <v>2948</v>
      </c>
      <c r="E877" t="s">
        <v>2949</v>
      </c>
      <c r="F877" t="s">
        <v>3787</v>
      </c>
      <c r="G877" s="2">
        <v>45838</v>
      </c>
      <c r="H877" s="2">
        <v>45840</v>
      </c>
      <c r="I877" t="s">
        <v>5767</v>
      </c>
      <c r="J877" t="s">
        <v>5768</v>
      </c>
      <c r="K877">
        <v>79786.41</v>
      </c>
      <c r="L877" t="s">
        <v>5774</v>
      </c>
      <c r="M877">
        <v>2</v>
      </c>
    </row>
    <row r="878" spans="1:13" x14ac:dyDescent="0.25">
      <c r="A878">
        <v>877</v>
      </c>
      <c r="B878" t="s">
        <v>889</v>
      </c>
      <c r="C878">
        <v>25</v>
      </c>
      <c r="D878" t="s">
        <v>2948</v>
      </c>
      <c r="E878" t="s">
        <v>2953</v>
      </c>
      <c r="F878" t="s">
        <v>3788</v>
      </c>
      <c r="G878" s="2">
        <v>45908</v>
      </c>
      <c r="H878" s="2">
        <v>45916</v>
      </c>
      <c r="I878" t="s">
        <v>5760</v>
      </c>
      <c r="J878" t="s">
        <v>5772</v>
      </c>
      <c r="K878">
        <v>334789.56</v>
      </c>
      <c r="L878" t="s">
        <v>5774</v>
      </c>
      <c r="M878">
        <v>8</v>
      </c>
    </row>
    <row r="879" spans="1:13" x14ac:dyDescent="0.25">
      <c r="A879">
        <v>878</v>
      </c>
      <c r="B879" t="s">
        <v>890</v>
      </c>
      <c r="C879">
        <v>8</v>
      </c>
      <c r="D879" t="s">
        <v>2947</v>
      </c>
      <c r="E879" t="s">
        <v>2950</v>
      </c>
      <c r="F879" t="s">
        <v>3789</v>
      </c>
      <c r="G879" s="2">
        <v>45692</v>
      </c>
      <c r="H879" s="2">
        <v>45696</v>
      </c>
      <c r="I879" t="s">
        <v>5766</v>
      </c>
      <c r="J879" t="s">
        <v>5771</v>
      </c>
      <c r="K879">
        <v>25408.080000000002</v>
      </c>
      <c r="L879" t="s">
        <v>5775</v>
      </c>
      <c r="M879">
        <v>4</v>
      </c>
    </row>
    <row r="880" spans="1:13" x14ac:dyDescent="0.25">
      <c r="A880">
        <v>879</v>
      </c>
      <c r="B880" t="s">
        <v>891</v>
      </c>
      <c r="C880">
        <v>27</v>
      </c>
      <c r="D880" t="s">
        <v>2948</v>
      </c>
      <c r="E880" t="s">
        <v>2949</v>
      </c>
      <c r="F880" t="s">
        <v>3790</v>
      </c>
      <c r="G880" s="2">
        <v>45728</v>
      </c>
      <c r="H880" s="2">
        <v>45729</v>
      </c>
      <c r="I880" t="s">
        <v>5767</v>
      </c>
      <c r="J880" t="s">
        <v>5769</v>
      </c>
      <c r="K880">
        <v>267444.21999999997</v>
      </c>
      <c r="L880" t="s">
        <v>5774</v>
      </c>
      <c r="M880">
        <v>1</v>
      </c>
    </row>
    <row r="881" spans="1:13" x14ac:dyDescent="0.25">
      <c r="A881">
        <v>880</v>
      </c>
      <c r="B881" t="s">
        <v>892</v>
      </c>
      <c r="C881">
        <v>63</v>
      </c>
      <c r="D881" t="s">
        <v>2948</v>
      </c>
      <c r="E881" t="s">
        <v>2949</v>
      </c>
      <c r="F881" t="s">
        <v>3791</v>
      </c>
      <c r="G881" s="2">
        <v>45608</v>
      </c>
      <c r="H881" s="2">
        <v>45621</v>
      </c>
      <c r="I881" t="s">
        <v>5763</v>
      </c>
      <c r="J881" t="s">
        <v>5768</v>
      </c>
      <c r="K881">
        <v>251698.54</v>
      </c>
      <c r="L881" t="s">
        <v>5773</v>
      </c>
      <c r="M881">
        <v>13</v>
      </c>
    </row>
    <row r="882" spans="1:13" x14ac:dyDescent="0.25">
      <c r="A882">
        <v>881</v>
      </c>
      <c r="B882" t="s">
        <v>893</v>
      </c>
      <c r="C882">
        <v>41</v>
      </c>
      <c r="D882" t="s">
        <v>2947</v>
      </c>
      <c r="E882" t="s">
        <v>2952</v>
      </c>
      <c r="F882" t="s">
        <v>3792</v>
      </c>
      <c r="G882" s="2">
        <v>45820</v>
      </c>
      <c r="H882" s="2">
        <v>45828</v>
      </c>
      <c r="I882" t="s">
        <v>5765</v>
      </c>
      <c r="J882" t="s">
        <v>5771</v>
      </c>
      <c r="K882">
        <v>368630.34</v>
      </c>
      <c r="L882" t="s">
        <v>5773</v>
      </c>
      <c r="M882">
        <v>8</v>
      </c>
    </row>
    <row r="883" spans="1:13" x14ac:dyDescent="0.25">
      <c r="A883">
        <v>882</v>
      </c>
      <c r="B883" t="s">
        <v>894</v>
      </c>
      <c r="C883">
        <v>50</v>
      </c>
      <c r="D883" t="s">
        <v>2947</v>
      </c>
      <c r="E883" t="s">
        <v>2950</v>
      </c>
      <c r="F883" t="s">
        <v>3718</v>
      </c>
      <c r="G883" s="2">
        <v>45701</v>
      </c>
      <c r="H883" s="2">
        <v>45709</v>
      </c>
      <c r="I883" t="s">
        <v>5764</v>
      </c>
      <c r="J883" t="s">
        <v>5772</v>
      </c>
      <c r="K883">
        <v>19919.23</v>
      </c>
      <c r="L883" t="s">
        <v>5775</v>
      </c>
      <c r="M883">
        <v>8</v>
      </c>
    </row>
    <row r="884" spans="1:13" x14ac:dyDescent="0.25">
      <c r="A884">
        <v>883</v>
      </c>
      <c r="B884" t="s">
        <v>895</v>
      </c>
      <c r="C884">
        <v>5</v>
      </c>
      <c r="D884" t="s">
        <v>2947</v>
      </c>
      <c r="E884" t="s">
        <v>2950</v>
      </c>
      <c r="F884" t="s">
        <v>3793</v>
      </c>
      <c r="G884" s="2">
        <v>45738</v>
      </c>
      <c r="H884" s="2">
        <v>45740</v>
      </c>
      <c r="I884" t="s">
        <v>5761</v>
      </c>
      <c r="J884" t="s">
        <v>5770</v>
      </c>
      <c r="K884">
        <v>93756.09</v>
      </c>
      <c r="L884" t="s">
        <v>5775</v>
      </c>
      <c r="M884">
        <v>2</v>
      </c>
    </row>
    <row r="885" spans="1:13" x14ac:dyDescent="0.25">
      <c r="A885">
        <v>884</v>
      </c>
      <c r="B885" t="s">
        <v>896</v>
      </c>
      <c r="C885">
        <v>69</v>
      </c>
      <c r="D885" t="s">
        <v>2947</v>
      </c>
      <c r="E885" t="s">
        <v>2952</v>
      </c>
      <c r="F885" t="s">
        <v>3794</v>
      </c>
      <c r="G885" s="2">
        <v>45851</v>
      </c>
      <c r="H885" s="2">
        <v>45852</v>
      </c>
      <c r="I885" t="s">
        <v>5761</v>
      </c>
      <c r="J885" t="s">
        <v>5768</v>
      </c>
      <c r="K885">
        <v>399552.21</v>
      </c>
      <c r="L885" t="s">
        <v>5773</v>
      </c>
      <c r="M885">
        <v>1</v>
      </c>
    </row>
    <row r="886" spans="1:13" x14ac:dyDescent="0.25">
      <c r="A886">
        <v>885</v>
      </c>
      <c r="B886" t="s">
        <v>897</v>
      </c>
      <c r="C886">
        <v>35</v>
      </c>
      <c r="D886" t="s">
        <v>2948</v>
      </c>
      <c r="E886" t="s">
        <v>2949</v>
      </c>
      <c r="F886" t="s">
        <v>3795</v>
      </c>
      <c r="G886" s="2">
        <v>45575</v>
      </c>
      <c r="H886" s="2">
        <v>45580</v>
      </c>
      <c r="I886" t="s">
        <v>5764</v>
      </c>
      <c r="J886" t="s">
        <v>5772</v>
      </c>
      <c r="K886">
        <v>320468.8</v>
      </c>
      <c r="L886" t="s">
        <v>5773</v>
      </c>
      <c r="M886">
        <v>5</v>
      </c>
    </row>
    <row r="887" spans="1:13" x14ac:dyDescent="0.25">
      <c r="A887">
        <v>886</v>
      </c>
      <c r="B887" t="s">
        <v>898</v>
      </c>
      <c r="C887">
        <v>2</v>
      </c>
      <c r="D887" t="s">
        <v>2948</v>
      </c>
      <c r="E887" t="s">
        <v>2955</v>
      </c>
      <c r="F887" t="s">
        <v>3796</v>
      </c>
      <c r="G887" s="2">
        <v>45752</v>
      </c>
      <c r="H887" s="2">
        <v>45760</v>
      </c>
      <c r="I887" t="s">
        <v>5759</v>
      </c>
      <c r="J887" t="s">
        <v>5769</v>
      </c>
      <c r="K887">
        <v>242945.72</v>
      </c>
      <c r="L887" t="s">
        <v>5775</v>
      </c>
      <c r="M887">
        <v>8</v>
      </c>
    </row>
    <row r="888" spans="1:13" x14ac:dyDescent="0.25">
      <c r="A888">
        <v>887</v>
      </c>
      <c r="B888" t="s">
        <v>899</v>
      </c>
      <c r="C888">
        <v>10</v>
      </c>
      <c r="D888" t="s">
        <v>2947</v>
      </c>
      <c r="E888" t="s">
        <v>2955</v>
      </c>
      <c r="F888" t="s">
        <v>3797</v>
      </c>
      <c r="G888" s="2">
        <v>45785</v>
      </c>
      <c r="H888" s="2">
        <v>45800</v>
      </c>
      <c r="I888" t="s">
        <v>5759</v>
      </c>
      <c r="J888" t="s">
        <v>2949</v>
      </c>
      <c r="K888">
        <v>436723.98</v>
      </c>
      <c r="L888" t="s">
        <v>5775</v>
      </c>
      <c r="M888">
        <v>15</v>
      </c>
    </row>
    <row r="889" spans="1:13" x14ac:dyDescent="0.25">
      <c r="A889">
        <v>888</v>
      </c>
      <c r="B889" t="s">
        <v>900</v>
      </c>
      <c r="C889">
        <v>86</v>
      </c>
      <c r="D889" t="s">
        <v>2947</v>
      </c>
      <c r="E889" t="s">
        <v>2955</v>
      </c>
      <c r="F889" t="s">
        <v>3798</v>
      </c>
      <c r="G889" s="2">
        <v>45683</v>
      </c>
      <c r="H889" s="2">
        <v>45695</v>
      </c>
      <c r="I889" t="s">
        <v>5763</v>
      </c>
      <c r="J889" t="s">
        <v>2949</v>
      </c>
      <c r="K889">
        <v>375911.1</v>
      </c>
      <c r="L889" t="s">
        <v>5775</v>
      </c>
      <c r="M889">
        <v>12</v>
      </c>
    </row>
    <row r="890" spans="1:13" x14ac:dyDescent="0.25">
      <c r="A890">
        <v>889</v>
      </c>
      <c r="B890" t="s">
        <v>901</v>
      </c>
      <c r="C890">
        <v>63</v>
      </c>
      <c r="D890" t="s">
        <v>2948</v>
      </c>
      <c r="E890" t="s">
        <v>2949</v>
      </c>
      <c r="F890" t="s">
        <v>3799</v>
      </c>
      <c r="G890" s="2">
        <v>45695</v>
      </c>
      <c r="H890" s="2">
        <v>45700</v>
      </c>
      <c r="I890" t="s">
        <v>5766</v>
      </c>
      <c r="J890" t="s">
        <v>5770</v>
      </c>
      <c r="K890">
        <v>237948.99</v>
      </c>
      <c r="L890" t="s">
        <v>5775</v>
      </c>
      <c r="M890">
        <v>5</v>
      </c>
    </row>
    <row r="891" spans="1:13" x14ac:dyDescent="0.25">
      <c r="A891">
        <v>890</v>
      </c>
      <c r="B891" t="s">
        <v>902</v>
      </c>
      <c r="C891">
        <v>28</v>
      </c>
      <c r="D891" t="s">
        <v>2948</v>
      </c>
      <c r="E891" t="s">
        <v>2955</v>
      </c>
      <c r="F891" t="s">
        <v>3800</v>
      </c>
      <c r="G891" s="2">
        <v>45904</v>
      </c>
      <c r="H891" s="2">
        <v>45919</v>
      </c>
      <c r="I891" t="s">
        <v>5761</v>
      </c>
      <c r="J891" t="s">
        <v>5769</v>
      </c>
      <c r="K891">
        <v>123403.89</v>
      </c>
      <c r="L891" t="s">
        <v>5773</v>
      </c>
      <c r="M891">
        <v>15</v>
      </c>
    </row>
    <row r="892" spans="1:13" x14ac:dyDescent="0.25">
      <c r="A892">
        <v>891</v>
      </c>
      <c r="B892" t="s">
        <v>903</v>
      </c>
      <c r="C892">
        <v>82</v>
      </c>
      <c r="D892" t="s">
        <v>2947</v>
      </c>
      <c r="E892" t="s">
        <v>2954</v>
      </c>
      <c r="F892" t="s">
        <v>3801</v>
      </c>
      <c r="G892" s="2">
        <v>45593</v>
      </c>
      <c r="H892" s="2">
        <v>45603</v>
      </c>
      <c r="I892" t="s">
        <v>5765</v>
      </c>
      <c r="J892" t="s">
        <v>5771</v>
      </c>
      <c r="K892">
        <v>367930.43</v>
      </c>
      <c r="L892" t="s">
        <v>5775</v>
      </c>
      <c r="M892">
        <v>10</v>
      </c>
    </row>
    <row r="893" spans="1:13" x14ac:dyDescent="0.25">
      <c r="A893">
        <v>892</v>
      </c>
      <c r="B893" t="s">
        <v>904</v>
      </c>
      <c r="C893">
        <v>81</v>
      </c>
      <c r="D893" t="s">
        <v>2948</v>
      </c>
      <c r="E893" t="s">
        <v>2952</v>
      </c>
      <c r="F893" t="s">
        <v>3802</v>
      </c>
      <c r="G893" s="2">
        <v>45656</v>
      </c>
      <c r="H893" s="2">
        <v>45664</v>
      </c>
      <c r="I893" t="s">
        <v>5766</v>
      </c>
      <c r="J893" t="s">
        <v>5772</v>
      </c>
      <c r="K893">
        <v>270373.05</v>
      </c>
      <c r="L893" t="s">
        <v>5775</v>
      </c>
      <c r="M893">
        <v>8</v>
      </c>
    </row>
    <row r="894" spans="1:13" x14ac:dyDescent="0.25">
      <c r="A894">
        <v>893</v>
      </c>
      <c r="B894" t="s">
        <v>905</v>
      </c>
      <c r="C894">
        <v>8</v>
      </c>
      <c r="D894" t="s">
        <v>2948</v>
      </c>
      <c r="E894" t="s">
        <v>2955</v>
      </c>
      <c r="F894" t="s">
        <v>3381</v>
      </c>
      <c r="G894" s="2">
        <v>45895</v>
      </c>
      <c r="H894" s="2">
        <v>45899</v>
      </c>
      <c r="I894" t="s">
        <v>5758</v>
      </c>
      <c r="J894" t="s">
        <v>2949</v>
      </c>
      <c r="K894">
        <v>96983.27</v>
      </c>
      <c r="L894" t="s">
        <v>5774</v>
      </c>
      <c r="M894">
        <v>4</v>
      </c>
    </row>
    <row r="895" spans="1:13" x14ac:dyDescent="0.25">
      <c r="A895">
        <v>894</v>
      </c>
      <c r="B895" t="s">
        <v>906</v>
      </c>
      <c r="C895">
        <v>33</v>
      </c>
      <c r="D895" t="s">
        <v>2948</v>
      </c>
      <c r="E895" t="s">
        <v>2949</v>
      </c>
      <c r="F895" t="s">
        <v>3803</v>
      </c>
      <c r="G895" s="2">
        <v>45682</v>
      </c>
      <c r="H895" s="2">
        <v>45684</v>
      </c>
      <c r="I895" t="s">
        <v>5760</v>
      </c>
      <c r="J895" t="s">
        <v>2949</v>
      </c>
      <c r="K895">
        <v>473029.8</v>
      </c>
      <c r="L895" t="s">
        <v>5773</v>
      </c>
      <c r="M895">
        <v>2</v>
      </c>
    </row>
    <row r="896" spans="1:13" x14ac:dyDescent="0.25">
      <c r="A896">
        <v>895</v>
      </c>
      <c r="B896" t="s">
        <v>907</v>
      </c>
      <c r="C896">
        <v>58</v>
      </c>
      <c r="D896" t="s">
        <v>2947</v>
      </c>
      <c r="E896" t="s">
        <v>2949</v>
      </c>
      <c r="F896" t="s">
        <v>3804</v>
      </c>
      <c r="G896" s="2">
        <v>45573</v>
      </c>
      <c r="H896" s="2">
        <v>45577</v>
      </c>
      <c r="I896" t="s">
        <v>5766</v>
      </c>
      <c r="J896" t="s">
        <v>5771</v>
      </c>
      <c r="K896">
        <v>414162.21</v>
      </c>
      <c r="L896" t="s">
        <v>5774</v>
      </c>
      <c r="M896">
        <v>4</v>
      </c>
    </row>
    <row r="897" spans="1:13" x14ac:dyDescent="0.25">
      <c r="A897">
        <v>896</v>
      </c>
      <c r="B897" t="s">
        <v>908</v>
      </c>
      <c r="C897">
        <v>36</v>
      </c>
      <c r="D897" t="s">
        <v>2947</v>
      </c>
      <c r="E897" t="s">
        <v>2952</v>
      </c>
      <c r="F897" t="s">
        <v>3805</v>
      </c>
      <c r="G897" s="2">
        <v>45861</v>
      </c>
      <c r="H897" s="2">
        <v>45867</v>
      </c>
      <c r="I897" t="s">
        <v>5765</v>
      </c>
      <c r="J897" t="s">
        <v>5772</v>
      </c>
      <c r="K897">
        <v>56189.45</v>
      </c>
      <c r="L897" t="s">
        <v>5774</v>
      </c>
      <c r="M897">
        <v>6</v>
      </c>
    </row>
    <row r="898" spans="1:13" x14ac:dyDescent="0.25">
      <c r="A898">
        <v>897</v>
      </c>
      <c r="B898" t="s">
        <v>909</v>
      </c>
      <c r="C898">
        <v>17</v>
      </c>
      <c r="D898" t="s">
        <v>2947</v>
      </c>
      <c r="E898" t="s">
        <v>2954</v>
      </c>
      <c r="F898" t="s">
        <v>3806</v>
      </c>
      <c r="G898" s="2">
        <v>45789</v>
      </c>
      <c r="H898" s="2">
        <v>45794</v>
      </c>
      <c r="I898" t="s">
        <v>5767</v>
      </c>
      <c r="J898" t="s">
        <v>5769</v>
      </c>
      <c r="K898">
        <v>469746.19</v>
      </c>
      <c r="L898" t="s">
        <v>5775</v>
      </c>
      <c r="M898">
        <v>5</v>
      </c>
    </row>
    <row r="899" spans="1:13" x14ac:dyDescent="0.25">
      <c r="A899">
        <v>898</v>
      </c>
      <c r="B899" t="s">
        <v>910</v>
      </c>
      <c r="C899">
        <v>74</v>
      </c>
      <c r="D899" t="s">
        <v>2947</v>
      </c>
      <c r="E899" t="s">
        <v>2955</v>
      </c>
      <c r="F899" t="s">
        <v>3807</v>
      </c>
      <c r="G899" s="2">
        <v>45675</v>
      </c>
      <c r="H899" s="2">
        <v>45681</v>
      </c>
      <c r="I899" t="s">
        <v>5762</v>
      </c>
      <c r="J899" t="s">
        <v>2949</v>
      </c>
      <c r="K899">
        <v>312641.51</v>
      </c>
      <c r="L899" t="s">
        <v>5773</v>
      </c>
      <c r="M899">
        <v>6</v>
      </c>
    </row>
    <row r="900" spans="1:13" x14ac:dyDescent="0.25">
      <c r="A900">
        <v>899</v>
      </c>
      <c r="B900" t="s">
        <v>911</v>
      </c>
      <c r="C900">
        <v>46</v>
      </c>
      <c r="D900" t="s">
        <v>2948</v>
      </c>
      <c r="E900" t="s">
        <v>2953</v>
      </c>
      <c r="F900" t="s">
        <v>3808</v>
      </c>
      <c r="G900" s="2">
        <v>45712</v>
      </c>
      <c r="H900" s="2">
        <v>45720</v>
      </c>
      <c r="I900" t="s">
        <v>5760</v>
      </c>
      <c r="J900" t="s">
        <v>5768</v>
      </c>
      <c r="K900">
        <v>281253.69</v>
      </c>
      <c r="L900" t="s">
        <v>5775</v>
      </c>
      <c r="M900">
        <v>8</v>
      </c>
    </row>
    <row r="901" spans="1:13" x14ac:dyDescent="0.25">
      <c r="A901">
        <v>900</v>
      </c>
      <c r="B901" t="s">
        <v>912</v>
      </c>
      <c r="C901">
        <v>2</v>
      </c>
      <c r="D901" t="s">
        <v>2947</v>
      </c>
      <c r="E901" t="s">
        <v>2952</v>
      </c>
      <c r="F901" t="s">
        <v>3809</v>
      </c>
      <c r="G901" s="2">
        <v>45569</v>
      </c>
      <c r="H901" s="2">
        <v>45581</v>
      </c>
      <c r="I901" t="s">
        <v>5760</v>
      </c>
      <c r="J901" t="s">
        <v>5769</v>
      </c>
      <c r="K901">
        <v>353566.8</v>
      </c>
      <c r="L901" t="s">
        <v>5773</v>
      </c>
      <c r="M901">
        <v>12</v>
      </c>
    </row>
    <row r="902" spans="1:13" x14ac:dyDescent="0.25">
      <c r="A902">
        <v>901</v>
      </c>
      <c r="B902" t="s">
        <v>913</v>
      </c>
      <c r="C902">
        <v>82</v>
      </c>
      <c r="D902" t="s">
        <v>2947</v>
      </c>
      <c r="E902" t="s">
        <v>2954</v>
      </c>
      <c r="F902" t="s">
        <v>3810</v>
      </c>
      <c r="G902" s="2">
        <v>45779</v>
      </c>
      <c r="H902" s="2">
        <v>45780</v>
      </c>
      <c r="I902" t="s">
        <v>5765</v>
      </c>
      <c r="J902" t="s">
        <v>5771</v>
      </c>
      <c r="K902">
        <v>336300.48</v>
      </c>
      <c r="L902" t="s">
        <v>5773</v>
      </c>
      <c r="M902">
        <v>1</v>
      </c>
    </row>
    <row r="903" spans="1:13" x14ac:dyDescent="0.25">
      <c r="A903">
        <v>902</v>
      </c>
      <c r="B903" t="s">
        <v>914</v>
      </c>
      <c r="C903">
        <v>43</v>
      </c>
      <c r="D903" t="s">
        <v>2948</v>
      </c>
      <c r="E903" t="s">
        <v>2954</v>
      </c>
      <c r="F903" t="s">
        <v>3811</v>
      </c>
      <c r="G903" s="2">
        <v>45682</v>
      </c>
      <c r="H903" s="2">
        <v>45692</v>
      </c>
      <c r="I903" t="s">
        <v>5762</v>
      </c>
      <c r="J903" t="s">
        <v>5770</v>
      </c>
      <c r="K903">
        <v>69376.38</v>
      </c>
      <c r="L903" t="s">
        <v>5775</v>
      </c>
      <c r="M903">
        <v>10</v>
      </c>
    </row>
    <row r="904" spans="1:13" x14ac:dyDescent="0.25">
      <c r="A904">
        <v>903</v>
      </c>
      <c r="B904" t="s">
        <v>915</v>
      </c>
      <c r="C904">
        <v>35</v>
      </c>
      <c r="D904" t="s">
        <v>2948</v>
      </c>
      <c r="E904" t="s">
        <v>2950</v>
      </c>
      <c r="F904" t="s">
        <v>3812</v>
      </c>
      <c r="G904" s="2">
        <v>45746</v>
      </c>
      <c r="H904" s="2">
        <v>45752</v>
      </c>
      <c r="I904" t="s">
        <v>5767</v>
      </c>
      <c r="J904" t="s">
        <v>5769</v>
      </c>
      <c r="K904">
        <v>13627.5</v>
      </c>
      <c r="L904" t="s">
        <v>5773</v>
      </c>
      <c r="M904">
        <v>6</v>
      </c>
    </row>
    <row r="905" spans="1:13" x14ac:dyDescent="0.25">
      <c r="A905">
        <v>904</v>
      </c>
      <c r="B905" t="s">
        <v>916</v>
      </c>
      <c r="C905">
        <v>20</v>
      </c>
      <c r="D905" t="s">
        <v>2947</v>
      </c>
      <c r="E905" t="s">
        <v>2953</v>
      </c>
      <c r="F905" t="s">
        <v>3813</v>
      </c>
      <c r="G905" s="2">
        <v>45781</v>
      </c>
      <c r="H905" s="2">
        <v>45783</v>
      </c>
      <c r="I905" t="s">
        <v>5760</v>
      </c>
      <c r="J905" t="s">
        <v>5768</v>
      </c>
      <c r="K905">
        <v>481934.24</v>
      </c>
      <c r="L905" t="s">
        <v>5773</v>
      </c>
      <c r="M905">
        <v>2</v>
      </c>
    </row>
    <row r="906" spans="1:13" x14ac:dyDescent="0.25">
      <c r="A906">
        <v>905</v>
      </c>
      <c r="B906" t="s">
        <v>917</v>
      </c>
      <c r="C906">
        <v>23</v>
      </c>
      <c r="D906" t="s">
        <v>2947</v>
      </c>
      <c r="E906" t="s">
        <v>2952</v>
      </c>
      <c r="F906" t="s">
        <v>3814</v>
      </c>
      <c r="G906" s="2">
        <v>45597</v>
      </c>
      <c r="H906" s="2">
        <v>45598</v>
      </c>
      <c r="I906" t="s">
        <v>5762</v>
      </c>
      <c r="J906" t="s">
        <v>5768</v>
      </c>
      <c r="K906">
        <v>124940.08</v>
      </c>
      <c r="L906" t="s">
        <v>5773</v>
      </c>
      <c r="M906">
        <v>1</v>
      </c>
    </row>
    <row r="907" spans="1:13" x14ac:dyDescent="0.25">
      <c r="A907">
        <v>906</v>
      </c>
      <c r="B907" t="s">
        <v>918</v>
      </c>
      <c r="C907">
        <v>81</v>
      </c>
      <c r="D907" t="s">
        <v>2948</v>
      </c>
      <c r="E907" t="s">
        <v>2951</v>
      </c>
      <c r="F907" t="s">
        <v>3815</v>
      </c>
      <c r="G907" s="2">
        <v>45896</v>
      </c>
      <c r="H907" s="2">
        <v>45911</v>
      </c>
      <c r="I907" t="s">
        <v>5762</v>
      </c>
      <c r="J907" t="s">
        <v>2949</v>
      </c>
      <c r="K907">
        <v>427826.39</v>
      </c>
      <c r="L907" t="s">
        <v>5775</v>
      </c>
      <c r="M907">
        <v>15</v>
      </c>
    </row>
    <row r="908" spans="1:13" x14ac:dyDescent="0.25">
      <c r="A908">
        <v>907</v>
      </c>
      <c r="B908" t="s">
        <v>919</v>
      </c>
      <c r="C908">
        <v>42</v>
      </c>
      <c r="D908" t="s">
        <v>2948</v>
      </c>
      <c r="E908" t="s">
        <v>2952</v>
      </c>
      <c r="F908" t="s">
        <v>3816</v>
      </c>
      <c r="G908" s="2">
        <v>45765</v>
      </c>
      <c r="H908" s="2">
        <v>45766</v>
      </c>
      <c r="I908" t="s">
        <v>5761</v>
      </c>
      <c r="J908" t="s">
        <v>5771</v>
      </c>
      <c r="K908">
        <v>312763.65000000002</v>
      </c>
      <c r="L908" t="s">
        <v>5775</v>
      </c>
      <c r="M908">
        <v>1</v>
      </c>
    </row>
    <row r="909" spans="1:13" x14ac:dyDescent="0.25">
      <c r="A909">
        <v>908</v>
      </c>
      <c r="B909" t="s">
        <v>920</v>
      </c>
      <c r="C909">
        <v>36</v>
      </c>
      <c r="D909" t="s">
        <v>2948</v>
      </c>
      <c r="E909" t="s">
        <v>2950</v>
      </c>
      <c r="F909" t="s">
        <v>3817</v>
      </c>
      <c r="G909" s="2">
        <v>45716</v>
      </c>
      <c r="H909" s="2">
        <v>45727</v>
      </c>
      <c r="I909" t="s">
        <v>5764</v>
      </c>
      <c r="J909" t="s">
        <v>2949</v>
      </c>
      <c r="K909">
        <v>80789.919999999998</v>
      </c>
      <c r="L909" t="s">
        <v>5773</v>
      </c>
      <c r="M909">
        <v>11</v>
      </c>
    </row>
    <row r="910" spans="1:13" x14ac:dyDescent="0.25">
      <c r="A910">
        <v>909</v>
      </c>
      <c r="B910" t="s">
        <v>921</v>
      </c>
      <c r="C910">
        <v>26</v>
      </c>
      <c r="D910" t="s">
        <v>2947</v>
      </c>
      <c r="E910" t="s">
        <v>2949</v>
      </c>
      <c r="F910" t="s">
        <v>3818</v>
      </c>
      <c r="G910" s="2">
        <v>45752</v>
      </c>
      <c r="H910" s="2">
        <v>45756</v>
      </c>
      <c r="I910" t="s">
        <v>5765</v>
      </c>
      <c r="J910" t="s">
        <v>5771</v>
      </c>
      <c r="K910">
        <v>151980.88</v>
      </c>
      <c r="L910" t="s">
        <v>5775</v>
      </c>
      <c r="M910">
        <v>4</v>
      </c>
    </row>
    <row r="911" spans="1:13" x14ac:dyDescent="0.25">
      <c r="A911">
        <v>910</v>
      </c>
      <c r="B911" t="s">
        <v>922</v>
      </c>
      <c r="C911">
        <v>67</v>
      </c>
      <c r="D911" t="s">
        <v>2948</v>
      </c>
      <c r="E911" t="s">
        <v>2954</v>
      </c>
      <c r="F911" t="s">
        <v>3819</v>
      </c>
      <c r="G911" s="2">
        <v>45616</v>
      </c>
      <c r="H911" s="2">
        <v>45618</v>
      </c>
      <c r="I911" t="s">
        <v>5765</v>
      </c>
      <c r="J911" t="s">
        <v>2949</v>
      </c>
      <c r="K911">
        <v>341102.72</v>
      </c>
      <c r="L911" t="s">
        <v>5775</v>
      </c>
      <c r="M911">
        <v>2</v>
      </c>
    </row>
    <row r="912" spans="1:13" x14ac:dyDescent="0.25">
      <c r="A912">
        <v>911</v>
      </c>
      <c r="B912" t="s">
        <v>923</v>
      </c>
      <c r="C912">
        <v>40</v>
      </c>
      <c r="D912" t="s">
        <v>2948</v>
      </c>
      <c r="E912" t="s">
        <v>2955</v>
      </c>
      <c r="F912" t="s">
        <v>3820</v>
      </c>
      <c r="G912" s="2">
        <v>45767</v>
      </c>
      <c r="H912" s="2">
        <v>45780</v>
      </c>
      <c r="I912" t="s">
        <v>5766</v>
      </c>
      <c r="J912" t="s">
        <v>5770</v>
      </c>
      <c r="K912">
        <v>154602.81</v>
      </c>
      <c r="L912" t="s">
        <v>5773</v>
      </c>
      <c r="M912">
        <v>13</v>
      </c>
    </row>
    <row r="913" spans="1:13" x14ac:dyDescent="0.25">
      <c r="A913">
        <v>912</v>
      </c>
      <c r="B913" t="s">
        <v>924</v>
      </c>
      <c r="C913">
        <v>29</v>
      </c>
      <c r="D913" t="s">
        <v>2947</v>
      </c>
      <c r="E913" t="s">
        <v>2954</v>
      </c>
      <c r="F913" t="s">
        <v>3821</v>
      </c>
      <c r="G913" s="2">
        <v>45828</v>
      </c>
      <c r="H913" s="2">
        <v>45838</v>
      </c>
      <c r="I913" t="s">
        <v>5762</v>
      </c>
      <c r="J913" t="s">
        <v>2949</v>
      </c>
      <c r="K913">
        <v>19628.669999999998</v>
      </c>
      <c r="L913" t="s">
        <v>5775</v>
      </c>
      <c r="M913">
        <v>10</v>
      </c>
    </row>
    <row r="914" spans="1:13" x14ac:dyDescent="0.25">
      <c r="A914">
        <v>913</v>
      </c>
      <c r="B914" t="s">
        <v>925</v>
      </c>
      <c r="C914">
        <v>86</v>
      </c>
      <c r="D914" t="s">
        <v>2948</v>
      </c>
      <c r="E914" t="s">
        <v>2950</v>
      </c>
      <c r="F914" t="s">
        <v>3822</v>
      </c>
      <c r="G914" s="2">
        <v>45576</v>
      </c>
      <c r="H914" s="2">
        <v>45578</v>
      </c>
      <c r="I914" t="s">
        <v>5766</v>
      </c>
      <c r="J914" t="s">
        <v>5772</v>
      </c>
      <c r="K914">
        <v>180744.79</v>
      </c>
      <c r="L914" t="s">
        <v>5775</v>
      </c>
      <c r="M914">
        <v>2</v>
      </c>
    </row>
    <row r="915" spans="1:13" x14ac:dyDescent="0.25">
      <c r="A915">
        <v>914</v>
      </c>
      <c r="B915" t="s">
        <v>926</v>
      </c>
      <c r="C915">
        <v>27</v>
      </c>
      <c r="D915" t="s">
        <v>2947</v>
      </c>
      <c r="E915" t="s">
        <v>2953</v>
      </c>
      <c r="F915" t="s">
        <v>3823</v>
      </c>
      <c r="G915" s="2">
        <v>45833</v>
      </c>
      <c r="H915" s="2">
        <v>45845</v>
      </c>
      <c r="I915" t="s">
        <v>5766</v>
      </c>
      <c r="J915" t="s">
        <v>5769</v>
      </c>
      <c r="K915">
        <v>400699.69</v>
      </c>
      <c r="L915" t="s">
        <v>5774</v>
      </c>
      <c r="M915">
        <v>12</v>
      </c>
    </row>
    <row r="916" spans="1:13" x14ac:dyDescent="0.25">
      <c r="A916">
        <v>915</v>
      </c>
      <c r="B916" t="s">
        <v>927</v>
      </c>
      <c r="C916">
        <v>22</v>
      </c>
      <c r="D916" t="s">
        <v>2947</v>
      </c>
      <c r="E916" t="s">
        <v>2954</v>
      </c>
      <c r="F916" t="s">
        <v>3824</v>
      </c>
      <c r="G916" s="2">
        <v>45854</v>
      </c>
      <c r="H916" s="2">
        <v>45858</v>
      </c>
      <c r="I916" t="s">
        <v>5760</v>
      </c>
      <c r="J916" t="s">
        <v>2949</v>
      </c>
      <c r="K916">
        <v>334196.06</v>
      </c>
      <c r="L916" t="s">
        <v>5774</v>
      </c>
      <c r="M916">
        <v>4</v>
      </c>
    </row>
    <row r="917" spans="1:13" x14ac:dyDescent="0.25">
      <c r="A917">
        <v>916</v>
      </c>
      <c r="B917" t="s">
        <v>928</v>
      </c>
      <c r="C917">
        <v>87</v>
      </c>
      <c r="D917" t="s">
        <v>2947</v>
      </c>
      <c r="E917" t="s">
        <v>2954</v>
      </c>
      <c r="F917" t="s">
        <v>3825</v>
      </c>
      <c r="G917" s="2">
        <v>45906</v>
      </c>
      <c r="H917" s="2">
        <v>45909</v>
      </c>
      <c r="I917" t="s">
        <v>5762</v>
      </c>
      <c r="J917" t="s">
        <v>5771</v>
      </c>
      <c r="K917">
        <v>169585</v>
      </c>
      <c r="L917" t="s">
        <v>5774</v>
      </c>
      <c r="M917">
        <v>3</v>
      </c>
    </row>
    <row r="918" spans="1:13" x14ac:dyDescent="0.25">
      <c r="A918">
        <v>917</v>
      </c>
      <c r="B918" t="s">
        <v>929</v>
      </c>
      <c r="C918">
        <v>54</v>
      </c>
      <c r="D918" t="s">
        <v>2947</v>
      </c>
      <c r="E918" t="s">
        <v>2949</v>
      </c>
      <c r="F918" t="s">
        <v>3826</v>
      </c>
      <c r="G918" s="2">
        <v>45810</v>
      </c>
      <c r="H918" s="2">
        <v>45823</v>
      </c>
      <c r="I918" t="s">
        <v>5761</v>
      </c>
      <c r="J918" t="s">
        <v>5770</v>
      </c>
      <c r="K918">
        <v>487270.93</v>
      </c>
      <c r="L918" t="s">
        <v>5773</v>
      </c>
      <c r="M918">
        <v>13</v>
      </c>
    </row>
    <row r="919" spans="1:13" x14ac:dyDescent="0.25">
      <c r="A919">
        <v>918</v>
      </c>
      <c r="B919" t="s">
        <v>930</v>
      </c>
      <c r="C919">
        <v>61</v>
      </c>
      <c r="D919" t="s">
        <v>2948</v>
      </c>
      <c r="E919" t="s">
        <v>2950</v>
      </c>
      <c r="F919" t="s">
        <v>3827</v>
      </c>
      <c r="G919" s="2">
        <v>45690</v>
      </c>
      <c r="H919" s="2">
        <v>45703</v>
      </c>
      <c r="I919" t="s">
        <v>5760</v>
      </c>
      <c r="J919" t="s">
        <v>5772</v>
      </c>
      <c r="K919">
        <v>316669.73</v>
      </c>
      <c r="L919" t="s">
        <v>5773</v>
      </c>
      <c r="M919">
        <v>13</v>
      </c>
    </row>
    <row r="920" spans="1:13" x14ac:dyDescent="0.25">
      <c r="A920">
        <v>919</v>
      </c>
      <c r="B920" t="s">
        <v>931</v>
      </c>
      <c r="C920">
        <v>87</v>
      </c>
      <c r="D920" t="s">
        <v>2947</v>
      </c>
      <c r="E920" t="s">
        <v>2952</v>
      </c>
      <c r="F920" t="s">
        <v>3828</v>
      </c>
      <c r="G920" s="2">
        <v>45633</v>
      </c>
      <c r="H920" s="2">
        <v>45643</v>
      </c>
      <c r="I920" t="s">
        <v>5767</v>
      </c>
      <c r="J920" t="s">
        <v>5770</v>
      </c>
      <c r="K920">
        <v>468498.3</v>
      </c>
      <c r="L920" t="s">
        <v>5773</v>
      </c>
      <c r="M920">
        <v>10</v>
      </c>
    </row>
    <row r="921" spans="1:13" x14ac:dyDescent="0.25">
      <c r="A921">
        <v>920</v>
      </c>
      <c r="B921" t="s">
        <v>932</v>
      </c>
      <c r="C921">
        <v>76</v>
      </c>
      <c r="D921" t="s">
        <v>2947</v>
      </c>
      <c r="E921" t="s">
        <v>2950</v>
      </c>
      <c r="F921" t="s">
        <v>3829</v>
      </c>
      <c r="G921" s="2">
        <v>45662</v>
      </c>
      <c r="H921" s="2">
        <v>45667</v>
      </c>
      <c r="I921" t="s">
        <v>5766</v>
      </c>
      <c r="J921" t="s">
        <v>5768</v>
      </c>
      <c r="K921">
        <v>364046.49</v>
      </c>
      <c r="L921" t="s">
        <v>5775</v>
      </c>
      <c r="M921">
        <v>5</v>
      </c>
    </row>
    <row r="922" spans="1:13" x14ac:dyDescent="0.25">
      <c r="A922">
        <v>921</v>
      </c>
      <c r="B922" t="s">
        <v>933</v>
      </c>
      <c r="C922">
        <v>26</v>
      </c>
      <c r="D922" t="s">
        <v>2948</v>
      </c>
      <c r="E922" t="s">
        <v>2951</v>
      </c>
      <c r="F922" t="s">
        <v>3830</v>
      </c>
      <c r="G922" s="2">
        <v>45874</v>
      </c>
      <c r="H922" s="2">
        <v>45879</v>
      </c>
      <c r="I922" t="s">
        <v>5765</v>
      </c>
      <c r="J922" t="s">
        <v>5770</v>
      </c>
      <c r="K922">
        <v>216556.88</v>
      </c>
      <c r="L922" t="s">
        <v>5775</v>
      </c>
      <c r="M922">
        <v>5</v>
      </c>
    </row>
    <row r="923" spans="1:13" x14ac:dyDescent="0.25">
      <c r="A923">
        <v>922</v>
      </c>
      <c r="B923" t="s">
        <v>934</v>
      </c>
      <c r="C923">
        <v>17</v>
      </c>
      <c r="D923" t="s">
        <v>2947</v>
      </c>
      <c r="E923" t="s">
        <v>2949</v>
      </c>
      <c r="F923" t="s">
        <v>3831</v>
      </c>
      <c r="G923" s="2">
        <v>45722</v>
      </c>
      <c r="H923" s="2">
        <v>45735</v>
      </c>
      <c r="I923" t="s">
        <v>5759</v>
      </c>
      <c r="J923" t="s">
        <v>2949</v>
      </c>
      <c r="K923">
        <v>272769.21000000002</v>
      </c>
      <c r="L923" t="s">
        <v>5775</v>
      </c>
      <c r="M923">
        <v>13</v>
      </c>
    </row>
    <row r="924" spans="1:13" x14ac:dyDescent="0.25">
      <c r="A924">
        <v>923</v>
      </c>
      <c r="B924" t="s">
        <v>935</v>
      </c>
      <c r="C924">
        <v>68</v>
      </c>
      <c r="D924" t="s">
        <v>2948</v>
      </c>
      <c r="E924" t="s">
        <v>2949</v>
      </c>
      <c r="F924" t="s">
        <v>3832</v>
      </c>
      <c r="G924" s="2">
        <v>45653</v>
      </c>
      <c r="H924" s="2">
        <v>45664</v>
      </c>
      <c r="I924" t="s">
        <v>5762</v>
      </c>
      <c r="J924" t="s">
        <v>5771</v>
      </c>
      <c r="K924">
        <v>362783.71</v>
      </c>
      <c r="L924" t="s">
        <v>5774</v>
      </c>
      <c r="M924">
        <v>11</v>
      </c>
    </row>
    <row r="925" spans="1:13" x14ac:dyDescent="0.25">
      <c r="A925">
        <v>924</v>
      </c>
      <c r="B925" t="s">
        <v>936</v>
      </c>
      <c r="C925">
        <v>44</v>
      </c>
      <c r="D925" t="s">
        <v>2948</v>
      </c>
      <c r="E925" t="s">
        <v>2952</v>
      </c>
      <c r="F925" t="s">
        <v>3833</v>
      </c>
      <c r="G925" s="2">
        <v>45704</v>
      </c>
      <c r="H925" s="2">
        <v>45715</v>
      </c>
      <c r="I925" t="s">
        <v>5766</v>
      </c>
      <c r="J925" t="s">
        <v>5770</v>
      </c>
      <c r="K925">
        <v>455656.23</v>
      </c>
      <c r="L925" t="s">
        <v>5774</v>
      </c>
      <c r="M925">
        <v>11</v>
      </c>
    </row>
    <row r="926" spans="1:13" x14ac:dyDescent="0.25">
      <c r="A926">
        <v>925</v>
      </c>
      <c r="B926" t="s">
        <v>937</v>
      </c>
      <c r="C926">
        <v>80</v>
      </c>
      <c r="D926" t="s">
        <v>2948</v>
      </c>
      <c r="E926" t="s">
        <v>2949</v>
      </c>
      <c r="F926" t="s">
        <v>2249</v>
      </c>
      <c r="G926" s="2">
        <v>45722</v>
      </c>
      <c r="H926" s="2">
        <v>45728</v>
      </c>
      <c r="I926" t="s">
        <v>5762</v>
      </c>
      <c r="J926" t="s">
        <v>5769</v>
      </c>
      <c r="K926">
        <v>270062.39</v>
      </c>
      <c r="L926" t="s">
        <v>5773</v>
      </c>
      <c r="M926">
        <v>6</v>
      </c>
    </row>
    <row r="927" spans="1:13" x14ac:dyDescent="0.25">
      <c r="A927">
        <v>926</v>
      </c>
      <c r="B927" t="s">
        <v>938</v>
      </c>
      <c r="C927">
        <v>71</v>
      </c>
      <c r="D927" t="s">
        <v>2947</v>
      </c>
      <c r="E927" t="s">
        <v>2953</v>
      </c>
      <c r="F927" t="s">
        <v>3834</v>
      </c>
      <c r="G927" s="2">
        <v>45867</v>
      </c>
      <c r="H927" s="2">
        <v>45872</v>
      </c>
      <c r="I927" t="s">
        <v>5762</v>
      </c>
      <c r="J927" t="s">
        <v>5772</v>
      </c>
      <c r="K927">
        <v>160196.10999999999</v>
      </c>
      <c r="L927" t="s">
        <v>5774</v>
      </c>
      <c r="M927">
        <v>5</v>
      </c>
    </row>
    <row r="928" spans="1:13" x14ac:dyDescent="0.25">
      <c r="A928">
        <v>927</v>
      </c>
      <c r="B928" t="s">
        <v>939</v>
      </c>
      <c r="C928">
        <v>9</v>
      </c>
      <c r="D928" t="s">
        <v>2947</v>
      </c>
      <c r="E928" t="s">
        <v>2949</v>
      </c>
      <c r="F928" t="s">
        <v>3835</v>
      </c>
      <c r="G928" s="2">
        <v>45809</v>
      </c>
      <c r="H928" s="2">
        <v>45821</v>
      </c>
      <c r="I928" t="s">
        <v>5766</v>
      </c>
      <c r="J928" t="s">
        <v>2949</v>
      </c>
      <c r="K928">
        <v>334478.40999999997</v>
      </c>
      <c r="L928" t="s">
        <v>5774</v>
      </c>
      <c r="M928">
        <v>12</v>
      </c>
    </row>
    <row r="929" spans="1:13" x14ac:dyDescent="0.25">
      <c r="A929">
        <v>928</v>
      </c>
      <c r="B929" t="s">
        <v>940</v>
      </c>
      <c r="C929">
        <v>75</v>
      </c>
      <c r="D929" t="s">
        <v>2948</v>
      </c>
      <c r="E929" t="s">
        <v>2950</v>
      </c>
      <c r="F929" t="s">
        <v>3836</v>
      </c>
      <c r="G929" s="2">
        <v>45765</v>
      </c>
      <c r="H929" s="2">
        <v>45769</v>
      </c>
      <c r="I929" t="s">
        <v>5762</v>
      </c>
      <c r="J929" t="s">
        <v>5770</v>
      </c>
      <c r="K929">
        <v>29927.7</v>
      </c>
      <c r="L929" t="s">
        <v>5773</v>
      </c>
      <c r="M929">
        <v>4</v>
      </c>
    </row>
    <row r="930" spans="1:13" x14ac:dyDescent="0.25">
      <c r="A930">
        <v>929</v>
      </c>
      <c r="B930" t="s">
        <v>941</v>
      </c>
      <c r="C930">
        <v>19</v>
      </c>
      <c r="D930" t="s">
        <v>2947</v>
      </c>
      <c r="E930" t="s">
        <v>2952</v>
      </c>
      <c r="F930" t="s">
        <v>3837</v>
      </c>
      <c r="G930" s="2">
        <v>45799</v>
      </c>
      <c r="H930" s="2">
        <v>45814</v>
      </c>
      <c r="I930" t="s">
        <v>5765</v>
      </c>
      <c r="J930" t="s">
        <v>5770</v>
      </c>
      <c r="K930">
        <v>437741.29</v>
      </c>
      <c r="L930" t="s">
        <v>5775</v>
      </c>
      <c r="M930">
        <v>15</v>
      </c>
    </row>
    <row r="931" spans="1:13" x14ac:dyDescent="0.25">
      <c r="A931">
        <v>930</v>
      </c>
      <c r="B931" t="s">
        <v>942</v>
      </c>
      <c r="C931">
        <v>78</v>
      </c>
      <c r="D931" t="s">
        <v>2948</v>
      </c>
      <c r="E931" t="s">
        <v>2953</v>
      </c>
      <c r="F931" t="s">
        <v>3838</v>
      </c>
      <c r="G931" s="2">
        <v>45786</v>
      </c>
      <c r="H931" s="2">
        <v>45794</v>
      </c>
      <c r="I931" t="s">
        <v>5761</v>
      </c>
      <c r="J931" t="s">
        <v>5770</v>
      </c>
      <c r="K931">
        <v>303692.42</v>
      </c>
      <c r="L931" t="s">
        <v>5773</v>
      </c>
      <c r="M931">
        <v>8</v>
      </c>
    </row>
    <row r="932" spans="1:13" x14ac:dyDescent="0.25">
      <c r="A932">
        <v>931</v>
      </c>
      <c r="B932" t="s">
        <v>943</v>
      </c>
      <c r="C932">
        <v>17</v>
      </c>
      <c r="D932" t="s">
        <v>2947</v>
      </c>
      <c r="E932" t="s">
        <v>2954</v>
      </c>
      <c r="F932" t="s">
        <v>3839</v>
      </c>
      <c r="G932" s="2">
        <v>45770</v>
      </c>
      <c r="H932" s="2">
        <v>45779</v>
      </c>
      <c r="I932" t="s">
        <v>5765</v>
      </c>
      <c r="J932" t="s">
        <v>5771</v>
      </c>
      <c r="K932">
        <v>458591.19</v>
      </c>
      <c r="L932" t="s">
        <v>5775</v>
      </c>
      <c r="M932">
        <v>9</v>
      </c>
    </row>
    <row r="933" spans="1:13" x14ac:dyDescent="0.25">
      <c r="A933">
        <v>932</v>
      </c>
      <c r="B933" t="s">
        <v>944</v>
      </c>
      <c r="C933">
        <v>17</v>
      </c>
      <c r="D933" t="s">
        <v>2947</v>
      </c>
      <c r="E933" t="s">
        <v>2950</v>
      </c>
      <c r="F933" t="s">
        <v>3840</v>
      </c>
      <c r="G933" s="2">
        <v>45773</v>
      </c>
      <c r="H933" s="2">
        <v>45780</v>
      </c>
      <c r="I933" t="s">
        <v>5759</v>
      </c>
      <c r="J933" t="s">
        <v>5771</v>
      </c>
      <c r="K933">
        <v>492769.55</v>
      </c>
      <c r="L933" t="s">
        <v>5774</v>
      </c>
      <c r="M933">
        <v>7</v>
      </c>
    </row>
    <row r="934" spans="1:13" x14ac:dyDescent="0.25">
      <c r="A934">
        <v>933</v>
      </c>
      <c r="B934" t="s">
        <v>945</v>
      </c>
      <c r="C934">
        <v>75</v>
      </c>
      <c r="D934" t="s">
        <v>2948</v>
      </c>
      <c r="E934" t="s">
        <v>2955</v>
      </c>
      <c r="F934" t="s">
        <v>3841</v>
      </c>
      <c r="G934" s="2">
        <v>45678</v>
      </c>
      <c r="H934" s="2">
        <v>45679</v>
      </c>
      <c r="I934" t="s">
        <v>5767</v>
      </c>
      <c r="J934" t="s">
        <v>2949</v>
      </c>
      <c r="K934">
        <v>152864.43</v>
      </c>
      <c r="L934" t="s">
        <v>5773</v>
      </c>
      <c r="M934">
        <v>1</v>
      </c>
    </row>
    <row r="935" spans="1:13" x14ac:dyDescent="0.25">
      <c r="A935">
        <v>934</v>
      </c>
      <c r="B935" t="s">
        <v>946</v>
      </c>
      <c r="C935">
        <v>22</v>
      </c>
      <c r="D935" t="s">
        <v>2948</v>
      </c>
      <c r="E935" t="s">
        <v>2949</v>
      </c>
      <c r="F935" t="s">
        <v>3842</v>
      </c>
      <c r="G935" s="2">
        <v>45837</v>
      </c>
      <c r="H935" s="2">
        <v>45844</v>
      </c>
      <c r="I935" t="s">
        <v>5763</v>
      </c>
      <c r="J935" t="s">
        <v>2949</v>
      </c>
      <c r="K935">
        <v>11461.53</v>
      </c>
      <c r="L935" t="s">
        <v>5773</v>
      </c>
      <c r="M935">
        <v>7</v>
      </c>
    </row>
    <row r="936" spans="1:13" x14ac:dyDescent="0.25">
      <c r="A936">
        <v>935</v>
      </c>
      <c r="B936" t="s">
        <v>947</v>
      </c>
      <c r="C936">
        <v>49</v>
      </c>
      <c r="D936" t="s">
        <v>2948</v>
      </c>
      <c r="E936" t="s">
        <v>2952</v>
      </c>
      <c r="F936" t="s">
        <v>3843</v>
      </c>
      <c r="G936" s="2">
        <v>45767</v>
      </c>
      <c r="H936" s="2">
        <v>45780</v>
      </c>
      <c r="I936" t="s">
        <v>5763</v>
      </c>
      <c r="J936" t="s">
        <v>5769</v>
      </c>
      <c r="K936">
        <v>393915.91</v>
      </c>
      <c r="L936" t="s">
        <v>5775</v>
      </c>
      <c r="M936">
        <v>13</v>
      </c>
    </row>
    <row r="937" spans="1:13" x14ac:dyDescent="0.25">
      <c r="A937">
        <v>936</v>
      </c>
      <c r="B937" t="s">
        <v>948</v>
      </c>
      <c r="C937">
        <v>79</v>
      </c>
      <c r="D937" t="s">
        <v>2947</v>
      </c>
      <c r="E937" t="s">
        <v>2952</v>
      </c>
      <c r="F937" t="s">
        <v>3844</v>
      </c>
      <c r="G937" s="2">
        <v>45790</v>
      </c>
      <c r="H937" s="2">
        <v>45805</v>
      </c>
      <c r="I937" t="s">
        <v>5764</v>
      </c>
      <c r="J937" t="s">
        <v>5768</v>
      </c>
      <c r="K937">
        <v>126609.71</v>
      </c>
      <c r="L937" t="s">
        <v>5775</v>
      </c>
      <c r="M937">
        <v>15</v>
      </c>
    </row>
    <row r="938" spans="1:13" x14ac:dyDescent="0.25">
      <c r="A938">
        <v>937</v>
      </c>
      <c r="B938" t="s">
        <v>949</v>
      </c>
      <c r="C938">
        <v>86</v>
      </c>
      <c r="D938" t="s">
        <v>2948</v>
      </c>
      <c r="E938" t="s">
        <v>2951</v>
      </c>
      <c r="F938" t="s">
        <v>3845</v>
      </c>
      <c r="G938" s="2">
        <v>45907</v>
      </c>
      <c r="H938" s="2">
        <v>45908</v>
      </c>
      <c r="I938" t="s">
        <v>5767</v>
      </c>
      <c r="J938" t="s">
        <v>5770</v>
      </c>
      <c r="K938">
        <v>417806.67</v>
      </c>
      <c r="L938" t="s">
        <v>5775</v>
      </c>
      <c r="M938">
        <v>1</v>
      </c>
    </row>
    <row r="939" spans="1:13" x14ac:dyDescent="0.25">
      <c r="A939">
        <v>938</v>
      </c>
      <c r="B939" t="s">
        <v>950</v>
      </c>
      <c r="C939">
        <v>2</v>
      </c>
      <c r="D939" t="s">
        <v>2947</v>
      </c>
      <c r="E939" t="s">
        <v>2949</v>
      </c>
      <c r="F939" t="s">
        <v>3846</v>
      </c>
      <c r="G939" s="2">
        <v>45722</v>
      </c>
      <c r="H939" s="2">
        <v>45731</v>
      </c>
      <c r="I939" t="s">
        <v>5759</v>
      </c>
      <c r="J939" t="s">
        <v>2949</v>
      </c>
      <c r="K939">
        <v>56169.69</v>
      </c>
      <c r="L939" t="s">
        <v>5774</v>
      </c>
      <c r="M939">
        <v>9</v>
      </c>
    </row>
    <row r="940" spans="1:13" x14ac:dyDescent="0.25">
      <c r="A940">
        <v>939</v>
      </c>
      <c r="B940" t="s">
        <v>951</v>
      </c>
      <c r="C940">
        <v>43</v>
      </c>
      <c r="D940" t="s">
        <v>2947</v>
      </c>
      <c r="E940" t="s">
        <v>2949</v>
      </c>
      <c r="F940" t="s">
        <v>3847</v>
      </c>
      <c r="G940" s="2">
        <v>45648</v>
      </c>
      <c r="H940" s="2">
        <v>45655</v>
      </c>
      <c r="I940" t="s">
        <v>5762</v>
      </c>
      <c r="J940" t="s">
        <v>2949</v>
      </c>
      <c r="K940">
        <v>25503.34</v>
      </c>
      <c r="L940" t="s">
        <v>5774</v>
      </c>
      <c r="M940">
        <v>7</v>
      </c>
    </row>
    <row r="941" spans="1:13" x14ac:dyDescent="0.25">
      <c r="A941">
        <v>940</v>
      </c>
      <c r="B941" t="s">
        <v>952</v>
      </c>
      <c r="C941">
        <v>14</v>
      </c>
      <c r="D941" t="s">
        <v>2948</v>
      </c>
      <c r="E941" t="s">
        <v>2951</v>
      </c>
      <c r="F941" t="s">
        <v>3848</v>
      </c>
      <c r="G941" s="2">
        <v>45910</v>
      </c>
      <c r="H941" s="2">
        <v>45921</v>
      </c>
      <c r="I941" t="s">
        <v>5761</v>
      </c>
      <c r="J941" t="s">
        <v>5771</v>
      </c>
      <c r="K941">
        <v>346313.31</v>
      </c>
      <c r="L941" t="s">
        <v>5773</v>
      </c>
      <c r="M941">
        <v>11</v>
      </c>
    </row>
    <row r="942" spans="1:13" x14ac:dyDescent="0.25">
      <c r="A942">
        <v>941</v>
      </c>
      <c r="B942" t="s">
        <v>953</v>
      </c>
      <c r="C942">
        <v>1</v>
      </c>
      <c r="D942" t="s">
        <v>2947</v>
      </c>
      <c r="E942" t="s">
        <v>2954</v>
      </c>
      <c r="F942" t="s">
        <v>3849</v>
      </c>
      <c r="G942" s="2">
        <v>45791</v>
      </c>
      <c r="H942" s="2">
        <v>45801</v>
      </c>
      <c r="I942" t="s">
        <v>5766</v>
      </c>
      <c r="J942" t="s">
        <v>5772</v>
      </c>
      <c r="K942">
        <v>331316.21999999997</v>
      </c>
      <c r="L942" t="s">
        <v>5773</v>
      </c>
      <c r="M942">
        <v>10</v>
      </c>
    </row>
    <row r="943" spans="1:13" x14ac:dyDescent="0.25">
      <c r="A943">
        <v>942</v>
      </c>
      <c r="B943" t="s">
        <v>954</v>
      </c>
      <c r="C943">
        <v>33</v>
      </c>
      <c r="D943" t="s">
        <v>2947</v>
      </c>
      <c r="E943" t="s">
        <v>2949</v>
      </c>
      <c r="F943" t="s">
        <v>3850</v>
      </c>
      <c r="G943" s="2">
        <v>45763</v>
      </c>
      <c r="H943" s="2">
        <v>45769</v>
      </c>
      <c r="I943" t="s">
        <v>5764</v>
      </c>
      <c r="J943" t="s">
        <v>5768</v>
      </c>
      <c r="K943">
        <v>100053.82</v>
      </c>
      <c r="L943" t="s">
        <v>5775</v>
      </c>
      <c r="M943">
        <v>6</v>
      </c>
    </row>
    <row r="944" spans="1:13" x14ac:dyDescent="0.25">
      <c r="A944">
        <v>943</v>
      </c>
      <c r="B944" t="s">
        <v>955</v>
      </c>
      <c r="C944">
        <v>14</v>
      </c>
      <c r="D944" t="s">
        <v>2948</v>
      </c>
      <c r="E944" t="s">
        <v>2953</v>
      </c>
      <c r="F944" t="s">
        <v>3851</v>
      </c>
      <c r="G944" s="2">
        <v>45709</v>
      </c>
      <c r="H944" s="2">
        <v>45713</v>
      </c>
      <c r="I944" t="s">
        <v>5763</v>
      </c>
      <c r="J944" t="s">
        <v>5768</v>
      </c>
      <c r="K944">
        <v>212837.18</v>
      </c>
      <c r="L944" t="s">
        <v>5773</v>
      </c>
      <c r="M944">
        <v>4</v>
      </c>
    </row>
    <row r="945" spans="1:13" x14ac:dyDescent="0.25">
      <c r="A945">
        <v>944</v>
      </c>
      <c r="B945" t="s">
        <v>956</v>
      </c>
      <c r="C945">
        <v>69</v>
      </c>
      <c r="D945" t="s">
        <v>2947</v>
      </c>
      <c r="E945" t="s">
        <v>2955</v>
      </c>
      <c r="F945" t="s">
        <v>3852</v>
      </c>
      <c r="G945" s="2">
        <v>45841</v>
      </c>
      <c r="H945" s="2">
        <v>45842</v>
      </c>
      <c r="I945" t="s">
        <v>5760</v>
      </c>
      <c r="J945" t="s">
        <v>5771</v>
      </c>
      <c r="K945">
        <v>14495.29</v>
      </c>
      <c r="L945" t="s">
        <v>5775</v>
      </c>
      <c r="M945">
        <v>1</v>
      </c>
    </row>
    <row r="946" spans="1:13" x14ac:dyDescent="0.25">
      <c r="A946">
        <v>945</v>
      </c>
      <c r="B946" t="s">
        <v>957</v>
      </c>
      <c r="C946">
        <v>17</v>
      </c>
      <c r="D946" t="s">
        <v>2947</v>
      </c>
      <c r="E946" t="s">
        <v>2955</v>
      </c>
      <c r="F946" t="s">
        <v>3853</v>
      </c>
      <c r="G946" s="2">
        <v>45672</v>
      </c>
      <c r="H946" s="2">
        <v>45678</v>
      </c>
      <c r="I946" t="s">
        <v>5762</v>
      </c>
      <c r="J946" t="s">
        <v>5770</v>
      </c>
      <c r="K946">
        <v>20664.38</v>
      </c>
      <c r="L946" t="s">
        <v>5773</v>
      </c>
      <c r="M946">
        <v>6</v>
      </c>
    </row>
    <row r="947" spans="1:13" x14ac:dyDescent="0.25">
      <c r="A947">
        <v>946</v>
      </c>
      <c r="B947" t="s">
        <v>958</v>
      </c>
      <c r="C947">
        <v>7</v>
      </c>
      <c r="D947" t="s">
        <v>2947</v>
      </c>
      <c r="E947" t="s">
        <v>2949</v>
      </c>
      <c r="F947" t="s">
        <v>3854</v>
      </c>
      <c r="G947" s="2">
        <v>45573</v>
      </c>
      <c r="H947" s="2">
        <v>45575</v>
      </c>
      <c r="I947" t="s">
        <v>5761</v>
      </c>
      <c r="J947" t="s">
        <v>2949</v>
      </c>
      <c r="K947">
        <v>188553.47</v>
      </c>
      <c r="L947" t="s">
        <v>5773</v>
      </c>
      <c r="M947">
        <v>2</v>
      </c>
    </row>
    <row r="948" spans="1:13" x14ac:dyDescent="0.25">
      <c r="A948">
        <v>947</v>
      </c>
      <c r="B948" t="s">
        <v>959</v>
      </c>
      <c r="C948">
        <v>59</v>
      </c>
      <c r="D948" t="s">
        <v>2948</v>
      </c>
      <c r="E948" t="s">
        <v>2953</v>
      </c>
      <c r="F948" t="s">
        <v>3855</v>
      </c>
      <c r="G948" s="2">
        <v>45584</v>
      </c>
      <c r="H948" s="2">
        <v>45589</v>
      </c>
      <c r="I948" t="s">
        <v>5766</v>
      </c>
      <c r="J948" t="s">
        <v>5772</v>
      </c>
      <c r="K948">
        <v>147779.51</v>
      </c>
      <c r="L948" t="s">
        <v>5775</v>
      </c>
      <c r="M948">
        <v>5</v>
      </c>
    </row>
    <row r="949" spans="1:13" x14ac:dyDescent="0.25">
      <c r="A949">
        <v>948</v>
      </c>
      <c r="B949" t="s">
        <v>960</v>
      </c>
      <c r="C949">
        <v>59</v>
      </c>
      <c r="D949" t="s">
        <v>2948</v>
      </c>
      <c r="E949" t="s">
        <v>2955</v>
      </c>
      <c r="F949" t="s">
        <v>3856</v>
      </c>
      <c r="G949" s="2">
        <v>45550</v>
      </c>
      <c r="H949" s="2">
        <v>45561</v>
      </c>
      <c r="I949" t="s">
        <v>5766</v>
      </c>
      <c r="J949" t="s">
        <v>5771</v>
      </c>
      <c r="K949">
        <v>90955.16</v>
      </c>
      <c r="L949" t="s">
        <v>5775</v>
      </c>
      <c r="M949">
        <v>11</v>
      </c>
    </row>
    <row r="950" spans="1:13" x14ac:dyDescent="0.25">
      <c r="A950">
        <v>949</v>
      </c>
      <c r="B950" t="s">
        <v>961</v>
      </c>
      <c r="C950">
        <v>21</v>
      </c>
      <c r="D950" t="s">
        <v>2947</v>
      </c>
      <c r="E950" t="s">
        <v>2954</v>
      </c>
      <c r="F950" t="s">
        <v>3857</v>
      </c>
      <c r="G950" s="2">
        <v>45562</v>
      </c>
      <c r="H950" s="2">
        <v>45564</v>
      </c>
      <c r="I950" t="s">
        <v>5767</v>
      </c>
      <c r="J950" t="s">
        <v>5769</v>
      </c>
      <c r="K950">
        <v>97387.03</v>
      </c>
      <c r="L950" t="s">
        <v>5775</v>
      </c>
      <c r="M950">
        <v>2</v>
      </c>
    </row>
    <row r="951" spans="1:13" x14ac:dyDescent="0.25">
      <c r="A951">
        <v>950</v>
      </c>
      <c r="B951" t="s">
        <v>962</v>
      </c>
      <c r="C951">
        <v>26</v>
      </c>
      <c r="D951" t="s">
        <v>2947</v>
      </c>
      <c r="E951" t="s">
        <v>2955</v>
      </c>
      <c r="F951" t="s">
        <v>3858</v>
      </c>
      <c r="G951" s="2">
        <v>45730</v>
      </c>
      <c r="H951" s="2">
        <v>45737</v>
      </c>
      <c r="I951" t="s">
        <v>5763</v>
      </c>
      <c r="J951" t="s">
        <v>5770</v>
      </c>
      <c r="K951">
        <v>495357.8</v>
      </c>
      <c r="L951" t="s">
        <v>5774</v>
      </c>
      <c r="M951">
        <v>7</v>
      </c>
    </row>
    <row r="952" spans="1:13" x14ac:dyDescent="0.25">
      <c r="A952">
        <v>951</v>
      </c>
      <c r="B952" t="s">
        <v>963</v>
      </c>
      <c r="C952">
        <v>40</v>
      </c>
      <c r="D952" t="s">
        <v>2947</v>
      </c>
      <c r="E952" t="s">
        <v>2955</v>
      </c>
      <c r="F952" t="s">
        <v>3859</v>
      </c>
      <c r="G952" s="2">
        <v>45574</v>
      </c>
      <c r="H952" s="2">
        <v>45576</v>
      </c>
      <c r="I952" t="s">
        <v>5758</v>
      </c>
      <c r="J952" t="s">
        <v>5770</v>
      </c>
      <c r="K952">
        <v>280320.53999999998</v>
      </c>
      <c r="L952" t="s">
        <v>5773</v>
      </c>
      <c r="M952">
        <v>2</v>
      </c>
    </row>
    <row r="953" spans="1:13" x14ac:dyDescent="0.25">
      <c r="A953">
        <v>952</v>
      </c>
      <c r="B953" t="s">
        <v>964</v>
      </c>
      <c r="C953">
        <v>27</v>
      </c>
      <c r="D953" t="s">
        <v>2947</v>
      </c>
      <c r="E953" t="s">
        <v>2953</v>
      </c>
      <c r="F953" t="s">
        <v>3860</v>
      </c>
      <c r="G953" s="2">
        <v>45586</v>
      </c>
      <c r="H953" s="2">
        <v>45601</v>
      </c>
      <c r="I953" t="s">
        <v>5764</v>
      </c>
      <c r="J953" t="s">
        <v>5772</v>
      </c>
      <c r="K953">
        <v>203749.55</v>
      </c>
      <c r="L953" t="s">
        <v>5774</v>
      </c>
      <c r="M953">
        <v>15</v>
      </c>
    </row>
    <row r="954" spans="1:13" x14ac:dyDescent="0.25">
      <c r="A954">
        <v>953</v>
      </c>
      <c r="B954" t="s">
        <v>965</v>
      </c>
      <c r="C954">
        <v>89</v>
      </c>
      <c r="D954" t="s">
        <v>2948</v>
      </c>
      <c r="E954" t="s">
        <v>2949</v>
      </c>
      <c r="F954" t="s">
        <v>3861</v>
      </c>
      <c r="G954" s="2">
        <v>45626</v>
      </c>
      <c r="H954" s="2">
        <v>45633</v>
      </c>
      <c r="I954" t="s">
        <v>5766</v>
      </c>
      <c r="J954" t="s">
        <v>5772</v>
      </c>
      <c r="K954">
        <v>133555.82999999999</v>
      </c>
      <c r="L954" t="s">
        <v>5774</v>
      </c>
      <c r="M954">
        <v>7</v>
      </c>
    </row>
    <row r="955" spans="1:13" x14ac:dyDescent="0.25">
      <c r="A955">
        <v>954</v>
      </c>
      <c r="B955" t="s">
        <v>966</v>
      </c>
      <c r="C955">
        <v>65</v>
      </c>
      <c r="D955" t="s">
        <v>2947</v>
      </c>
      <c r="E955" t="s">
        <v>2954</v>
      </c>
      <c r="F955" t="s">
        <v>3862</v>
      </c>
      <c r="G955" s="2">
        <v>45721</v>
      </c>
      <c r="H955" s="2">
        <v>45734</v>
      </c>
      <c r="I955" t="s">
        <v>5767</v>
      </c>
      <c r="J955" t="s">
        <v>5772</v>
      </c>
      <c r="K955">
        <v>369380.63</v>
      </c>
      <c r="L955" t="s">
        <v>5773</v>
      </c>
      <c r="M955">
        <v>13</v>
      </c>
    </row>
    <row r="956" spans="1:13" x14ac:dyDescent="0.25">
      <c r="A956">
        <v>955</v>
      </c>
      <c r="B956" t="s">
        <v>967</v>
      </c>
      <c r="C956">
        <v>9</v>
      </c>
      <c r="D956" t="s">
        <v>2947</v>
      </c>
      <c r="E956" t="s">
        <v>2949</v>
      </c>
      <c r="F956" t="s">
        <v>3863</v>
      </c>
      <c r="G956" s="2">
        <v>45868</v>
      </c>
      <c r="H956" s="2">
        <v>45875</v>
      </c>
      <c r="I956" t="s">
        <v>5758</v>
      </c>
      <c r="J956" t="s">
        <v>2949</v>
      </c>
      <c r="K956">
        <v>277275.94</v>
      </c>
      <c r="L956" t="s">
        <v>5775</v>
      </c>
      <c r="M956">
        <v>7</v>
      </c>
    </row>
    <row r="957" spans="1:13" x14ac:dyDescent="0.25">
      <c r="A957">
        <v>956</v>
      </c>
      <c r="B957" t="s">
        <v>968</v>
      </c>
      <c r="C957">
        <v>30</v>
      </c>
      <c r="D957" t="s">
        <v>2948</v>
      </c>
      <c r="E957" t="s">
        <v>2950</v>
      </c>
      <c r="F957" t="s">
        <v>3864</v>
      </c>
      <c r="G957" s="2">
        <v>45582</v>
      </c>
      <c r="H957" s="2">
        <v>45583</v>
      </c>
      <c r="I957" t="s">
        <v>5758</v>
      </c>
      <c r="J957" t="s">
        <v>5768</v>
      </c>
      <c r="K957">
        <v>440780.43</v>
      </c>
      <c r="L957" t="s">
        <v>5774</v>
      </c>
      <c r="M957">
        <v>1</v>
      </c>
    </row>
    <row r="958" spans="1:13" x14ac:dyDescent="0.25">
      <c r="A958">
        <v>957</v>
      </c>
      <c r="B958" t="s">
        <v>969</v>
      </c>
      <c r="C958">
        <v>24</v>
      </c>
      <c r="D958" t="s">
        <v>2947</v>
      </c>
      <c r="E958" t="s">
        <v>2954</v>
      </c>
      <c r="F958" t="s">
        <v>3865</v>
      </c>
      <c r="G958" s="2">
        <v>45780</v>
      </c>
      <c r="H958" s="2">
        <v>45792</v>
      </c>
      <c r="I958" t="s">
        <v>5762</v>
      </c>
      <c r="J958" t="s">
        <v>5768</v>
      </c>
      <c r="K958">
        <v>347162.87</v>
      </c>
      <c r="L958" t="s">
        <v>5775</v>
      </c>
      <c r="M958">
        <v>12</v>
      </c>
    </row>
    <row r="959" spans="1:13" x14ac:dyDescent="0.25">
      <c r="A959">
        <v>958</v>
      </c>
      <c r="B959" t="s">
        <v>970</v>
      </c>
      <c r="C959">
        <v>45</v>
      </c>
      <c r="D959" t="s">
        <v>2947</v>
      </c>
      <c r="E959" t="s">
        <v>2955</v>
      </c>
      <c r="F959" t="s">
        <v>3866</v>
      </c>
      <c r="G959" s="2">
        <v>45846</v>
      </c>
      <c r="H959" s="2">
        <v>45851</v>
      </c>
      <c r="I959" t="s">
        <v>5758</v>
      </c>
      <c r="J959" t="s">
        <v>5771</v>
      </c>
      <c r="K959">
        <v>300157.44</v>
      </c>
      <c r="L959" t="s">
        <v>5775</v>
      </c>
      <c r="M959">
        <v>5</v>
      </c>
    </row>
    <row r="960" spans="1:13" x14ac:dyDescent="0.25">
      <c r="A960">
        <v>959</v>
      </c>
      <c r="B960" t="s">
        <v>971</v>
      </c>
      <c r="C960">
        <v>21</v>
      </c>
      <c r="D960" t="s">
        <v>2947</v>
      </c>
      <c r="E960" t="s">
        <v>2951</v>
      </c>
      <c r="F960" t="s">
        <v>3867</v>
      </c>
      <c r="G960" s="2">
        <v>45907</v>
      </c>
      <c r="H960" s="2">
        <v>45915</v>
      </c>
      <c r="I960" t="s">
        <v>5759</v>
      </c>
      <c r="J960" t="s">
        <v>5768</v>
      </c>
      <c r="K960">
        <v>92805.77</v>
      </c>
      <c r="L960" t="s">
        <v>5775</v>
      </c>
      <c r="M960">
        <v>8</v>
      </c>
    </row>
    <row r="961" spans="1:13" x14ac:dyDescent="0.25">
      <c r="A961">
        <v>960</v>
      </c>
      <c r="B961" t="s">
        <v>972</v>
      </c>
      <c r="C961">
        <v>12</v>
      </c>
      <c r="D961" t="s">
        <v>2948</v>
      </c>
      <c r="E961" t="s">
        <v>2951</v>
      </c>
      <c r="F961" t="s">
        <v>3868</v>
      </c>
      <c r="G961" s="2">
        <v>45835</v>
      </c>
      <c r="H961" s="2">
        <v>45848</v>
      </c>
      <c r="I961" t="s">
        <v>5759</v>
      </c>
      <c r="J961" t="s">
        <v>5768</v>
      </c>
      <c r="K961">
        <v>213624.04</v>
      </c>
      <c r="L961" t="s">
        <v>5775</v>
      </c>
      <c r="M961">
        <v>13</v>
      </c>
    </row>
    <row r="962" spans="1:13" x14ac:dyDescent="0.25">
      <c r="A962">
        <v>961</v>
      </c>
      <c r="B962" t="s">
        <v>973</v>
      </c>
      <c r="C962">
        <v>2</v>
      </c>
      <c r="D962" t="s">
        <v>2948</v>
      </c>
      <c r="E962" t="s">
        <v>2954</v>
      </c>
      <c r="F962" t="s">
        <v>3869</v>
      </c>
      <c r="G962" s="2">
        <v>45751</v>
      </c>
      <c r="H962" s="2">
        <v>45755</v>
      </c>
      <c r="I962" t="s">
        <v>5758</v>
      </c>
      <c r="J962" t="s">
        <v>5772</v>
      </c>
      <c r="K962">
        <v>355891.07</v>
      </c>
      <c r="L962" t="s">
        <v>5775</v>
      </c>
      <c r="M962">
        <v>4</v>
      </c>
    </row>
    <row r="963" spans="1:13" x14ac:dyDescent="0.25">
      <c r="A963">
        <v>962</v>
      </c>
      <c r="B963" t="s">
        <v>974</v>
      </c>
      <c r="C963">
        <v>5</v>
      </c>
      <c r="D963" t="s">
        <v>2948</v>
      </c>
      <c r="E963" t="s">
        <v>2955</v>
      </c>
      <c r="F963" t="s">
        <v>3870</v>
      </c>
      <c r="G963" s="2">
        <v>45621</v>
      </c>
      <c r="H963" s="2">
        <v>45623</v>
      </c>
      <c r="I963" t="s">
        <v>5761</v>
      </c>
      <c r="J963" t="s">
        <v>5768</v>
      </c>
      <c r="K963">
        <v>309156.2</v>
      </c>
      <c r="L963" t="s">
        <v>5773</v>
      </c>
      <c r="M963">
        <v>2</v>
      </c>
    </row>
    <row r="964" spans="1:13" x14ac:dyDescent="0.25">
      <c r="A964">
        <v>963</v>
      </c>
      <c r="B964" t="s">
        <v>975</v>
      </c>
      <c r="C964">
        <v>12</v>
      </c>
      <c r="D964" t="s">
        <v>2947</v>
      </c>
      <c r="E964" t="s">
        <v>2951</v>
      </c>
      <c r="F964" t="s">
        <v>3871</v>
      </c>
      <c r="G964" s="2">
        <v>45655</v>
      </c>
      <c r="H964" s="2">
        <v>45667</v>
      </c>
      <c r="I964" t="s">
        <v>5766</v>
      </c>
      <c r="J964" t="s">
        <v>5768</v>
      </c>
      <c r="K964">
        <v>215910.22</v>
      </c>
      <c r="L964" t="s">
        <v>5775</v>
      </c>
      <c r="M964">
        <v>12</v>
      </c>
    </row>
    <row r="965" spans="1:13" x14ac:dyDescent="0.25">
      <c r="A965">
        <v>964</v>
      </c>
      <c r="B965" t="s">
        <v>976</v>
      </c>
      <c r="C965">
        <v>39</v>
      </c>
      <c r="D965" t="s">
        <v>2948</v>
      </c>
      <c r="E965" t="s">
        <v>2951</v>
      </c>
      <c r="F965" t="s">
        <v>3872</v>
      </c>
      <c r="G965" s="2">
        <v>45843</v>
      </c>
      <c r="H965" s="2">
        <v>45844</v>
      </c>
      <c r="I965" t="s">
        <v>5759</v>
      </c>
      <c r="J965" t="s">
        <v>2949</v>
      </c>
      <c r="K965">
        <v>77560.960000000006</v>
      </c>
      <c r="L965" t="s">
        <v>5775</v>
      </c>
      <c r="M965">
        <v>1</v>
      </c>
    </row>
    <row r="966" spans="1:13" x14ac:dyDescent="0.25">
      <c r="A966">
        <v>965</v>
      </c>
      <c r="B966" t="s">
        <v>977</v>
      </c>
      <c r="C966">
        <v>51</v>
      </c>
      <c r="D966" t="s">
        <v>2948</v>
      </c>
      <c r="E966" t="s">
        <v>2949</v>
      </c>
      <c r="F966" t="s">
        <v>3873</v>
      </c>
      <c r="G966" s="2">
        <v>45679</v>
      </c>
      <c r="H966" s="2">
        <v>45693</v>
      </c>
      <c r="I966" t="s">
        <v>5765</v>
      </c>
      <c r="J966" t="s">
        <v>5769</v>
      </c>
      <c r="K966">
        <v>403560.68</v>
      </c>
      <c r="L966" t="s">
        <v>5774</v>
      </c>
      <c r="M966">
        <v>14</v>
      </c>
    </row>
    <row r="967" spans="1:13" x14ac:dyDescent="0.25">
      <c r="A967">
        <v>966</v>
      </c>
      <c r="B967" t="s">
        <v>978</v>
      </c>
      <c r="C967">
        <v>77</v>
      </c>
      <c r="D967" t="s">
        <v>2948</v>
      </c>
      <c r="E967" t="s">
        <v>2951</v>
      </c>
      <c r="F967" t="s">
        <v>3874</v>
      </c>
      <c r="G967" s="2">
        <v>45658</v>
      </c>
      <c r="H967" s="2">
        <v>45665</v>
      </c>
      <c r="I967" t="s">
        <v>5763</v>
      </c>
      <c r="J967" t="s">
        <v>2949</v>
      </c>
      <c r="K967">
        <v>349327.08</v>
      </c>
      <c r="L967" t="s">
        <v>5773</v>
      </c>
      <c r="M967">
        <v>7</v>
      </c>
    </row>
    <row r="968" spans="1:13" x14ac:dyDescent="0.25">
      <c r="A968">
        <v>967</v>
      </c>
      <c r="B968" t="s">
        <v>979</v>
      </c>
      <c r="C968">
        <v>26</v>
      </c>
      <c r="D968" t="s">
        <v>2948</v>
      </c>
      <c r="E968" t="s">
        <v>2949</v>
      </c>
      <c r="F968" t="s">
        <v>3875</v>
      </c>
      <c r="G968" s="2">
        <v>45795</v>
      </c>
      <c r="H968" s="2">
        <v>45806</v>
      </c>
      <c r="I968" t="s">
        <v>5765</v>
      </c>
      <c r="J968" t="s">
        <v>5771</v>
      </c>
      <c r="K968">
        <v>110337.4</v>
      </c>
      <c r="L968" t="s">
        <v>5773</v>
      </c>
      <c r="M968">
        <v>11</v>
      </c>
    </row>
    <row r="969" spans="1:13" x14ac:dyDescent="0.25">
      <c r="A969">
        <v>968</v>
      </c>
      <c r="B969" t="s">
        <v>980</v>
      </c>
      <c r="C969">
        <v>19</v>
      </c>
      <c r="D969" t="s">
        <v>2947</v>
      </c>
      <c r="E969" t="s">
        <v>2954</v>
      </c>
      <c r="F969" t="s">
        <v>3876</v>
      </c>
      <c r="G969" s="2">
        <v>45587</v>
      </c>
      <c r="H969" s="2">
        <v>45597</v>
      </c>
      <c r="I969" t="s">
        <v>5765</v>
      </c>
      <c r="J969" t="s">
        <v>5771</v>
      </c>
      <c r="K969">
        <v>176083.4</v>
      </c>
      <c r="L969" t="s">
        <v>5774</v>
      </c>
      <c r="M969">
        <v>10</v>
      </c>
    </row>
    <row r="970" spans="1:13" x14ac:dyDescent="0.25">
      <c r="A970">
        <v>969</v>
      </c>
      <c r="B970" t="s">
        <v>981</v>
      </c>
      <c r="C970">
        <v>90</v>
      </c>
      <c r="D970" t="s">
        <v>2948</v>
      </c>
      <c r="E970" t="s">
        <v>2951</v>
      </c>
      <c r="F970" t="s">
        <v>3877</v>
      </c>
      <c r="G970" s="2">
        <v>45906</v>
      </c>
      <c r="H970" s="2">
        <v>45915</v>
      </c>
      <c r="I970" t="s">
        <v>5766</v>
      </c>
      <c r="J970" t="s">
        <v>5769</v>
      </c>
      <c r="K970">
        <v>188904.2</v>
      </c>
      <c r="L970" t="s">
        <v>5773</v>
      </c>
      <c r="M970">
        <v>9</v>
      </c>
    </row>
    <row r="971" spans="1:13" x14ac:dyDescent="0.25">
      <c r="A971">
        <v>970</v>
      </c>
      <c r="B971" t="s">
        <v>982</v>
      </c>
      <c r="C971">
        <v>83</v>
      </c>
      <c r="D971" t="s">
        <v>2948</v>
      </c>
      <c r="E971" t="s">
        <v>2950</v>
      </c>
      <c r="F971" t="s">
        <v>3878</v>
      </c>
      <c r="G971" s="2">
        <v>45724</v>
      </c>
      <c r="H971" s="2">
        <v>45736</v>
      </c>
      <c r="I971" t="s">
        <v>5763</v>
      </c>
      <c r="J971" t="s">
        <v>5768</v>
      </c>
      <c r="K971">
        <v>346298.06</v>
      </c>
      <c r="L971" t="s">
        <v>5773</v>
      </c>
      <c r="M971">
        <v>12</v>
      </c>
    </row>
    <row r="972" spans="1:13" x14ac:dyDescent="0.25">
      <c r="A972">
        <v>971</v>
      </c>
      <c r="B972" t="s">
        <v>983</v>
      </c>
      <c r="C972">
        <v>3</v>
      </c>
      <c r="D972" t="s">
        <v>2948</v>
      </c>
      <c r="E972" t="s">
        <v>2950</v>
      </c>
      <c r="F972" t="s">
        <v>3879</v>
      </c>
      <c r="G972" s="2">
        <v>45869</v>
      </c>
      <c r="H972" s="2">
        <v>45880</v>
      </c>
      <c r="I972" t="s">
        <v>5764</v>
      </c>
      <c r="J972" t="s">
        <v>5772</v>
      </c>
      <c r="K972">
        <v>59732.65</v>
      </c>
      <c r="L972" t="s">
        <v>5773</v>
      </c>
      <c r="M972">
        <v>11</v>
      </c>
    </row>
    <row r="973" spans="1:13" x14ac:dyDescent="0.25">
      <c r="A973">
        <v>972</v>
      </c>
      <c r="B973" t="s">
        <v>984</v>
      </c>
      <c r="C973">
        <v>84</v>
      </c>
      <c r="D973" t="s">
        <v>2948</v>
      </c>
      <c r="E973" t="s">
        <v>2950</v>
      </c>
      <c r="F973" t="s">
        <v>3880</v>
      </c>
      <c r="G973" s="2">
        <v>45889</v>
      </c>
      <c r="H973" s="2">
        <v>45899</v>
      </c>
      <c r="I973" t="s">
        <v>5763</v>
      </c>
      <c r="J973" t="s">
        <v>5769</v>
      </c>
      <c r="K973">
        <v>146540.20000000001</v>
      </c>
      <c r="L973" t="s">
        <v>5775</v>
      </c>
      <c r="M973">
        <v>10</v>
      </c>
    </row>
    <row r="974" spans="1:13" x14ac:dyDescent="0.25">
      <c r="A974">
        <v>973</v>
      </c>
      <c r="B974" t="s">
        <v>985</v>
      </c>
      <c r="C974">
        <v>90</v>
      </c>
      <c r="D974" t="s">
        <v>2948</v>
      </c>
      <c r="E974" t="s">
        <v>2949</v>
      </c>
      <c r="F974" t="s">
        <v>3881</v>
      </c>
      <c r="G974" s="2">
        <v>45618</v>
      </c>
      <c r="H974" s="2">
        <v>45621</v>
      </c>
      <c r="I974" t="s">
        <v>5764</v>
      </c>
      <c r="J974" t="s">
        <v>5772</v>
      </c>
      <c r="K974">
        <v>134385.25</v>
      </c>
      <c r="L974" t="s">
        <v>5773</v>
      </c>
      <c r="M974">
        <v>3</v>
      </c>
    </row>
    <row r="975" spans="1:13" x14ac:dyDescent="0.25">
      <c r="A975">
        <v>974</v>
      </c>
      <c r="B975" t="s">
        <v>986</v>
      </c>
      <c r="C975">
        <v>84</v>
      </c>
      <c r="D975" t="s">
        <v>2947</v>
      </c>
      <c r="E975" t="s">
        <v>2951</v>
      </c>
      <c r="F975" t="s">
        <v>3882</v>
      </c>
      <c r="G975" s="2">
        <v>45627</v>
      </c>
      <c r="H975" s="2">
        <v>45639</v>
      </c>
      <c r="I975" t="s">
        <v>5760</v>
      </c>
      <c r="J975" t="s">
        <v>2949</v>
      </c>
      <c r="K975">
        <v>339051.28</v>
      </c>
      <c r="L975" t="s">
        <v>5774</v>
      </c>
      <c r="M975">
        <v>12</v>
      </c>
    </row>
    <row r="976" spans="1:13" x14ac:dyDescent="0.25">
      <c r="A976">
        <v>975</v>
      </c>
      <c r="B976" t="s">
        <v>987</v>
      </c>
      <c r="C976">
        <v>68</v>
      </c>
      <c r="D976" t="s">
        <v>2947</v>
      </c>
      <c r="E976" t="s">
        <v>2953</v>
      </c>
      <c r="F976" t="s">
        <v>3883</v>
      </c>
      <c r="G976" s="2">
        <v>45841</v>
      </c>
      <c r="H976" s="2">
        <v>45845</v>
      </c>
      <c r="I976" t="s">
        <v>5765</v>
      </c>
      <c r="J976" t="s">
        <v>5771</v>
      </c>
      <c r="K976">
        <v>78543.75</v>
      </c>
      <c r="L976" t="s">
        <v>5773</v>
      </c>
      <c r="M976">
        <v>4</v>
      </c>
    </row>
    <row r="977" spans="1:13" x14ac:dyDescent="0.25">
      <c r="A977">
        <v>976</v>
      </c>
      <c r="B977" t="s">
        <v>988</v>
      </c>
      <c r="C977">
        <v>77</v>
      </c>
      <c r="D977" t="s">
        <v>2947</v>
      </c>
      <c r="E977" t="s">
        <v>2951</v>
      </c>
      <c r="F977" t="s">
        <v>3884</v>
      </c>
      <c r="G977" s="2">
        <v>45856</v>
      </c>
      <c r="H977" s="2">
        <v>45869</v>
      </c>
      <c r="I977" t="s">
        <v>5759</v>
      </c>
      <c r="J977" t="s">
        <v>5769</v>
      </c>
      <c r="K977">
        <v>230543.87</v>
      </c>
      <c r="L977" t="s">
        <v>5774</v>
      </c>
      <c r="M977">
        <v>13</v>
      </c>
    </row>
    <row r="978" spans="1:13" x14ac:dyDescent="0.25">
      <c r="A978">
        <v>977</v>
      </c>
      <c r="B978" t="s">
        <v>989</v>
      </c>
      <c r="C978">
        <v>85</v>
      </c>
      <c r="D978" t="s">
        <v>2948</v>
      </c>
      <c r="E978" t="s">
        <v>2955</v>
      </c>
      <c r="F978" t="s">
        <v>3885</v>
      </c>
      <c r="G978" s="2">
        <v>45588</v>
      </c>
      <c r="H978" s="2">
        <v>45593</v>
      </c>
      <c r="I978" t="s">
        <v>5766</v>
      </c>
      <c r="J978" t="s">
        <v>5771</v>
      </c>
      <c r="K978">
        <v>440970.14</v>
      </c>
      <c r="L978" t="s">
        <v>5774</v>
      </c>
      <c r="M978">
        <v>5</v>
      </c>
    </row>
    <row r="979" spans="1:13" x14ac:dyDescent="0.25">
      <c r="A979">
        <v>978</v>
      </c>
      <c r="B979" t="s">
        <v>990</v>
      </c>
      <c r="C979">
        <v>28</v>
      </c>
      <c r="D979" t="s">
        <v>2948</v>
      </c>
      <c r="E979" t="s">
        <v>2953</v>
      </c>
      <c r="F979" t="s">
        <v>3886</v>
      </c>
      <c r="G979" s="2">
        <v>45801</v>
      </c>
      <c r="H979" s="2">
        <v>45803</v>
      </c>
      <c r="I979" t="s">
        <v>5758</v>
      </c>
      <c r="J979" t="s">
        <v>5772</v>
      </c>
      <c r="K979">
        <v>249923.87</v>
      </c>
      <c r="L979" t="s">
        <v>5775</v>
      </c>
      <c r="M979">
        <v>2</v>
      </c>
    </row>
    <row r="980" spans="1:13" x14ac:dyDescent="0.25">
      <c r="A980">
        <v>979</v>
      </c>
      <c r="B980" t="s">
        <v>991</v>
      </c>
      <c r="C980">
        <v>46</v>
      </c>
      <c r="D980" t="s">
        <v>2948</v>
      </c>
      <c r="E980" t="s">
        <v>2950</v>
      </c>
      <c r="F980" t="s">
        <v>3887</v>
      </c>
      <c r="G980" s="2">
        <v>45883</v>
      </c>
      <c r="H980" s="2">
        <v>45884</v>
      </c>
      <c r="I980" t="s">
        <v>5762</v>
      </c>
      <c r="J980" t="s">
        <v>5771</v>
      </c>
      <c r="K980">
        <v>196708.26</v>
      </c>
      <c r="L980" t="s">
        <v>5775</v>
      </c>
      <c r="M980">
        <v>1</v>
      </c>
    </row>
    <row r="981" spans="1:13" x14ac:dyDescent="0.25">
      <c r="A981">
        <v>980</v>
      </c>
      <c r="B981" t="s">
        <v>992</v>
      </c>
      <c r="C981">
        <v>2</v>
      </c>
      <c r="D981" t="s">
        <v>2948</v>
      </c>
      <c r="E981" t="s">
        <v>2952</v>
      </c>
      <c r="F981" t="s">
        <v>3888</v>
      </c>
      <c r="G981" s="2">
        <v>45853</v>
      </c>
      <c r="H981" s="2">
        <v>45868</v>
      </c>
      <c r="I981" t="s">
        <v>5759</v>
      </c>
      <c r="J981" t="s">
        <v>5769</v>
      </c>
      <c r="K981">
        <v>239337.35</v>
      </c>
      <c r="L981" t="s">
        <v>5773</v>
      </c>
      <c r="M981">
        <v>15</v>
      </c>
    </row>
    <row r="982" spans="1:13" x14ac:dyDescent="0.25">
      <c r="A982">
        <v>981</v>
      </c>
      <c r="B982" t="s">
        <v>993</v>
      </c>
      <c r="C982">
        <v>2</v>
      </c>
      <c r="D982" t="s">
        <v>2948</v>
      </c>
      <c r="E982" t="s">
        <v>2953</v>
      </c>
      <c r="F982" t="s">
        <v>3889</v>
      </c>
      <c r="G982" s="2">
        <v>45741</v>
      </c>
      <c r="H982" s="2">
        <v>45755</v>
      </c>
      <c r="I982" t="s">
        <v>5761</v>
      </c>
      <c r="J982" t="s">
        <v>5771</v>
      </c>
      <c r="K982">
        <v>453134.57</v>
      </c>
      <c r="L982" t="s">
        <v>5774</v>
      </c>
      <c r="M982">
        <v>14</v>
      </c>
    </row>
    <row r="983" spans="1:13" x14ac:dyDescent="0.25">
      <c r="A983">
        <v>982</v>
      </c>
      <c r="B983" t="s">
        <v>994</v>
      </c>
      <c r="C983">
        <v>20</v>
      </c>
      <c r="D983" t="s">
        <v>2947</v>
      </c>
      <c r="E983" t="s">
        <v>2953</v>
      </c>
      <c r="F983" t="s">
        <v>3890</v>
      </c>
      <c r="G983" s="2">
        <v>45711</v>
      </c>
      <c r="H983" s="2">
        <v>45712</v>
      </c>
      <c r="I983" t="s">
        <v>5762</v>
      </c>
      <c r="J983" t="s">
        <v>5769</v>
      </c>
      <c r="K983">
        <v>305814.96999999997</v>
      </c>
      <c r="L983" t="s">
        <v>5773</v>
      </c>
      <c r="M983">
        <v>1</v>
      </c>
    </row>
    <row r="984" spans="1:13" x14ac:dyDescent="0.25">
      <c r="A984">
        <v>983</v>
      </c>
      <c r="B984" t="s">
        <v>995</v>
      </c>
      <c r="C984">
        <v>71</v>
      </c>
      <c r="D984" t="s">
        <v>2948</v>
      </c>
      <c r="E984" t="s">
        <v>2949</v>
      </c>
      <c r="F984" t="s">
        <v>3891</v>
      </c>
      <c r="G984" s="2">
        <v>45684</v>
      </c>
      <c r="H984" s="2">
        <v>45692</v>
      </c>
      <c r="I984" t="s">
        <v>5759</v>
      </c>
      <c r="J984" t="s">
        <v>2949</v>
      </c>
      <c r="K984">
        <v>458775.6</v>
      </c>
      <c r="L984" t="s">
        <v>5775</v>
      </c>
      <c r="M984">
        <v>8</v>
      </c>
    </row>
    <row r="985" spans="1:13" x14ac:dyDescent="0.25">
      <c r="A985">
        <v>984</v>
      </c>
      <c r="B985" t="s">
        <v>996</v>
      </c>
      <c r="C985">
        <v>62</v>
      </c>
      <c r="D985" t="s">
        <v>2947</v>
      </c>
      <c r="E985" t="s">
        <v>2953</v>
      </c>
      <c r="F985" t="s">
        <v>3892</v>
      </c>
      <c r="G985" s="2">
        <v>45732</v>
      </c>
      <c r="H985" s="2">
        <v>45744</v>
      </c>
      <c r="I985" t="s">
        <v>5766</v>
      </c>
      <c r="J985" t="s">
        <v>5768</v>
      </c>
      <c r="K985">
        <v>86176.47</v>
      </c>
      <c r="L985" t="s">
        <v>5773</v>
      </c>
      <c r="M985">
        <v>12</v>
      </c>
    </row>
    <row r="986" spans="1:13" x14ac:dyDescent="0.25">
      <c r="A986">
        <v>985</v>
      </c>
      <c r="B986" t="s">
        <v>997</v>
      </c>
      <c r="C986">
        <v>11</v>
      </c>
      <c r="D986" t="s">
        <v>2947</v>
      </c>
      <c r="E986" t="s">
        <v>2953</v>
      </c>
      <c r="F986" t="s">
        <v>3893</v>
      </c>
      <c r="G986" s="2">
        <v>45763</v>
      </c>
      <c r="H986" s="2">
        <v>45772</v>
      </c>
      <c r="I986" t="s">
        <v>5758</v>
      </c>
      <c r="J986" t="s">
        <v>5771</v>
      </c>
      <c r="K986">
        <v>373569.32</v>
      </c>
      <c r="L986" t="s">
        <v>5774</v>
      </c>
      <c r="M986">
        <v>9</v>
      </c>
    </row>
    <row r="987" spans="1:13" x14ac:dyDescent="0.25">
      <c r="A987">
        <v>986</v>
      </c>
      <c r="B987" t="s">
        <v>998</v>
      </c>
      <c r="C987">
        <v>43</v>
      </c>
      <c r="D987" t="s">
        <v>2947</v>
      </c>
      <c r="E987" t="s">
        <v>2952</v>
      </c>
      <c r="F987" t="s">
        <v>3894</v>
      </c>
      <c r="G987" s="2">
        <v>45764</v>
      </c>
      <c r="H987" s="2">
        <v>45766</v>
      </c>
      <c r="I987" t="s">
        <v>5765</v>
      </c>
      <c r="J987" t="s">
        <v>2949</v>
      </c>
      <c r="K987">
        <v>480633.82</v>
      </c>
      <c r="L987" t="s">
        <v>5773</v>
      </c>
      <c r="M987">
        <v>2</v>
      </c>
    </row>
    <row r="988" spans="1:13" x14ac:dyDescent="0.25">
      <c r="A988">
        <v>987</v>
      </c>
      <c r="B988" t="s">
        <v>999</v>
      </c>
      <c r="C988">
        <v>21</v>
      </c>
      <c r="D988" t="s">
        <v>2947</v>
      </c>
      <c r="E988" t="s">
        <v>2950</v>
      </c>
      <c r="F988" t="s">
        <v>3895</v>
      </c>
      <c r="G988" s="2">
        <v>45841</v>
      </c>
      <c r="H988" s="2">
        <v>45849</v>
      </c>
      <c r="I988" t="s">
        <v>5764</v>
      </c>
      <c r="J988" t="s">
        <v>5768</v>
      </c>
      <c r="K988">
        <v>93544.05</v>
      </c>
      <c r="L988" t="s">
        <v>5775</v>
      </c>
      <c r="M988">
        <v>8</v>
      </c>
    </row>
    <row r="989" spans="1:13" x14ac:dyDescent="0.25">
      <c r="A989">
        <v>988</v>
      </c>
      <c r="B989" t="s">
        <v>1000</v>
      </c>
      <c r="C989">
        <v>78</v>
      </c>
      <c r="D989" t="s">
        <v>2947</v>
      </c>
      <c r="E989" t="s">
        <v>2954</v>
      </c>
      <c r="F989" t="s">
        <v>3896</v>
      </c>
      <c r="G989" s="2">
        <v>45626</v>
      </c>
      <c r="H989" s="2">
        <v>45638</v>
      </c>
      <c r="I989" t="s">
        <v>5761</v>
      </c>
      <c r="J989" t="s">
        <v>5771</v>
      </c>
      <c r="K989">
        <v>358586.29</v>
      </c>
      <c r="L989" t="s">
        <v>5773</v>
      </c>
      <c r="M989">
        <v>12</v>
      </c>
    </row>
    <row r="990" spans="1:13" x14ac:dyDescent="0.25">
      <c r="A990">
        <v>989</v>
      </c>
      <c r="B990" t="s">
        <v>1001</v>
      </c>
      <c r="C990">
        <v>73</v>
      </c>
      <c r="D990" t="s">
        <v>2948</v>
      </c>
      <c r="E990" t="s">
        <v>2949</v>
      </c>
      <c r="F990" t="s">
        <v>3897</v>
      </c>
      <c r="G990" s="2">
        <v>45791</v>
      </c>
      <c r="H990" s="2">
        <v>45803</v>
      </c>
      <c r="I990" t="s">
        <v>5765</v>
      </c>
      <c r="J990" t="s">
        <v>2949</v>
      </c>
      <c r="K990">
        <v>47667.91</v>
      </c>
      <c r="L990" t="s">
        <v>5773</v>
      </c>
      <c r="M990">
        <v>12</v>
      </c>
    </row>
    <row r="991" spans="1:13" x14ac:dyDescent="0.25">
      <c r="A991">
        <v>990</v>
      </c>
      <c r="B991" t="s">
        <v>1002</v>
      </c>
      <c r="C991">
        <v>62</v>
      </c>
      <c r="D991" t="s">
        <v>2948</v>
      </c>
      <c r="E991" t="s">
        <v>2950</v>
      </c>
      <c r="F991" t="s">
        <v>3898</v>
      </c>
      <c r="G991" s="2">
        <v>45575</v>
      </c>
      <c r="H991" s="2">
        <v>45581</v>
      </c>
      <c r="I991" t="s">
        <v>5763</v>
      </c>
      <c r="J991" t="s">
        <v>5771</v>
      </c>
      <c r="K991">
        <v>424137.17</v>
      </c>
      <c r="L991" t="s">
        <v>5773</v>
      </c>
      <c r="M991">
        <v>6</v>
      </c>
    </row>
    <row r="992" spans="1:13" x14ac:dyDescent="0.25">
      <c r="A992">
        <v>991</v>
      </c>
      <c r="B992" t="s">
        <v>1003</v>
      </c>
      <c r="C992">
        <v>78</v>
      </c>
      <c r="D992" t="s">
        <v>2948</v>
      </c>
      <c r="E992" t="s">
        <v>2952</v>
      </c>
      <c r="F992" t="s">
        <v>3899</v>
      </c>
      <c r="G992" s="2">
        <v>45813</v>
      </c>
      <c r="H992" s="2">
        <v>45821</v>
      </c>
      <c r="I992" t="s">
        <v>5767</v>
      </c>
      <c r="J992" t="s">
        <v>5769</v>
      </c>
      <c r="K992">
        <v>183961.4</v>
      </c>
      <c r="L992" t="s">
        <v>5775</v>
      </c>
      <c r="M992">
        <v>8</v>
      </c>
    </row>
    <row r="993" spans="1:13" x14ac:dyDescent="0.25">
      <c r="A993">
        <v>992</v>
      </c>
      <c r="B993" t="s">
        <v>1004</v>
      </c>
      <c r="C993">
        <v>3</v>
      </c>
      <c r="D993" t="s">
        <v>2948</v>
      </c>
      <c r="E993" t="s">
        <v>2949</v>
      </c>
      <c r="F993" t="s">
        <v>3900</v>
      </c>
      <c r="G993" s="2">
        <v>45567</v>
      </c>
      <c r="H993" s="2">
        <v>45571</v>
      </c>
      <c r="I993" t="s">
        <v>5763</v>
      </c>
      <c r="J993" t="s">
        <v>5769</v>
      </c>
      <c r="K993">
        <v>196148.28</v>
      </c>
      <c r="L993" t="s">
        <v>5775</v>
      </c>
      <c r="M993">
        <v>4</v>
      </c>
    </row>
    <row r="994" spans="1:13" x14ac:dyDescent="0.25">
      <c r="A994">
        <v>993</v>
      </c>
      <c r="B994" t="s">
        <v>1005</v>
      </c>
      <c r="C994">
        <v>67</v>
      </c>
      <c r="D994" t="s">
        <v>2948</v>
      </c>
      <c r="E994" t="s">
        <v>2952</v>
      </c>
      <c r="F994" t="s">
        <v>3901</v>
      </c>
      <c r="G994" s="2">
        <v>45655</v>
      </c>
      <c r="H994" s="2">
        <v>45656</v>
      </c>
      <c r="I994" t="s">
        <v>5766</v>
      </c>
      <c r="J994" t="s">
        <v>5770</v>
      </c>
      <c r="K994">
        <v>419089.46</v>
      </c>
      <c r="L994" t="s">
        <v>5774</v>
      </c>
      <c r="M994">
        <v>1</v>
      </c>
    </row>
    <row r="995" spans="1:13" x14ac:dyDescent="0.25">
      <c r="A995">
        <v>994</v>
      </c>
      <c r="B995" t="s">
        <v>1006</v>
      </c>
      <c r="C995">
        <v>83</v>
      </c>
      <c r="D995" t="s">
        <v>2948</v>
      </c>
      <c r="E995" t="s">
        <v>2953</v>
      </c>
      <c r="F995" t="s">
        <v>3902</v>
      </c>
      <c r="G995" s="2">
        <v>45766</v>
      </c>
      <c r="H995" s="2">
        <v>45773</v>
      </c>
      <c r="I995" t="s">
        <v>5758</v>
      </c>
      <c r="J995" t="s">
        <v>5770</v>
      </c>
      <c r="K995">
        <v>136184.74</v>
      </c>
      <c r="L995" t="s">
        <v>5774</v>
      </c>
      <c r="M995">
        <v>7</v>
      </c>
    </row>
    <row r="996" spans="1:13" x14ac:dyDescent="0.25">
      <c r="A996">
        <v>995</v>
      </c>
      <c r="B996" t="s">
        <v>1007</v>
      </c>
      <c r="C996">
        <v>81</v>
      </c>
      <c r="D996" t="s">
        <v>2948</v>
      </c>
      <c r="E996" t="s">
        <v>2952</v>
      </c>
      <c r="F996" t="s">
        <v>3903</v>
      </c>
      <c r="G996" s="2">
        <v>45629</v>
      </c>
      <c r="H996" s="2">
        <v>45641</v>
      </c>
      <c r="I996" t="s">
        <v>5763</v>
      </c>
      <c r="J996" t="s">
        <v>5770</v>
      </c>
      <c r="K996">
        <v>159796.88</v>
      </c>
      <c r="L996" t="s">
        <v>5775</v>
      </c>
      <c r="M996">
        <v>12</v>
      </c>
    </row>
    <row r="997" spans="1:13" x14ac:dyDescent="0.25">
      <c r="A997">
        <v>996</v>
      </c>
      <c r="B997" t="s">
        <v>1008</v>
      </c>
      <c r="C997">
        <v>48</v>
      </c>
      <c r="D997" t="s">
        <v>2947</v>
      </c>
      <c r="E997" t="s">
        <v>2952</v>
      </c>
      <c r="F997" t="s">
        <v>3904</v>
      </c>
      <c r="G997" s="2">
        <v>45562</v>
      </c>
      <c r="H997" s="2">
        <v>45568</v>
      </c>
      <c r="I997" t="s">
        <v>5762</v>
      </c>
      <c r="J997" t="s">
        <v>5768</v>
      </c>
      <c r="K997">
        <v>262580.03000000003</v>
      </c>
      <c r="L997" t="s">
        <v>5773</v>
      </c>
      <c r="M997">
        <v>6</v>
      </c>
    </row>
    <row r="998" spans="1:13" x14ac:dyDescent="0.25">
      <c r="A998">
        <v>997</v>
      </c>
      <c r="B998" t="s">
        <v>1009</v>
      </c>
      <c r="C998">
        <v>55</v>
      </c>
      <c r="D998" t="s">
        <v>2948</v>
      </c>
      <c r="E998" t="s">
        <v>2954</v>
      </c>
      <c r="F998" t="s">
        <v>3905</v>
      </c>
      <c r="G998" s="2">
        <v>45627</v>
      </c>
      <c r="H998" s="2">
        <v>45628</v>
      </c>
      <c r="I998" t="s">
        <v>5760</v>
      </c>
      <c r="J998" t="s">
        <v>5772</v>
      </c>
      <c r="K998">
        <v>284962.53999999998</v>
      </c>
      <c r="L998" t="s">
        <v>5773</v>
      </c>
      <c r="M998">
        <v>1</v>
      </c>
    </row>
    <row r="999" spans="1:13" x14ac:dyDescent="0.25">
      <c r="A999">
        <v>998</v>
      </c>
      <c r="B999" t="s">
        <v>1010</v>
      </c>
      <c r="C999">
        <v>60</v>
      </c>
      <c r="D999" t="s">
        <v>2947</v>
      </c>
      <c r="E999" t="s">
        <v>2954</v>
      </c>
      <c r="F999" t="s">
        <v>3906</v>
      </c>
      <c r="G999" s="2">
        <v>45582</v>
      </c>
      <c r="H999" s="2">
        <v>45588</v>
      </c>
      <c r="I999" t="s">
        <v>5763</v>
      </c>
      <c r="J999" t="s">
        <v>5768</v>
      </c>
      <c r="K999">
        <v>55643.27</v>
      </c>
      <c r="L999" t="s">
        <v>5775</v>
      </c>
      <c r="M999">
        <v>6</v>
      </c>
    </row>
    <row r="1000" spans="1:13" x14ac:dyDescent="0.25">
      <c r="A1000">
        <v>999</v>
      </c>
      <c r="B1000" t="s">
        <v>1011</v>
      </c>
      <c r="C1000">
        <v>48</v>
      </c>
      <c r="D1000" t="s">
        <v>2948</v>
      </c>
      <c r="E1000" t="s">
        <v>2953</v>
      </c>
      <c r="F1000" t="s">
        <v>3907</v>
      </c>
      <c r="G1000" s="2">
        <v>45692</v>
      </c>
      <c r="H1000" s="2">
        <v>45700</v>
      </c>
      <c r="I1000" t="s">
        <v>5758</v>
      </c>
      <c r="J1000" t="s">
        <v>2949</v>
      </c>
      <c r="K1000">
        <v>109780.8</v>
      </c>
      <c r="L1000" t="s">
        <v>5774</v>
      </c>
      <c r="M1000">
        <v>8</v>
      </c>
    </row>
    <row r="1001" spans="1:13" x14ac:dyDescent="0.25">
      <c r="A1001">
        <v>1000</v>
      </c>
      <c r="B1001" t="s">
        <v>1012</v>
      </c>
      <c r="C1001">
        <v>86</v>
      </c>
      <c r="D1001" t="s">
        <v>2947</v>
      </c>
      <c r="E1001" t="s">
        <v>2950</v>
      </c>
      <c r="F1001" t="s">
        <v>3908</v>
      </c>
      <c r="G1001" s="2">
        <v>45596</v>
      </c>
      <c r="H1001" s="2">
        <v>45601</v>
      </c>
      <c r="I1001" t="s">
        <v>5763</v>
      </c>
      <c r="J1001" t="s">
        <v>2949</v>
      </c>
      <c r="K1001">
        <v>136290.01999999999</v>
      </c>
      <c r="L1001" t="s">
        <v>5774</v>
      </c>
      <c r="M1001">
        <v>5</v>
      </c>
    </row>
    <row r="1002" spans="1:13" x14ac:dyDescent="0.25">
      <c r="A1002">
        <v>1001</v>
      </c>
      <c r="B1002" t="s">
        <v>1013</v>
      </c>
      <c r="C1002">
        <v>25</v>
      </c>
      <c r="D1002" t="s">
        <v>2948</v>
      </c>
      <c r="E1002" t="s">
        <v>2949</v>
      </c>
      <c r="F1002" t="s">
        <v>3909</v>
      </c>
      <c r="G1002" s="2">
        <v>45670</v>
      </c>
      <c r="H1002" s="2">
        <v>45671</v>
      </c>
      <c r="I1002" t="s">
        <v>5763</v>
      </c>
      <c r="J1002" t="s">
        <v>5769</v>
      </c>
      <c r="K1002">
        <v>71412.72</v>
      </c>
      <c r="L1002" t="s">
        <v>5773</v>
      </c>
      <c r="M1002">
        <v>1</v>
      </c>
    </row>
    <row r="1003" spans="1:13" x14ac:dyDescent="0.25">
      <c r="A1003">
        <v>1002</v>
      </c>
      <c r="B1003" t="s">
        <v>1014</v>
      </c>
      <c r="C1003">
        <v>7</v>
      </c>
      <c r="D1003" t="s">
        <v>2948</v>
      </c>
      <c r="E1003" t="s">
        <v>2952</v>
      </c>
      <c r="F1003" t="s">
        <v>2018</v>
      </c>
      <c r="G1003" s="2">
        <v>45672</v>
      </c>
      <c r="H1003" s="2">
        <v>45686</v>
      </c>
      <c r="I1003" t="s">
        <v>5762</v>
      </c>
      <c r="J1003" t="s">
        <v>5768</v>
      </c>
      <c r="K1003">
        <v>281687.07</v>
      </c>
      <c r="L1003" t="s">
        <v>5774</v>
      </c>
      <c r="M1003">
        <v>14</v>
      </c>
    </row>
    <row r="1004" spans="1:13" x14ac:dyDescent="0.25">
      <c r="A1004">
        <v>1003</v>
      </c>
      <c r="B1004" t="s">
        <v>1015</v>
      </c>
      <c r="C1004">
        <v>23</v>
      </c>
      <c r="D1004" t="s">
        <v>2948</v>
      </c>
      <c r="E1004" t="s">
        <v>2949</v>
      </c>
      <c r="F1004" t="s">
        <v>3910</v>
      </c>
      <c r="G1004" s="2">
        <v>45875</v>
      </c>
      <c r="H1004" s="2">
        <v>45881</v>
      </c>
      <c r="I1004" t="s">
        <v>5758</v>
      </c>
      <c r="J1004" t="s">
        <v>2949</v>
      </c>
      <c r="K1004">
        <v>164269.01</v>
      </c>
      <c r="L1004" t="s">
        <v>5775</v>
      </c>
      <c r="M1004">
        <v>6</v>
      </c>
    </row>
    <row r="1005" spans="1:13" x14ac:dyDescent="0.25">
      <c r="A1005">
        <v>1004</v>
      </c>
      <c r="B1005" t="s">
        <v>1016</v>
      </c>
      <c r="C1005">
        <v>57</v>
      </c>
      <c r="D1005" t="s">
        <v>2948</v>
      </c>
      <c r="E1005" t="s">
        <v>2951</v>
      </c>
      <c r="F1005" t="s">
        <v>3911</v>
      </c>
      <c r="G1005" s="2">
        <v>45615</v>
      </c>
      <c r="H1005" s="2">
        <v>45621</v>
      </c>
      <c r="I1005" t="s">
        <v>5760</v>
      </c>
      <c r="J1005" t="s">
        <v>2949</v>
      </c>
      <c r="K1005">
        <v>476520.59</v>
      </c>
      <c r="L1005" t="s">
        <v>5773</v>
      </c>
      <c r="M1005">
        <v>6</v>
      </c>
    </row>
    <row r="1006" spans="1:13" x14ac:dyDescent="0.25">
      <c r="A1006">
        <v>1005</v>
      </c>
      <c r="B1006" t="s">
        <v>1017</v>
      </c>
      <c r="C1006">
        <v>11</v>
      </c>
      <c r="D1006" t="s">
        <v>2948</v>
      </c>
      <c r="E1006" t="s">
        <v>2950</v>
      </c>
      <c r="F1006" t="s">
        <v>3912</v>
      </c>
      <c r="G1006" s="2">
        <v>45587</v>
      </c>
      <c r="H1006" s="2">
        <v>45589</v>
      </c>
      <c r="I1006" t="s">
        <v>5766</v>
      </c>
      <c r="J1006" t="s">
        <v>5771</v>
      </c>
      <c r="K1006">
        <v>426294.9</v>
      </c>
      <c r="L1006" t="s">
        <v>5774</v>
      </c>
      <c r="M1006">
        <v>2</v>
      </c>
    </row>
    <row r="1007" spans="1:13" x14ac:dyDescent="0.25">
      <c r="A1007">
        <v>1006</v>
      </c>
      <c r="B1007" t="s">
        <v>1018</v>
      </c>
      <c r="C1007">
        <v>30</v>
      </c>
      <c r="D1007" t="s">
        <v>2947</v>
      </c>
      <c r="E1007" t="s">
        <v>2952</v>
      </c>
      <c r="F1007" t="s">
        <v>3913</v>
      </c>
      <c r="G1007" s="2">
        <v>45785</v>
      </c>
      <c r="H1007" s="2">
        <v>45788</v>
      </c>
      <c r="I1007" t="s">
        <v>5764</v>
      </c>
      <c r="J1007" t="s">
        <v>5769</v>
      </c>
      <c r="K1007">
        <v>178924.15</v>
      </c>
      <c r="L1007" t="s">
        <v>5774</v>
      </c>
      <c r="M1007">
        <v>3</v>
      </c>
    </row>
    <row r="1008" spans="1:13" x14ac:dyDescent="0.25">
      <c r="A1008">
        <v>1007</v>
      </c>
      <c r="B1008" t="s">
        <v>1019</v>
      </c>
      <c r="C1008">
        <v>4</v>
      </c>
      <c r="D1008" t="s">
        <v>2947</v>
      </c>
      <c r="E1008" t="s">
        <v>2949</v>
      </c>
      <c r="F1008" t="s">
        <v>3914</v>
      </c>
      <c r="G1008" s="2">
        <v>45552</v>
      </c>
      <c r="H1008" s="2">
        <v>45558</v>
      </c>
      <c r="I1008" t="s">
        <v>5765</v>
      </c>
      <c r="J1008" t="s">
        <v>5771</v>
      </c>
      <c r="K1008">
        <v>476272.75</v>
      </c>
      <c r="L1008" t="s">
        <v>5774</v>
      </c>
      <c r="M1008">
        <v>6</v>
      </c>
    </row>
    <row r="1009" spans="1:13" x14ac:dyDescent="0.25">
      <c r="A1009">
        <v>1008</v>
      </c>
      <c r="B1009" t="s">
        <v>1020</v>
      </c>
      <c r="C1009">
        <v>79</v>
      </c>
      <c r="D1009" t="s">
        <v>2948</v>
      </c>
      <c r="E1009" t="s">
        <v>2953</v>
      </c>
      <c r="F1009" t="s">
        <v>3915</v>
      </c>
      <c r="G1009" s="2">
        <v>45870</v>
      </c>
      <c r="H1009" s="2">
        <v>45880</v>
      </c>
      <c r="I1009" t="s">
        <v>5760</v>
      </c>
      <c r="J1009" t="s">
        <v>5771</v>
      </c>
      <c r="K1009">
        <v>275198.38</v>
      </c>
      <c r="L1009" t="s">
        <v>5775</v>
      </c>
      <c r="M1009">
        <v>10</v>
      </c>
    </row>
    <row r="1010" spans="1:13" x14ac:dyDescent="0.25">
      <c r="A1010">
        <v>1009</v>
      </c>
      <c r="B1010" t="s">
        <v>1021</v>
      </c>
      <c r="C1010">
        <v>57</v>
      </c>
      <c r="D1010" t="s">
        <v>2948</v>
      </c>
      <c r="E1010" t="s">
        <v>2952</v>
      </c>
      <c r="F1010" t="s">
        <v>3916</v>
      </c>
      <c r="G1010" s="2">
        <v>45885</v>
      </c>
      <c r="H1010" s="2">
        <v>45896</v>
      </c>
      <c r="I1010" t="s">
        <v>5766</v>
      </c>
      <c r="J1010" t="s">
        <v>5772</v>
      </c>
      <c r="K1010">
        <v>375087.68</v>
      </c>
      <c r="L1010" t="s">
        <v>5773</v>
      </c>
      <c r="M1010">
        <v>11</v>
      </c>
    </row>
    <row r="1011" spans="1:13" x14ac:dyDescent="0.25">
      <c r="A1011">
        <v>1010</v>
      </c>
      <c r="B1011" t="s">
        <v>1022</v>
      </c>
      <c r="C1011">
        <v>56</v>
      </c>
      <c r="D1011" t="s">
        <v>2947</v>
      </c>
      <c r="E1011" t="s">
        <v>2953</v>
      </c>
      <c r="F1011" t="s">
        <v>3917</v>
      </c>
      <c r="G1011" s="2">
        <v>45742</v>
      </c>
      <c r="H1011" s="2">
        <v>45751</v>
      </c>
      <c r="I1011" t="s">
        <v>5765</v>
      </c>
      <c r="J1011" t="s">
        <v>2949</v>
      </c>
      <c r="K1011">
        <v>35365.96</v>
      </c>
      <c r="L1011" t="s">
        <v>5773</v>
      </c>
      <c r="M1011">
        <v>9</v>
      </c>
    </row>
    <row r="1012" spans="1:13" x14ac:dyDescent="0.25">
      <c r="A1012">
        <v>1011</v>
      </c>
      <c r="B1012" t="s">
        <v>1023</v>
      </c>
      <c r="C1012">
        <v>27</v>
      </c>
      <c r="D1012" t="s">
        <v>2948</v>
      </c>
      <c r="E1012" t="s">
        <v>2955</v>
      </c>
      <c r="F1012" t="s">
        <v>3918</v>
      </c>
      <c r="G1012" s="2">
        <v>45891</v>
      </c>
      <c r="H1012" s="2">
        <v>45900</v>
      </c>
      <c r="I1012" t="s">
        <v>5758</v>
      </c>
      <c r="J1012" t="s">
        <v>2949</v>
      </c>
      <c r="K1012">
        <v>203251.57</v>
      </c>
      <c r="L1012" t="s">
        <v>5773</v>
      </c>
      <c r="M1012">
        <v>9</v>
      </c>
    </row>
    <row r="1013" spans="1:13" x14ac:dyDescent="0.25">
      <c r="A1013">
        <v>1012</v>
      </c>
      <c r="B1013" t="s">
        <v>1024</v>
      </c>
      <c r="C1013">
        <v>89</v>
      </c>
      <c r="D1013" t="s">
        <v>2947</v>
      </c>
      <c r="E1013" t="s">
        <v>2954</v>
      </c>
      <c r="F1013" t="s">
        <v>3919</v>
      </c>
      <c r="G1013" s="2">
        <v>45718</v>
      </c>
      <c r="H1013" s="2">
        <v>45727</v>
      </c>
      <c r="I1013" t="s">
        <v>5758</v>
      </c>
      <c r="J1013" t="s">
        <v>5772</v>
      </c>
      <c r="K1013">
        <v>40577.18</v>
      </c>
      <c r="L1013" t="s">
        <v>5775</v>
      </c>
      <c r="M1013">
        <v>9</v>
      </c>
    </row>
    <row r="1014" spans="1:13" x14ac:dyDescent="0.25">
      <c r="A1014">
        <v>1013</v>
      </c>
      <c r="B1014" t="s">
        <v>1025</v>
      </c>
      <c r="C1014">
        <v>68</v>
      </c>
      <c r="D1014" t="s">
        <v>2948</v>
      </c>
      <c r="E1014" t="s">
        <v>2950</v>
      </c>
      <c r="F1014" t="s">
        <v>3920</v>
      </c>
      <c r="G1014" s="2">
        <v>45848</v>
      </c>
      <c r="H1014" s="2">
        <v>45849</v>
      </c>
      <c r="I1014" t="s">
        <v>5763</v>
      </c>
      <c r="J1014" t="s">
        <v>5768</v>
      </c>
      <c r="K1014">
        <v>352681.05</v>
      </c>
      <c r="L1014" t="s">
        <v>5773</v>
      </c>
      <c r="M1014">
        <v>1</v>
      </c>
    </row>
    <row r="1015" spans="1:13" x14ac:dyDescent="0.25">
      <c r="A1015">
        <v>1014</v>
      </c>
      <c r="B1015" t="s">
        <v>1026</v>
      </c>
      <c r="C1015">
        <v>55</v>
      </c>
      <c r="D1015" t="s">
        <v>2948</v>
      </c>
      <c r="E1015" t="s">
        <v>2955</v>
      </c>
      <c r="F1015" t="s">
        <v>3921</v>
      </c>
      <c r="G1015" s="2">
        <v>45862</v>
      </c>
      <c r="H1015" s="2">
        <v>45869</v>
      </c>
      <c r="I1015" t="s">
        <v>5760</v>
      </c>
      <c r="J1015" t="s">
        <v>5772</v>
      </c>
      <c r="K1015">
        <v>136859.29</v>
      </c>
      <c r="L1015" t="s">
        <v>5774</v>
      </c>
      <c r="M1015">
        <v>7</v>
      </c>
    </row>
    <row r="1016" spans="1:13" x14ac:dyDescent="0.25">
      <c r="A1016">
        <v>1015</v>
      </c>
      <c r="B1016" t="s">
        <v>1027</v>
      </c>
      <c r="C1016">
        <v>58</v>
      </c>
      <c r="D1016" t="s">
        <v>2948</v>
      </c>
      <c r="E1016" t="s">
        <v>2955</v>
      </c>
      <c r="F1016" t="s">
        <v>3922</v>
      </c>
      <c r="G1016" s="2">
        <v>45821</v>
      </c>
      <c r="H1016" s="2">
        <v>45834</v>
      </c>
      <c r="I1016" t="s">
        <v>5762</v>
      </c>
      <c r="J1016" t="s">
        <v>5772</v>
      </c>
      <c r="K1016">
        <v>497938.66</v>
      </c>
      <c r="L1016" t="s">
        <v>5773</v>
      </c>
      <c r="M1016">
        <v>13</v>
      </c>
    </row>
    <row r="1017" spans="1:13" x14ac:dyDescent="0.25">
      <c r="A1017">
        <v>1016</v>
      </c>
      <c r="B1017" t="s">
        <v>1028</v>
      </c>
      <c r="C1017">
        <v>68</v>
      </c>
      <c r="D1017" t="s">
        <v>2947</v>
      </c>
      <c r="E1017" t="s">
        <v>2953</v>
      </c>
      <c r="F1017" t="s">
        <v>3923</v>
      </c>
      <c r="G1017" s="2">
        <v>45890</v>
      </c>
      <c r="H1017" s="2">
        <v>45904</v>
      </c>
      <c r="I1017" t="s">
        <v>5764</v>
      </c>
      <c r="J1017" t="s">
        <v>5771</v>
      </c>
      <c r="K1017">
        <v>437184.83</v>
      </c>
      <c r="L1017" t="s">
        <v>5775</v>
      </c>
      <c r="M1017">
        <v>14</v>
      </c>
    </row>
    <row r="1018" spans="1:13" x14ac:dyDescent="0.25">
      <c r="A1018">
        <v>1017</v>
      </c>
      <c r="B1018" t="s">
        <v>1029</v>
      </c>
      <c r="C1018">
        <v>57</v>
      </c>
      <c r="D1018" t="s">
        <v>2948</v>
      </c>
      <c r="E1018" t="s">
        <v>2955</v>
      </c>
      <c r="F1018" t="s">
        <v>3924</v>
      </c>
      <c r="G1018" s="2">
        <v>45684</v>
      </c>
      <c r="H1018" s="2">
        <v>45688</v>
      </c>
      <c r="I1018" t="s">
        <v>5762</v>
      </c>
      <c r="J1018" t="s">
        <v>5771</v>
      </c>
      <c r="K1018">
        <v>110467.02</v>
      </c>
      <c r="L1018" t="s">
        <v>5774</v>
      </c>
      <c r="M1018">
        <v>4</v>
      </c>
    </row>
    <row r="1019" spans="1:13" x14ac:dyDescent="0.25">
      <c r="A1019">
        <v>1018</v>
      </c>
      <c r="B1019" t="s">
        <v>1030</v>
      </c>
      <c r="C1019">
        <v>89</v>
      </c>
      <c r="D1019" t="s">
        <v>2948</v>
      </c>
      <c r="E1019" t="s">
        <v>2952</v>
      </c>
      <c r="F1019" t="s">
        <v>3925</v>
      </c>
      <c r="G1019" s="2">
        <v>45602</v>
      </c>
      <c r="H1019" s="2">
        <v>45605</v>
      </c>
      <c r="I1019" t="s">
        <v>5761</v>
      </c>
      <c r="J1019" t="s">
        <v>5772</v>
      </c>
      <c r="K1019">
        <v>382448.93</v>
      </c>
      <c r="L1019" t="s">
        <v>5774</v>
      </c>
      <c r="M1019">
        <v>3</v>
      </c>
    </row>
    <row r="1020" spans="1:13" x14ac:dyDescent="0.25">
      <c r="A1020">
        <v>1019</v>
      </c>
      <c r="B1020" t="s">
        <v>1031</v>
      </c>
      <c r="C1020">
        <v>10</v>
      </c>
      <c r="D1020" t="s">
        <v>2948</v>
      </c>
      <c r="E1020" t="s">
        <v>2950</v>
      </c>
      <c r="F1020" t="s">
        <v>3926</v>
      </c>
      <c r="G1020" s="2">
        <v>45824</v>
      </c>
      <c r="H1020" s="2">
        <v>45833</v>
      </c>
      <c r="I1020" t="s">
        <v>5767</v>
      </c>
      <c r="J1020" t="s">
        <v>5769</v>
      </c>
      <c r="K1020">
        <v>269815.83</v>
      </c>
      <c r="L1020" t="s">
        <v>5773</v>
      </c>
      <c r="M1020">
        <v>9</v>
      </c>
    </row>
    <row r="1021" spans="1:13" x14ac:dyDescent="0.25">
      <c r="A1021">
        <v>1020</v>
      </c>
      <c r="B1021" t="s">
        <v>1032</v>
      </c>
      <c r="C1021">
        <v>1</v>
      </c>
      <c r="D1021" t="s">
        <v>2948</v>
      </c>
      <c r="E1021" t="s">
        <v>2950</v>
      </c>
      <c r="F1021" t="s">
        <v>3927</v>
      </c>
      <c r="G1021" s="2">
        <v>45884</v>
      </c>
      <c r="H1021" s="2">
        <v>45899</v>
      </c>
      <c r="I1021" t="s">
        <v>5758</v>
      </c>
      <c r="J1021" t="s">
        <v>5769</v>
      </c>
      <c r="K1021">
        <v>37732.35</v>
      </c>
      <c r="L1021" t="s">
        <v>5775</v>
      </c>
      <c r="M1021">
        <v>15</v>
      </c>
    </row>
    <row r="1022" spans="1:13" x14ac:dyDescent="0.25">
      <c r="A1022">
        <v>1021</v>
      </c>
      <c r="B1022" t="s">
        <v>1033</v>
      </c>
      <c r="C1022">
        <v>12</v>
      </c>
      <c r="D1022" t="s">
        <v>2948</v>
      </c>
      <c r="E1022" t="s">
        <v>2951</v>
      </c>
      <c r="F1022" t="s">
        <v>3928</v>
      </c>
      <c r="G1022" s="2">
        <v>45621</v>
      </c>
      <c r="H1022" s="2">
        <v>45636</v>
      </c>
      <c r="I1022" t="s">
        <v>5764</v>
      </c>
      <c r="J1022" t="s">
        <v>5769</v>
      </c>
      <c r="K1022">
        <v>432308.86</v>
      </c>
      <c r="L1022" t="s">
        <v>5775</v>
      </c>
      <c r="M1022">
        <v>15</v>
      </c>
    </row>
    <row r="1023" spans="1:13" x14ac:dyDescent="0.25">
      <c r="A1023">
        <v>1022</v>
      </c>
      <c r="B1023" t="s">
        <v>1034</v>
      </c>
      <c r="C1023">
        <v>43</v>
      </c>
      <c r="D1023" t="s">
        <v>2948</v>
      </c>
      <c r="E1023" t="s">
        <v>2950</v>
      </c>
      <c r="F1023" t="s">
        <v>3929</v>
      </c>
      <c r="G1023" s="2">
        <v>45854</v>
      </c>
      <c r="H1023" s="2">
        <v>45860</v>
      </c>
      <c r="I1023" t="s">
        <v>5758</v>
      </c>
      <c r="J1023" t="s">
        <v>5768</v>
      </c>
      <c r="K1023">
        <v>335767.54</v>
      </c>
      <c r="L1023" t="s">
        <v>5773</v>
      </c>
      <c r="M1023">
        <v>6</v>
      </c>
    </row>
    <row r="1024" spans="1:13" x14ac:dyDescent="0.25">
      <c r="A1024">
        <v>1023</v>
      </c>
      <c r="B1024" t="s">
        <v>1035</v>
      </c>
      <c r="C1024">
        <v>81</v>
      </c>
      <c r="D1024" t="s">
        <v>2947</v>
      </c>
      <c r="E1024" t="s">
        <v>2953</v>
      </c>
      <c r="F1024" t="s">
        <v>2859</v>
      </c>
      <c r="G1024" s="2">
        <v>45709</v>
      </c>
      <c r="H1024" s="2">
        <v>45719</v>
      </c>
      <c r="I1024" t="s">
        <v>5766</v>
      </c>
      <c r="J1024" t="s">
        <v>5772</v>
      </c>
      <c r="K1024">
        <v>143393.51</v>
      </c>
      <c r="L1024" t="s">
        <v>5774</v>
      </c>
      <c r="M1024">
        <v>10</v>
      </c>
    </row>
    <row r="1025" spans="1:13" x14ac:dyDescent="0.25">
      <c r="A1025">
        <v>1024</v>
      </c>
      <c r="B1025" t="s">
        <v>1036</v>
      </c>
      <c r="C1025">
        <v>78</v>
      </c>
      <c r="D1025" t="s">
        <v>2947</v>
      </c>
      <c r="E1025" t="s">
        <v>2952</v>
      </c>
      <c r="F1025" t="s">
        <v>3930</v>
      </c>
      <c r="G1025" s="2">
        <v>45648</v>
      </c>
      <c r="H1025" s="2">
        <v>45652</v>
      </c>
      <c r="I1025" t="s">
        <v>5759</v>
      </c>
      <c r="J1025" t="s">
        <v>5770</v>
      </c>
      <c r="K1025">
        <v>81415.97</v>
      </c>
      <c r="L1025" t="s">
        <v>5775</v>
      </c>
      <c r="M1025">
        <v>4</v>
      </c>
    </row>
    <row r="1026" spans="1:13" x14ac:dyDescent="0.25">
      <c r="A1026">
        <v>1025</v>
      </c>
      <c r="B1026" t="s">
        <v>1037</v>
      </c>
      <c r="C1026">
        <v>8</v>
      </c>
      <c r="D1026" t="s">
        <v>2948</v>
      </c>
      <c r="E1026" t="s">
        <v>2955</v>
      </c>
      <c r="F1026" t="s">
        <v>3931</v>
      </c>
      <c r="G1026" s="2">
        <v>45568</v>
      </c>
      <c r="H1026" s="2">
        <v>45579</v>
      </c>
      <c r="I1026" t="s">
        <v>5766</v>
      </c>
      <c r="J1026" t="s">
        <v>5770</v>
      </c>
      <c r="K1026">
        <v>115121.75</v>
      </c>
      <c r="L1026" t="s">
        <v>5775</v>
      </c>
      <c r="M1026">
        <v>11</v>
      </c>
    </row>
    <row r="1027" spans="1:13" x14ac:dyDescent="0.25">
      <c r="A1027">
        <v>1026</v>
      </c>
      <c r="B1027" t="s">
        <v>1038</v>
      </c>
      <c r="C1027">
        <v>70</v>
      </c>
      <c r="D1027" t="s">
        <v>2948</v>
      </c>
      <c r="E1027" t="s">
        <v>2952</v>
      </c>
      <c r="F1027" t="s">
        <v>3932</v>
      </c>
      <c r="G1027" s="2">
        <v>45620</v>
      </c>
      <c r="H1027" s="2">
        <v>45628</v>
      </c>
      <c r="I1027" t="s">
        <v>5758</v>
      </c>
      <c r="J1027" t="s">
        <v>5770</v>
      </c>
      <c r="K1027">
        <v>283916.02</v>
      </c>
      <c r="L1027" t="s">
        <v>5775</v>
      </c>
      <c r="M1027">
        <v>8</v>
      </c>
    </row>
    <row r="1028" spans="1:13" x14ac:dyDescent="0.25">
      <c r="A1028">
        <v>1027</v>
      </c>
      <c r="B1028" t="s">
        <v>1039</v>
      </c>
      <c r="C1028">
        <v>63</v>
      </c>
      <c r="D1028" t="s">
        <v>2948</v>
      </c>
      <c r="E1028" t="s">
        <v>2951</v>
      </c>
      <c r="F1028" t="s">
        <v>3933</v>
      </c>
      <c r="G1028" s="2">
        <v>45821</v>
      </c>
      <c r="H1028" s="2">
        <v>45834</v>
      </c>
      <c r="I1028" t="s">
        <v>5766</v>
      </c>
      <c r="J1028" t="s">
        <v>2949</v>
      </c>
      <c r="K1028">
        <v>24016.23</v>
      </c>
      <c r="L1028" t="s">
        <v>5773</v>
      </c>
      <c r="M1028">
        <v>13</v>
      </c>
    </row>
    <row r="1029" spans="1:13" x14ac:dyDescent="0.25">
      <c r="A1029">
        <v>1028</v>
      </c>
      <c r="B1029" t="s">
        <v>1040</v>
      </c>
      <c r="C1029">
        <v>81</v>
      </c>
      <c r="D1029" t="s">
        <v>2948</v>
      </c>
      <c r="E1029" t="s">
        <v>2952</v>
      </c>
      <c r="F1029" t="s">
        <v>3934</v>
      </c>
      <c r="G1029" s="2">
        <v>45842</v>
      </c>
      <c r="H1029" s="2">
        <v>45857</v>
      </c>
      <c r="I1029" t="s">
        <v>5758</v>
      </c>
      <c r="J1029" t="s">
        <v>5768</v>
      </c>
      <c r="K1029">
        <v>357423.73</v>
      </c>
      <c r="L1029" t="s">
        <v>5773</v>
      </c>
      <c r="M1029">
        <v>15</v>
      </c>
    </row>
    <row r="1030" spans="1:13" x14ac:dyDescent="0.25">
      <c r="A1030">
        <v>1029</v>
      </c>
      <c r="B1030" t="s">
        <v>1041</v>
      </c>
      <c r="C1030">
        <v>59</v>
      </c>
      <c r="D1030" t="s">
        <v>2948</v>
      </c>
      <c r="E1030" t="s">
        <v>2950</v>
      </c>
      <c r="F1030" t="s">
        <v>3935</v>
      </c>
      <c r="G1030" s="2">
        <v>45582</v>
      </c>
      <c r="H1030" s="2">
        <v>45587</v>
      </c>
      <c r="I1030" t="s">
        <v>5763</v>
      </c>
      <c r="J1030" t="s">
        <v>5770</v>
      </c>
      <c r="K1030">
        <v>60680.09</v>
      </c>
      <c r="L1030" t="s">
        <v>5773</v>
      </c>
      <c r="M1030">
        <v>5</v>
      </c>
    </row>
    <row r="1031" spans="1:13" x14ac:dyDescent="0.25">
      <c r="A1031">
        <v>1030</v>
      </c>
      <c r="B1031" t="s">
        <v>1042</v>
      </c>
      <c r="C1031">
        <v>83</v>
      </c>
      <c r="D1031" t="s">
        <v>2948</v>
      </c>
      <c r="E1031" t="s">
        <v>2954</v>
      </c>
      <c r="F1031" t="s">
        <v>3936</v>
      </c>
      <c r="G1031" s="2">
        <v>45783</v>
      </c>
      <c r="H1031" s="2">
        <v>45789</v>
      </c>
      <c r="I1031" t="s">
        <v>5758</v>
      </c>
      <c r="J1031" t="s">
        <v>5772</v>
      </c>
      <c r="K1031">
        <v>346457.91</v>
      </c>
      <c r="L1031" t="s">
        <v>5773</v>
      </c>
      <c r="M1031">
        <v>6</v>
      </c>
    </row>
    <row r="1032" spans="1:13" x14ac:dyDescent="0.25">
      <c r="A1032">
        <v>1031</v>
      </c>
      <c r="B1032" t="s">
        <v>1043</v>
      </c>
      <c r="C1032">
        <v>81</v>
      </c>
      <c r="D1032" t="s">
        <v>2948</v>
      </c>
      <c r="E1032" t="s">
        <v>2952</v>
      </c>
      <c r="F1032" t="s">
        <v>3937</v>
      </c>
      <c r="G1032" s="2">
        <v>45616</v>
      </c>
      <c r="H1032" s="2">
        <v>45618</v>
      </c>
      <c r="I1032" t="s">
        <v>5760</v>
      </c>
      <c r="J1032" t="s">
        <v>5771</v>
      </c>
      <c r="K1032">
        <v>181070.99</v>
      </c>
      <c r="L1032" t="s">
        <v>5774</v>
      </c>
      <c r="M1032">
        <v>2</v>
      </c>
    </row>
    <row r="1033" spans="1:13" x14ac:dyDescent="0.25">
      <c r="A1033">
        <v>1032</v>
      </c>
      <c r="B1033" t="s">
        <v>1044</v>
      </c>
      <c r="C1033">
        <v>4</v>
      </c>
      <c r="D1033" t="s">
        <v>2947</v>
      </c>
      <c r="E1033" t="s">
        <v>2950</v>
      </c>
      <c r="F1033" t="s">
        <v>3938</v>
      </c>
      <c r="G1033" s="2">
        <v>45780</v>
      </c>
      <c r="H1033" s="2">
        <v>45793</v>
      </c>
      <c r="I1033" t="s">
        <v>5760</v>
      </c>
      <c r="J1033" t="s">
        <v>5770</v>
      </c>
      <c r="K1033">
        <v>321331.48</v>
      </c>
      <c r="L1033" t="s">
        <v>5774</v>
      </c>
      <c r="M1033">
        <v>13</v>
      </c>
    </row>
    <row r="1034" spans="1:13" x14ac:dyDescent="0.25">
      <c r="A1034">
        <v>1033</v>
      </c>
      <c r="B1034" t="s">
        <v>1045</v>
      </c>
      <c r="C1034">
        <v>30</v>
      </c>
      <c r="D1034" t="s">
        <v>2948</v>
      </c>
      <c r="E1034" t="s">
        <v>2950</v>
      </c>
      <c r="F1034" t="s">
        <v>3939</v>
      </c>
      <c r="G1034" s="2">
        <v>45780</v>
      </c>
      <c r="H1034" s="2">
        <v>45781</v>
      </c>
      <c r="I1034" t="s">
        <v>5764</v>
      </c>
      <c r="J1034" t="s">
        <v>5771</v>
      </c>
      <c r="K1034">
        <v>244498.83</v>
      </c>
      <c r="L1034" t="s">
        <v>5774</v>
      </c>
      <c r="M1034">
        <v>1</v>
      </c>
    </row>
    <row r="1035" spans="1:13" x14ac:dyDescent="0.25">
      <c r="A1035">
        <v>1034</v>
      </c>
      <c r="B1035" t="s">
        <v>1046</v>
      </c>
      <c r="C1035">
        <v>61</v>
      </c>
      <c r="D1035" t="s">
        <v>2947</v>
      </c>
      <c r="E1035" t="s">
        <v>2949</v>
      </c>
      <c r="F1035" t="s">
        <v>3940</v>
      </c>
      <c r="G1035" s="2">
        <v>45896</v>
      </c>
      <c r="H1035" s="2">
        <v>45909</v>
      </c>
      <c r="I1035" t="s">
        <v>5760</v>
      </c>
      <c r="J1035" t="s">
        <v>5771</v>
      </c>
      <c r="K1035">
        <v>165149.06</v>
      </c>
      <c r="L1035" t="s">
        <v>5774</v>
      </c>
      <c r="M1035">
        <v>13</v>
      </c>
    </row>
    <row r="1036" spans="1:13" x14ac:dyDescent="0.25">
      <c r="A1036">
        <v>1035</v>
      </c>
      <c r="B1036" t="s">
        <v>1047</v>
      </c>
      <c r="C1036">
        <v>2</v>
      </c>
      <c r="D1036" t="s">
        <v>2948</v>
      </c>
      <c r="E1036" t="s">
        <v>2955</v>
      </c>
      <c r="F1036" t="s">
        <v>3941</v>
      </c>
      <c r="G1036" s="2">
        <v>45713</v>
      </c>
      <c r="H1036" s="2">
        <v>45722</v>
      </c>
      <c r="I1036" t="s">
        <v>5760</v>
      </c>
      <c r="J1036" t="s">
        <v>5772</v>
      </c>
      <c r="K1036">
        <v>332085.14</v>
      </c>
      <c r="L1036" t="s">
        <v>5773</v>
      </c>
      <c r="M1036">
        <v>9</v>
      </c>
    </row>
    <row r="1037" spans="1:13" x14ac:dyDescent="0.25">
      <c r="A1037">
        <v>1036</v>
      </c>
      <c r="B1037" t="s">
        <v>1048</v>
      </c>
      <c r="C1037">
        <v>89</v>
      </c>
      <c r="D1037" t="s">
        <v>2947</v>
      </c>
      <c r="E1037" t="s">
        <v>2953</v>
      </c>
      <c r="F1037" t="s">
        <v>3942</v>
      </c>
      <c r="G1037" s="2">
        <v>45590</v>
      </c>
      <c r="H1037" s="2">
        <v>45591</v>
      </c>
      <c r="I1037" t="s">
        <v>5762</v>
      </c>
      <c r="J1037" t="s">
        <v>2949</v>
      </c>
      <c r="K1037">
        <v>131674.60999999999</v>
      </c>
      <c r="L1037" t="s">
        <v>5775</v>
      </c>
      <c r="M1037">
        <v>1</v>
      </c>
    </row>
    <row r="1038" spans="1:13" x14ac:dyDescent="0.25">
      <c r="A1038">
        <v>1037</v>
      </c>
      <c r="B1038" t="s">
        <v>1049</v>
      </c>
      <c r="C1038">
        <v>46</v>
      </c>
      <c r="D1038" t="s">
        <v>2947</v>
      </c>
      <c r="E1038" t="s">
        <v>2955</v>
      </c>
      <c r="F1038" t="s">
        <v>3943</v>
      </c>
      <c r="G1038" s="2">
        <v>45631</v>
      </c>
      <c r="H1038" s="2">
        <v>45632</v>
      </c>
      <c r="I1038" t="s">
        <v>5767</v>
      </c>
      <c r="J1038" t="s">
        <v>5772</v>
      </c>
      <c r="K1038">
        <v>40962.25</v>
      </c>
      <c r="L1038" t="s">
        <v>5773</v>
      </c>
      <c r="M1038">
        <v>1</v>
      </c>
    </row>
    <row r="1039" spans="1:13" x14ac:dyDescent="0.25">
      <c r="A1039">
        <v>1038</v>
      </c>
      <c r="B1039" t="s">
        <v>1050</v>
      </c>
      <c r="C1039">
        <v>17</v>
      </c>
      <c r="D1039" t="s">
        <v>2947</v>
      </c>
      <c r="E1039" t="s">
        <v>2954</v>
      </c>
      <c r="F1039" t="s">
        <v>3944</v>
      </c>
      <c r="G1039" s="2">
        <v>45735</v>
      </c>
      <c r="H1039" s="2">
        <v>45744</v>
      </c>
      <c r="I1039" t="s">
        <v>5761</v>
      </c>
      <c r="J1039" t="s">
        <v>2949</v>
      </c>
      <c r="K1039">
        <v>296301.23</v>
      </c>
      <c r="L1039" t="s">
        <v>5775</v>
      </c>
      <c r="M1039">
        <v>9</v>
      </c>
    </row>
    <row r="1040" spans="1:13" x14ac:dyDescent="0.25">
      <c r="A1040">
        <v>1039</v>
      </c>
      <c r="B1040" t="s">
        <v>1051</v>
      </c>
      <c r="C1040">
        <v>49</v>
      </c>
      <c r="D1040" t="s">
        <v>2947</v>
      </c>
      <c r="E1040" t="s">
        <v>2954</v>
      </c>
      <c r="F1040" t="s">
        <v>3945</v>
      </c>
      <c r="G1040" s="2">
        <v>45707</v>
      </c>
      <c r="H1040" s="2">
        <v>45717</v>
      </c>
      <c r="I1040" t="s">
        <v>5760</v>
      </c>
      <c r="J1040" t="s">
        <v>2949</v>
      </c>
      <c r="K1040">
        <v>354990.62</v>
      </c>
      <c r="L1040" t="s">
        <v>5775</v>
      </c>
      <c r="M1040">
        <v>10</v>
      </c>
    </row>
    <row r="1041" spans="1:13" x14ac:dyDescent="0.25">
      <c r="A1041">
        <v>1040</v>
      </c>
      <c r="B1041" t="s">
        <v>1052</v>
      </c>
      <c r="C1041">
        <v>73</v>
      </c>
      <c r="D1041" t="s">
        <v>2948</v>
      </c>
      <c r="E1041" t="s">
        <v>2952</v>
      </c>
      <c r="F1041" t="s">
        <v>3946</v>
      </c>
      <c r="G1041" s="2">
        <v>45903</v>
      </c>
      <c r="H1041" s="2">
        <v>45904</v>
      </c>
      <c r="I1041" t="s">
        <v>5764</v>
      </c>
      <c r="J1041" t="s">
        <v>5770</v>
      </c>
      <c r="K1041">
        <v>212625.95</v>
      </c>
      <c r="L1041" t="s">
        <v>5775</v>
      </c>
      <c r="M1041">
        <v>1</v>
      </c>
    </row>
    <row r="1042" spans="1:13" x14ac:dyDescent="0.25">
      <c r="A1042">
        <v>1041</v>
      </c>
      <c r="B1042" t="s">
        <v>1053</v>
      </c>
      <c r="C1042">
        <v>80</v>
      </c>
      <c r="D1042" t="s">
        <v>2948</v>
      </c>
      <c r="E1042" t="s">
        <v>2952</v>
      </c>
      <c r="F1042" t="s">
        <v>3947</v>
      </c>
      <c r="G1042" s="2">
        <v>45905</v>
      </c>
      <c r="H1042" s="2">
        <v>45916</v>
      </c>
      <c r="I1042" t="s">
        <v>5762</v>
      </c>
      <c r="J1042" t="s">
        <v>5769</v>
      </c>
      <c r="K1042">
        <v>108787.85</v>
      </c>
      <c r="L1042" t="s">
        <v>5774</v>
      </c>
      <c r="M1042">
        <v>11</v>
      </c>
    </row>
    <row r="1043" spans="1:13" x14ac:dyDescent="0.25">
      <c r="A1043">
        <v>1042</v>
      </c>
      <c r="B1043" t="s">
        <v>1054</v>
      </c>
      <c r="C1043">
        <v>25</v>
      </c>
      <c r="D1043" t="s">
        <v>2947</v>
      </c>
      <c r="E1043" t="s">
        <v>2950</v>
      </c>
      <c r="F1043" t="s">
        <v>3948</v>
      </c>
      <c r="G1043" s="2">
        <v>45760</v>
      </c>
      <c r="H1043" s="2">
        <v>45771</v>
      </c>
      <c r="I1043" t="s">
        <v>5767</v>
      </c>
      <c r="J1043" t="s">
        <v>5769</v>
      </c>
      <c r="K1043">
        <v>464669.92</v>
      </c>
      <c r="L1043" t="s">
        <v>5773</v>
      </c>
      <c r="M1043">
        <v>11</v>
      </c>
    </row>
    <row r="1044" spans="1:13" x14ac:dyDescent="0.25">
      <c r="A1044">
        <v>1043</v>
      </c>
      <c r="B1044" t="s">
        <v>1055</v>
      </c>
      <c r="C1044">
        <v>61</v>
      </c>
      <c r="D1044" t="s">
        <v>2947</v>
      </c>
      <c r="E1044" t="s">
        <v>2955</v>
      </c>
      <c r="F1044" t="s">
        <v>3949</v>
      </c>
      <c r="G1044" s="2">
        <v>45629</v>
      </c>
      <c r="H1044" s="2">
        <v>45643</v>
      </c>
      <c r="I1044" t="s">
        <v>5759</v>
      </c>
      <c r="J1044" t="s">
        <v>5771</v>
      </c>
      <c r="K1044">
        <v>171842.33</v>
      </c>
      <c r="L1044" t="s">
        <v>5775</v>
      </c>
      <c r="M1044">
        <v>14</v>
      </c>
    </row>
    <row r="1045" spans="1:13" x14ac:dyDescent="0.25">
      <c r="A1045">
        <v>1044</v>
      </c>
      <c r="B1045" t="s">
        <v>1056</v>
      </c>
      <c r="C1045">
        <v>87</v>
      </c>
      <c r="D1045" t="s">
        <v>2947</v>
      </c>
      <c r="E1045" t="s">
        <v>2954</v>
      </c>
      <c r="F1045" t="s">
        <v>3950</v>
      </c>
      <c r="G1045" s="2">
        <v>45900</v>
      </c>
      <c r="H1045" s="2">
        <v>45908</v>
      </c>
      <c r="I1045" t="s">
        <v>5758</v>
      </c>
      <c r="J1045" t="s">
        <v>5770</v>
      </c>
      <c r="K1045">
        <v>26165.69</v>
      </c>
      <c r="L1045" t="s">
        <v>5774</v>
      </c>
      <c r="M1045">
        <v>8</v>
      </c>
    </row>
    <row r="1046" spans="1:13" x14ac:dyDescent="0.25">
      <c r="A1046">
        <v>1045</v>
      </c>
      <c r="B1046" t="s">
        <v>1057</v>
      </c>
      <c r="C1046">
        <v>79</v>
      </c>
      <c r="D1046" t="s">
        <v>2948</v>
      </c>
      <c r="E1046" t="s">
        <v>2954</v>
      </c>
      <c r="F1046" t="s">
        <v>3951</v>
      </c>
      <c r="G1046" s="2">
        <v>45912</v>
      </c>
      <c r="H1046" s="2">
        <v>45925</v>
      </c>
      <c r="I1046" t="s">
        <v>5759</v>
      </c>
      <c r="J1046" t="s">
        <v>2949</v>
      </c>
      <c r="K1046">
        <v>185128.85</v>
      </c>
      <c r="L1046" t="s">
        <v>5775</v>
      </c>
      <c r="M1046">
        <v>13</v>
      </c>
    </row>
    <row r="1047" spans="1:13" x14ac:dyDescent="0.25">
      <c r="A1047">
        <v>1046</v>
      </c>
      <c r="B1047" t="s">
        <v>1058</v>
      </c>
      <c r="C1047">
        <v>16</v>
      </c>
      <c r="D1047" t="s">
        <v>2948</v>
      </c>
      <c r="E1047" t="s">
        <v>2955</v>
      </c>
      <c r="F1047" t="s">
        <v>3952</v>
      </c>
      <c r="G1047" s="2">
        <v>45704</v>
      </c>
      <c r="H1047" s="2">
        <v>45714</v>
      </c>
      <c r="I1047" t="s">
        <v>5764</v>
      </c>
      <c r="J1047" t="s">
        <v>5772</v>
      </c>
      <c r="K1047">
        <v>196777.21</v>
      </c>
      <c r="L1047" t="s">
        <v>5773</v>
      </c>
      <c r="M1047">
        <v>10</v>
      </c>
    </row>
    <row r="1048" spans="1:13" x14ac:dyDescent="0.25">
      <c r="A1048">
        <v>1047</v>
      </c>
      <c r="B1048" t="s">
        <v>1059</v>
      </c>
      <c r="C1048">
        <v>1</v>
      </c>
      <c r="D1048" t="s">
        <v>2947</v>
      </c>
      <c r="E1048" t="s">
        <v>2951</v>
      </c>
      <c r="F1048" t="s">
        <v>3953</v>
      </c>
      <c r="G1048" s="2">
        <v>45826</v>
      </c>
      <c r="H1048" s="2">
        <v>45832</v>
      </c>
      <c r="I1048" t="s">
        <v>5759</v>
      </c>
      <c r="J1048" t="s">
        <v>5772</v>
      </c>
      <c r="K1048">
        <v>455278.98</v>
      </c>
      <c r="L1048" t="s">
        <v>5775</v>
      </c>
      <c r="M1048">
        <v>6</v>
      </c>
    </row>
    <row r="1049" spans="1:13" x14ac:dyDescent="0.25">
      <c r="A1049">
        <v>1048</v>
      </c>
      <c r="B1049" t="s">
        <v>1060</v>
      </c>
      <c r="C1049">
        <v>60</v>
      </c>
      <c r="D1049" t="s">
        <v>2947</v>
      </c>
      <c r="E1049" t="s">
        <v>2955</v>
      </c>
      <c r="F1049" t="s">
        <v>3954</v>
      </c>
      <c r="G1049" s="2">
        <v>45597</v>
      </c>
      <c r="H1049" s="2">
        <v>45599</v>
      </c>
      <c r="I1049" t="s">
        <v>5758</v>
      </c>
      <c r="J1049" t="s">
        <v>5769</v>
      </c>
      <c r="K1049">
        <v>322913.12</v>
      </c>
      <c r="L1049" t="s">
        <v>5773</v>
      </c>
      <c r="M1049">
        <v>2</v>
      </c>
    </row>
    <row r="1050" spans="1:13" x14ac:dyDescent="0.25">
      <c r="A1050">
        <v>1049</v>
      </c>
      <c r="B1050" t="s">
        <v>1061</v>
      </c>
      <c r="C1050">
        <v>40</v>
      </c>
      <c r="D1050" t="s">
        <v>2947</v>
      </c>
      <c r="E1050" t="s">
        <v>2950</v>
      </c>
      <c r="F1050" t="s">
        <v>3955</v>
      </c>
      <c r="G1050" s="2">
        <v>45860</v>
      </c>
      <c r="H1050" s="2">
        <v>45870</v>
      </c>
      <c r="I1050" t="s">
        <v>5765</v>
      </c>
      <c r="J1050" t="s">
        <v>2949</v>
      </c>
      <c r="K1050">
        <v>69335.41</v>
      </c>
      <c r="L1050" t="s">
        <v>5775</v>
      </c>
      <c r="M1050">
        <v>10</v>
      </c>
    </row>
    <row r="1051" spans="1:13" x14ac:dyDescent="0.25">
      <c r="A1051">
        <v>1050</v>
      </c>
      <c r="B1051" t="s">
        <v>1062</v>
      </c>
      <c r="C1051">
        <v>85</v>
      </c>
      <c r="D1051" t="s">
        <v>2948</v>
      </c>
      <c r="E1051" t="s">
        <v>2951</v>
      </c>
      <c r="F1051" t="s">
        <v>3956</v>
      </c>
      <c r="G1051" s="2">
        <v>45814</v>
      </c>
      <c r="H1051" s="2">
        <v>45815</v>
      </c>
      <c r="I1051" t="s">
        <v>5758</v>
      </c>
      <c r="J1051" t="s">
        <v>5769</v>
      </c>
      <c r="K1051">
        <v>63368.34</v>
      </c>
      <c r="L1051" t="s">
        <v>5774</v>
      </c>
      <c r="M1051">
        <v>1</v>
      </c>
    </row>
    <row r="1052" spans="1:13" x14ac:dyDescent="0.25">
      <c r="A1052">
        <v>1051</v>
      </c>
      <c r="B1052" t="s">
        <v>1063</v>
      </c>
      <c r="C1052">
        <v>50</v>
      </c>
      <c r="D1052" t="s">
        <v>2947</v>
      </c>
      <c r="E1052" t="s">
        <v>2953</v>
      </c>
      <c r="F1052" t="s">
        <v>3957</v>
      </c>
      <c r="G1052" s="2">
        <v>45743</v>
      </c>
      <c r="H1052" s="2">
        <v>45744</v>
      </c>
      <c r="I1052" t="s">
        <v>5764</v>
      </c>
      <c r="J1052" t="s">
        <v>5770</v>
      </c>
      <c r="K1052">
        <v>274964.26</v>
      </c>
      <c r="L1052" t="s">
        <v>5773</v>
      </c>
      <c r="M1052">
        <v>1</v>
      </c>
    </row>
    <row r="1053" spans="1:13" x14ac:dyDescent="0.25">
      <c r="A1053">
        <v>1052</v>
      </c>
      <c r="B1053" t="s">
        <v>1064</v>
      </c>
      <c r="C1053">
        <v>4</v>
      </c>
      <c r="D1053" t="s">
        <v>2947</v>
      </c>
      <c r="E1053" t="s">
        <v>2950</v>
      </c>
      <c r="F1053" t="s">
        <v>3958</v>
      </c>
      <c r="G1053" s="2">
        <v>45660</v>
      </c>
      <c r="H1053" s="2">
        <v>45673</v>
      </c>
      <c r="I1053" t="s">
        <v>5761</v>
      </c>
      <c r="J1053" t="s">
        <v>5771</v>
      </c>
      <c r="K1053">
        <v>20950.439999999999</v>
      </c>
      <c r="L1053" t="s">
        <v>5773</v>
      </c>
      <c r="M1053">
        <v>13</v>
      </c>
    </row>
    <row r="1054" spans="1:13" x14ac:dyDescent="0.25">
      <c r="A1054">
        <v>1053</v>
      </c>
      <c r="B1054" t="s">
        <v>1065</v>
      </c>
      <c r="C1054">
        <v>57</v>
      </c>
      <c r="D1054" t="s">
        <v>2948</v>
      </c>
      <c r="E1054" t="s">
        <v>2955</v>
      </c>
      <c r="F1054" t="s">
        <v>3959</v>
      </c>
      <c r="G1054" s="2">
        <v>45557</v>
      </c>
      <c r="H1054" s="2">
        <v>45562</v>
      </c>
      <c r="I1054" t="s">
        <v>5765</v>
      </c>
      <c r="J1054" t="s">
        <v>5771</v>
      </c>
      <c r="K1054">
        <v>254436</v>
      </c>
      <c r="L1054" t="s">
        <v>5774</v>
      </c>
      <c r="M1054">
        <v>5</v>
      </c>
    </row>
    <row r="1055" spans="1:13" x14ac:dyDescent="0.25">
      <c r="A1055">
        <v>1054</v>
      </c>
      <c r="B1055" t="s">
        <v>1066</v>
      </c>
      <c r="C1055">
        <v>72</v>
      </c>
      <c r="D1055" t="s">
        <v>2948</v>
      </c>
      <c r="E1055" t="s">
        <v>2950</v>
      </c>
      <c r="F1055" t="s">
        <v>3960</v>
      </c>
      <c r="G1055" s="2">
        <v>45912</v>
      </c>
      <c r="H1055" s="2">
        <v>45924</v>
      </c>
      <c r="I1055" t="s">
        <v>5763</v>
      </c>
      <c r="J1055" t="s">
        <v>5772</v>
      </c>
      <c r="K1055">
        <v>438583.85</v>
      </c>
      <c r="L1055" t="s">
        <v>5773</v>
      </c>
      <c r="M1055">
        <v>12</v>
      </c>
    </row>
    <row r="1056" spans="1:13" x14ac:dyDescent="0.25">
      <c r="A1056">
        <v>1055</v>
      </c>
      <c r="B1056" t="s">
        <v>1067</v>
      </c>
      <c r="C1056">
        <v>18</v>
      </c>
      <c r="D1056" t="s">
        <v>2948</v>
      </c>
      <c r="E1056" t="s">
        <v>2950</v>
      </c>
      <c r="F1056" t="s">
        <v>3961</v>
      </c>
      <c r="G1056" s="2">
        <v>45610</v>
      </c>
      <c r="H1056" s="2">
        <v>45617</v>
      </c>
      <c r="I1056" t="s">
        <v>5761</v>
      </c>
      <c r="J1056" t="s">
        <v>5768</v>
      </c>
      <c r="K1056">
        <v>229337.87</v>
      </c>
      <c r="L1056" t="s">
        <v>5773</v>
      </c>
      <c r="M1056">
        <v>7</v>
      </c>
    </row>
    <row r="1057" spans="1:13" x14ac:dyDescent="0.25">
      <c r="A1057">
        <v>1056</v>
      </c>
      <c r="B1057" t="s">
        <v>1068</v>
      </c>
      <c r="C1057">
        <v>81</v>
      </c>
      <c r="D1057" t="s">
        <v>2948</v>
      </c>
      <c r="E1057" t="s">
        <v>2954</v>
      </c>
      <c r="F1057" t="s">
        <v>3962</v>
      </c>
      <c r="G1057" s="2">
        <v>45551</v>
      </c>
      <c r="H1057" s="2">
        <v>45558</v>
      </c>
      <c r="I1057" t="s">
        <v>5758</v>
      </c>
      <c r="J1057" t="s">
        <v>5772</v>
      </c>
      <c r="K1057">
        <v>126396.8</v>
      </c>
      <c r="L1057" t="s">
        <v>5773</v>
      </c>
      <c r="M1057">
        <v>7</v>
      </c>
    </row>
    <row r="1058" spans="1:13" x14ac:dyDescent="0.25">
      <c r="A1058">
        <v>1057</v>
      </c>
      <c r="B1058" t="s">
        <v>1069</v>
      </c>
      <c r="C1058">
        <v>18</v>
      </c>
      <c r="D1058" t="s">
        <v>2947</v>
      </c>
      <c r="E1058" t="s">
        <v>2951</v>
      </c>
      <c r="F1058" t="s">
        <v>3963</v>
      </c>
      <c r="G1058" s="2">
        <v>45705</v>
      </c>
      <c r="H1058" s="2">
        <v>45715</v>
      </c>
      <c r="I1058" t="s">
        <v>5760</v>
      </c>
      <c r="J1058" t="s">
        <v>5770</v>
      </c>
      <c r="K1058">
        <v>62651.65</v>
      </c>
      <c r="L1058" t="s">
        <v>5774</v>
      </c>
      <c r="M1058">
        <v>10</v>
      </c>
    </row>
    <row r="1059" spans="1:13" x14ac:dyDescent="0.25">
      <c r="A1059">
        <v>1058</v>
      </c>
      <c r="B1059" t="s">
        <v>1070</v>
      </c>
      <c r="C1059">
        <v>62</v>
      </c>
      <c r="D1059" t="s">
        <v>2948</v>
      </c>
      <c r="E1059" t="s">
        <v>2949</v>
      </c>
      <c r="F1059" t="s">
        <v>3964</v>
      </c>
      <c r="G1059" s="2">
        <v>45792</v>
      </c>
      <c r="H1059" s="2">
        <v>45798</v>
      </c>
      <c r="I1059" t="s">
        <v>5762</v>
      </c>
      <c r="J1059" t="s">
        <v>5768</v>
      </c>
      <c r="K1059">
        <v>24569.360000000001</v>
      </c>
      <c r="L1059" t="s">
        <v>5773</v>
      </c>
      <c r="M1059">
        <v>6</v>
      </c>
    </row>
    <row r="1060" spans="1:13" x14ac:dyDescent="0.25">
      <c r="A1060">
        <v>1059</v>
      </c>
      <c r="B1060" t="s">
        <v>1071</v>
      </c>
      <c r="C1060">
        <v>7</v>
      </c>
      <c r="D1060" t="s">
        <v>2947</v>
      </c>
      <c r="E1060" t="s">
        <v>2954</v>
      </c>
      <c r="F1060" t="s">
        <v>3965</v>
      </c>
      <c r="G1060" s="2">
        <v>45912</v>
      </c>
      <c r="H1060" s="2">
        <v>45925</v>
      </c>
      <c r="I1060" t="s">
        <v>5763</v>
      </c>
      <c r="J1060" t="s">
        <v>5768</v>
      </c>
      <c r="K1060">
        <v>376064.21</v>
      </c>
      <c r="L1060" t="s">
        <v>5773</v>
      </c>
      <c r="M1060">
        <v>13</v>
      </c>
    </row>
    <row r="1061" spans="1:13" x14ac:dyDescent="0.25">
      <c r="A1061">
        <v>1060</v>
      </c>
      <c r="B1061" t="s">
        <v>1072</v>
      </c>
      <c r="C1061">
        <v>29</v>
      </c>
      <c r="D1061" t="s">
        <v>2948</v>
      </c>
      <c r="E1061" t="s">
        <v>2953</v>
      </c>
      <c r="F1061" t="s">
        <v>3966</v>
      </c>
      <c r="G1061" s="2">
        <v>45625</v>
      </c>
      <c r="H1061" s="2">
        <v>45638</v>
      </c>
      <c r="I1061" t="s">
        <v>5758</v>
      </c>
      <c r="J1061" t="s">
        <v>5769</v>
      </c>
      <c r="K1061">
        <v>201555.34</v>
      </c>
      <c r="L1061" t="s">
        <v>5773</v>
      </c>
      <c r="M1061">
        <v>13</v>
      </c>
    </row>
    <row r="1062" spans="1:13" x14ac:dyDescent="0.25">
      <c r="A1062">
        <v>1061</v>
      </c>
      <c r="B1062" t="s">
        <v>1073</v>
      </c>
      <c r="C1062">
        <v>85</v>
      </c>
      <c r="D1062" t="s">
        <v>2947</v>
      </c>
      <c r="E1062" t="s">
        <v>2952</v>
      </c>
      <c r="F1062" t="s">
        <v>3967</v>
      </c>
      <c r="G1062" s="2">
        <v>45782</v>
      </c>
      <c r="H1062" s="2">
        <v>45794</v>
      </c>
      <c r="I1062" t="s">
        <v>5767</v>
      </c>
      <c r="J1062" t="s">
        <v>5770</v>
      </c>
      <c r="K1062">
        <v>405107.8</v>
      </c>
      <c r="L1062" t="s">
        <v>5774</v>
      </c>
      <c r="M1062">
        <v>12</v>
      </c>
    </row>
    <row r="1063" spans="1:13" x14ac:dyDescent="0.25">
      <c r="A1063">
        <v>1062</v>
      </c>
      <c r="B1063" t="s">
        <v>1074</v>
      </c>
      <c r="C1063">
        <v>34</v>
      </c>
      <c r="D1063" t="s">
        <v>2948</v>
      </c>
      <c r="E1063" t="s">
        <v>2954</v>
      </c>
      <c r="F1063" t="s">
        <v>3968</v>
      </c>
      <c r="G1063" s="2">
        <v>45734</v>
      </c>
      <c r="H1063" s="2">
        <v>45740</v>
      </c>
      <c r="I1063" t="s">
        <v>5762</v>
      </c>
      <c r="J1063" t="s">
        <v>5769</v>
      </c>
      <c r="K1063">
        <v>390101.61</v>
      </c>
      <c r="L1063" t="s">
        <v>5775</v>
      </c>
      <c r="M1063">
        <v>6</v>
      </c>
    </row>
    <row r="1064" spans="1:13" x14ac:dyDescent="0.25">
      <c r="A1064">
        <v>1063</v>
      </c>
      <c r="B1064" t="s">
        <v>1075</v>
      </c>
      <c r="C1064">
        <v>5</v>
      </c>
      <c r="D1064" t="s">
        <v>2948</v>
      </c>
      <c r="E1064" t="s">
        <v>2954</v>
      </c>
      <c r="F1064" t="s">
        <v>3969</v>
      </c>
      <c r="G1064" s="2">
        <v>45640</v>
      </c>
      <c r="H1064" s="2">
        <v>45642</v>
      </c>
      <c r="I1064" t="s">
        <v>5758</v>
      </c>
      <c r="J1064" t="s">
        <v>5769</v>
      </c>
      <c r="K1064">
        <v>424974.74</v>
      </c>
      <c r="L1064" t="s">
        <v>5774</v>
      </c>
      <c r="M1064">
        <v>2</v>
      </c>
    </row>
    <row r="1065" spans="1:13" x14ac:dyDescent="0.25">
      <c r="A1065">
        <v>1064</v>
      </c>
      <c r="B1065" t="s">
        <v>1076</v>
      </c>
      <c r="C1065">
        <v>31</v>
      </c>
      <c r="D1065" t="s">
        <v>2947</v>
      </c>
      <c r="E1065" t="s">
        <v>2951</v>
      </c>
      <c r="F1065" t="s">
        <v>3970</v>
      </c>
      <c r="G1065" s="2">
        <v>45861</v>
      </c>
      <c r="H1065" s="2">
        <v>45874</v>
      </c>
      <c r="I1065" t="s">
        <v>5767</v>
      </c>
      <c r="J1065" t="s">
        <v>5768</v>
      </c>
      <c r="K1065">
        <v>406578.26</v>
      </c>
      <c r="L1065" t="s">
        <v>5774</v>
      </c>
      <c r="M1065">
        <v>13</v>
      </c>
    </row>
    <row r="1066" spans="1:13" x14ac:dyDescent="0.25">
      <c r="A1066">
        <v>1065</v>
      </c>
      <c r="B1066" t="s">
        <v>1077</v>
      </c>
      <c r="C1066">
        <v>9</v>
      </c>
      <c r="D1066" t="s">
        <v>2947</v>
      </c>
      <c r="E1066" t="s">
        <v>2951</v>
      </c>
      <c r="F1066" t="s">
        <v>3971</v>
      </c>
      <c r="G1066" s="2">
        <v>45905</v>
      </c>
      <c r="H1066" s="2">
        <v>45911</v>
      </c>
      <c r="I1066" t="s">
        <v>5763</v>
      </c>
      <c r="J1066" t="s">
        <v>5768</v>
      </c>
      <c r="K1066">
        <v>347758.05</v>
      </c>
      <c r="L1066" t="s">
        <v>5773</v>
      </c>
      <c r="M1066">
        <v>6</v>
      </c>
    </row>
    <row r="1067" spans="1:13" x14ac:dyDescent="0.25">
      <c r="A1067">
        <v>1066</v>
      </c>
      <c r="B1067" t="s">
        <v>1078</v>
      </c>
      <c r="C1067">
        <v>53</v>
      </c>
      <c r="D1067" t="s">
        <v>2947</v>
      </c>
      <c r="E1067" t="s">
        <v>2953</v>
      </c>
      <c r="F1067" t="s">
        <v>3972</v>
      </c>
      <c r="G1067" s="2">
        <v>45732</v>
      </c>
      <c r="H1067" s="2">
        <v>45740</v>
      </c>
      <c r="I1067" t="s">
        <v>5758</v>
      </c>
      <c r="J1067" t="s">
        <v>2949</v>
      </c>
      <c r="K1067">
        <v>152120.51999999999</v>
      </c>
      <c r="L1067" t="s">
        <v>5775</v>
      </c>
      <c r="M1067">
        <v>8</v>
      </c>
    </row>
    <row r="1068" spans="1:13" x14ac:dyDescent="0.25">
      <c r="A1068">
        <v>1067</v>
      </c>
      <c r="B1068" t="s">
        <v>1079</v>
      </c>
      <c r="C1068">
        <v>79</v>
      </c>
      <c r="D1068" t="s">
        <v>2948</v>
      </c>
      <c r="E1068" t="s">
        <v>2949</v>
      </c>
      <c r="F1068" t="s">
        <v>3973</v>
      </c>
      <c r="G1068" s="2">
        <v>45844</v>
      </c>
      <c r="H1068" s="2">
        <v>45848</v>
      </c>
      <c r="I1068" t="s">
        <v>5759</v>
      </c>
      <c r="J1068" t="s">
        <v>5772</v>
      </c>
      <c r="K1068">
        <v>384764.34</v>
      </c>
      <c r="L1068" t="s">
        <v>5773</v>
      </c>
      <c r="M1068">
        <v>4</v>
      </c>
    </row>
    <row r="1069" spans="1:13" x14ac:dyDescent="0.25">
      <c r="A1069">
        <v>1068</v>
      </c>
      <c r="B1069" t="s">
        <v>1080</v>
      </c>
      <c r="C1069">
        <v>22</v>
      </c>
      <c r="D1069" t="s">
        <v>2948</v>
      </c>
      <c r="E1069" t="s">
        <v>2951</v>
      </c>
      <c r="F1069" t="s">
        <v>3974</v>
      </c>
      <c r="G1069" s="2">
        <v>45852</v>
      </c>
      <c r="H1069" s="2">
        <v>45866</v>
      </c>
      <c r="I1069" t="s">
        <v>5761</v>
      </c>
      <c r="J1069" t="s">
        <v>2949</v>
      </c>
      <c r="K1069">
        <v>110562.73</v>
      </c>
      <c r="L1069" t="s">
        <v>5773</v>
      </c>
      <c r="M1069">
        <v>14</v>
      </c>
    </row>
    <row r="1070" spans="1:13" x14ac:dyDescent="0.25">
      <c r="A1070">
        <v>1069</v>
      </c>
      <c r="B1070" t="s">
        <v>1081</v>
      </c>
      <c r="C1070">
        <v>71</v>
      </c>
      <c r="D1070" t="s">
        <v>2948</v>
      </c>
      <c r="E1070" t="s">
        <v>2952</v>
      </c>
      <c r="F1070" t="s">
        <v>3975</v>
      </c>
      <c r="G1070" s="2">
        <v>45577</v>
      </c>
      <c r="H1070" s="2">
        <v>45586</v>
      </c>
      <c r="I1070" t="s">
        <v>5766</v>
      </c>
      <c r="J1070" t="s">
        <v>2949</v>
      </c>
      <c r="K1070">
        <v>78887.320000000007</v>
      </c>
      <c r="L1070" t="s">
        <v>5773</v>
      </c>
      <c r="M1070">
        <v>9</v>
      </c>
    </row>
    <row r="1071" spans="1:13" x14ac:dyDescent="0.25">
      <c r="A1071">
        <v>1070</v>
      </c>
      <c r="B1071" t="s">
        <v>1082</v>
      </c>
      <c r="C1071">
        <v>77</v>
      </c>
      <c r="D1071" t="s">
        <v>2948</v>
      </c>
      <c r="E1071" t="s">
        <v>2954</v>
      </c>
      <c r="F1071" t="s">
        <v>3976</v>
      </c>
      <c r="G1071" s="2">
        <v>45859</v>
      </c>
      <c r="H1071" s="2">
        <v>45864</v>
      </c>
      <c r="I1071" t="s">
        <v>5764</v>
      </c>
      <c r="J1071" t="s">
        <v>5770</v>
      </c>
      <c r="K1071">
        <v>247038.42</v>
      </c>
      <c r="L1071" t="s">
        <v>5774</v>
      </c>
      <c r="M1071">
        <v>5</v>
      </c>
    </row>
    <row r="1072" spans="1:13" x14ac:dyDescent="0.25">
      <c r="A1072">
        <v>1071</v>
      </c>
      <c r="B1072" t="s">
        <v>1083</v>
      </c>
      <c r="C1072">
        <v>40</v>
      </c>
      <c r="D1072" t="s">
        <v>2947</v>
      </c>
      <c r="E1072" t="s">
        <v>2949</v>
      </c>
      <c r="F1072" t="s">
        <v>3977</v>
      </c>
      <c r="G1072" s="2">
        <v>45733</v>
      </c>
      <c r="H1072" s="2">
        <v>45742</v>
      </c>
      <c r="I1072" t="s">
        <v>5759</v>
      </c>
      <c r="J1072" t="s">
        <v>5768</v>
      </c>
      <c r="K1072">
        <v>297543.82</v>
      </c>
      <c r="L1072" t="s">
        <v>5774</v>
      </c>
      <c r="M1072">
        <v>9</v>
      </c>
    </row>
    <row r="1073" spans="1:13" x14ac:dyDescent="0.25">
      <c r="A1073">
        <v>1072</v>
      </c>
      <c r="B1073" t="s">
        <v>1084</v>
      </c>
      <c r="C1073">
        <v>73</v>
      </c>
      <c r="D1073" t="s">
        <v>2947</v>
      </c>
      <c r="E1073" t="s">
        <v>2951</v>
      </c>
      <c r="F1073" t="s">
        <v>3978</v>
      </c>
      <c r="G1073" s="2">
        <v>45865</v>
      </c>
      <c r="H1073" s="2">
        <v>45876</v>
      </c>
      <c r="I1073" t="s">
        <v>5764</v>
      </c>
      <c r="J1073" t="s">
        <v>5770</v>
      </c>
      <c r="K1073">
        <v>16741.240000000002</v>
      </c>
      <c r="L1073" t="s">
        <v>5773</v>
      </c>
      <c r="M1073">
        <v>11</v>
      </c>
    </row>
    <row r="1074" spans="1:13" x14ac:dyDescent="0.25">
      <c r="A1074">
        <v>1073</v>
      </c>
      <c r="B1074" t="s">
        <v>1085</v>
      </c>
      <c r="C1074">
        <v>86</v>
      </c>
      <c r="D1074" t="s">
        <v>2947</v>
      </c>
      <c r="E1074" t="s">
        <v>2954</v>
      </c>
      <c r="F1074" t="s">
        <v>3979</v>
      </c>
      <c r="G1074" s="2">
        <v>45874</v>
      </c>
      <c r="H1074" s="2">
        <v>45880</v>
      </c>
      <c r="I1074" t="s">
        <v>5764</v>
      </c>
      <c r="J1074" t="s">
        <v>5769</v>
      </c>
      <c r="K1074">
        <v>109477.11</v>
      </c>
      <c r="L1074" t="s">
        <v>5775</v>
      </c>
      <c r="M1074">
        <v>6</v>
      </c>
    </row>
    <row r="1075" spans="1:13" x14ac:dyDescent="0.25">
      <c r="A1075">
        <v>1074</v>
      </c>
      <c r="B1075" t="s">
        <v>1086</v>
      </c>
      <c r="C1075">
        <v>77</v>
      </c>
      <c r="D1075" t="s">
        <v>2948</v>
      </c>
      <c r="E1075" t="s">
        <v>2950</v>
      </c>
      <c r="F1075" t="s">
        <v>2325</v>
      </c>
      <c r="G1075" s="2">
        <v>45668</v>
      </c>
      <c r="H1075" s="2">
        <v>45673</v>
      </c>
      <c r="I1075" t="s">
        <v>5766</v>
      </c>
      <c r="J1075" t="s">
        <v>2949</v>
      </c>
      <c r="K1075">
        <v>69083.59</v>
      </c>
      <c r="L1075" t="s">
        <v>5775</v>
      </c>
      <c r="M1075">
        <v>5</v>
      </c>
    </row>
    <row r="1076" spans="1:13" x14ac:dyDescent="0.25">
      <c r="A1076">
        <v>1075</v>
      </c>
      <c r="B1076" t="s">
        <v>1087</v>
      </c>
      <c r="C1076">
        <v>4</v>
      </c>
      <c r="D1076" t="s">
        <v>2947</v>
      </c>
      <c r="E1076" t="s">
        <v>2954</v>
      </c>
      <c r="F1076" t="s">
        <v>3980</v>
      </c>
      <c r="G1076" s="2">
        <v>45682</v>
      </c>
      <c r="H1076" s="2">
        <v>45684</v>
      </c>
      <c r="I1076" t="s">
        <v>5767</v>
      </c>
      <c r="J1076" t="s">
        <v>5768</v>
      </c>
      <c r="K1076">
        <v>443502.45</v>
      </c>
      <c r="L1076" t="s">
        <v>5774</v>
      </c>
      <c r="M1076">
        <v>2</v>
      </c>
    </row>
    <row r="1077" spans="1:13" x14ac:dyDescent="0.25">
      <c r="A1077">
        <v>1076</v>
      </c>
      <c r="B1077" t="s">
        <v>1088</v>
      </c>
      <c r="C1077">
        <v>85</v>
      </c>
      <c r="D1077" t="s">
        <v>2947</v>
      </c>
      <c r="E1077" t="s">
        <v>2954</v>
      </c>
      <c r="F1077" t="s">
        <v>3981</v>
      </c>
      <c r="G1077" s="2">
        <v>45769</v>
      </c>
      <c r="H1077" s="2">
        <v>45775</v>
      </c>
      <c r="I1077" t="s">
        <v>5765</v>
      </c>
      <c r="J1077" t="s">
        <v>5772</v>
      </c>
      <c r="K1077">
        <v>247402.35</v>
      </c>
      <c r="L1077" t="s">
        <v>5773</v>
      </c>
      <c r="M1077">
        <v>6</v>
      </c>
    </row>
    <row r="1078" spans="1:13" x14ac:dyDescent="0.25">
      <c r="A1078">
        <v>1077</v>
      </c>
      <c r="B1078" t="s">
        <v>1089</v>
      </c>
      <c r="C1078">
        <v>16</v>
      </c>
      <c r="D1078" t="s">
        <v>2947</v>
      </c>
      <c r="E1078" t="s">
        <v>2951</v>
      </c>
      <c r="F1078" t="s">
        <v>3982</v>
      </c>
      <c r="G1078" s="2">
        <v>45601</v>
      </c>
      <c r="H1078" s="2">
        <v>45608</v>
      </c>
      <c r="I1078" t="s">
        <v>5764</v>
      </c>
      <c r="J1078" t="s">
        <v>5768</v>
      </c>
      <c r="K1078">
        <v>175988.22</v>
      </c>
      <c r="L1078" t="s">
        <v>5775</v>
      </c>
      <c r="M1078">
        <v>7</v>
      </c>
    </row>
    <row r="1079" spans="1:13" x14ac:dyDescent="0.25">
      <c r="A1079">
        <v>1078</v>
      </c>
      <c r="B1079" t="s">
        <v>1090</v>
      </c>
      <c r="C1079">
        <v>42</v>
      </c>
      <c r="D1079" t="s">
        <v>2947</v>
      </c>
      <c r="E1079" t="s">
        <v>2953</v>
      </c>
      <c r="F1079" t="s">
        <v>3983</v>
      </c>
      <c r="G1079" s="2">
        <v>45636</v>
      </c>
      <c r="H1079" s="2">
        <v>45639</v>
      </c>
      <c r="I1079" t="s">
        <v>5758</v>
      </c>
      <c r="J1079" t="s">
        <v>5770</v>
      </c>
      <c r="K1079">
        <v>315771.71000000002</v>
      </c>
      <c r="L1079" t="s">
        <v>5773</v>
      </c>
      <c r="M1079">
        <v>3</v>
      </c>
    </row>
    <row r="1080" spans="1:13" x14ac:dyDescent="0.25">
      <c r="A1080">
        <v>1079</v>
      </c>
      <c r="B1080" t="s">
        <v>1091</v>
      </c>
      <c r="C1080">
        <v>56</v>
      </c>
      <c r="D1080" t="s">
        <v>2947</v>
      </c>
      <c r="E1080" t="s">
        <v>2949</v>
      </c>
      <c r="F1080" t="s">
        <v>3984</v>
      </c>
      <c r="G1080" s="2">
        <v>45819</v>
      </c>
      <c r="H1080" s="2">
        <v>45826</v>
      </c>
      <c r="I1080" t="s">
        <v>5766</v>
      </c>
      <c r="J1080" t="s">
        <v>5772</v>
      </c>
      <c r="K1080">
        <v>89663.49</v>
      </c>
      <c r="L1080" t="s">
        <v>5774</v>
      </c>
      <c r="M1080">
        <v>7</v>
      </c>
    </row>
    <row r="1081" spans="1:13" x14ac:dyDescent="0.25">
      <c r="A1081">
        <v>1080</v>
      </c>
      <c r="B1081" t="s">
        <v>1092</v>
      </c>
      <c r="C1081">
        <v>59</v>
      </c>
      <c r="D1081" t="s">
        <v>2948</v>
      </c>
      <c r="E1081" t="s">
        <v>2952</v>
      </c>
      <c r="F1081" t="s">
        <v>3985</v>
      </c>
      <c r="G1081" s="2">
        <v>45817</v>
      </c>
      <c r="H1081" s="2">
        <v>45819</v>
      </c>
      <c r="I1081" t="s">
        <v>5763</v>
      </c>
      <c r="J1081" t="s">
        <v>5768</v>
      </c>
      <c r="K1081">
        <v>449018.89</v>
      </c>
      <c r="L1081" t="s">
        <v>5773</v>
      </c>
      <c r="M1081">
        <v>2</v>
      </c>
    </row>
    <row r="1082" spans="1:13" x14ac:dyDescent="0.25">
      <c r="A1082">
        <v>1081</v>
      </c>
      <c r="B1082" t="s">
        <v>1093</v>
      </c>
      <c r="C1082">
        <v>77</v>
      </c>
      <c r="D1082" t="s">
        <v>2947</v>
      </c>
      <c r="E1082" t="s">
        <v>2949</v>
      </c>
      <c r="F1082" t="s">
        <v>1527</v>
      </c>
      <c r="G1082" s="2">
        <v>45818</v>
      </c>
      <c r="H1082" s="2">
        <v>45832</v>
      </c>
      <c r="I1082" t="s">
        <v>5765</v>
      </c>
      <c r="J1082" t="s">
        <v>5770</v>
      </c>
      <c r="K1082">
        <v>56108.63</v>
      </c>
      <c r="L1082" t="s">
        <v>5773</v>
      </c>
      <c r="M1082">
        <v>14</v>
      </c>
    </row>
    <row r="1083" spans="1:13" x14ac:dyDescent="0.25">
      <c r="A1083">
        <v>1082</v>
      </c>
      <c r="B1083" t="s">
        <v>1094</v>
      </c>
      <c r="C1083">
        <v>7</v>
      </c>
      <c r="D1083" t="s">
        <v>2948</v>
      </c>
      <c r="E1083" t="s">
        <v>2952</v>
      </c>
      <c r="F1083" t="s">
        <v>2708</v>
      </c>
      <c r="G1083" s="2">
        <v>45704</v>
      </c>
      <c r="H1083" s="2">
        <v>45713</v>
      </c>
      <c r="I1083" t="s">
        <v>5763</v>
      </c>
      <c r="J1083" t="s">
        <v>2949</v>
      </c>
      <c r="K1083">
        <v>442078.26</v>
      </c>
      <c r="L1083" t="s">
        <v>5775</v>
      </c>
      <c r="M1083">
        <v>9</v>
      </c>
    </row>
    <row r="1084" spans="1:13" x14ac:dyDescent="0.25">
      <c r="A1084">
        <v>1083</v>
      </c>
      <c r="B1084" t="s">
        <v>1095</v>
      </c>
      <c r="C1084">
        <v>9</v>
      </c>
      <c r="D1084" t="s">
        <v>2948</v>
      </c>
      <c r="E1084" t="s">
        <v>2949</v>
      </c>
      <c r="F1084" t="s">
        <v>3986</v>
      </c>
      <c r="G1084" s="2">
        <v>45809</v>
      </c>
      <c r="H1084" s="2">
        <v>45819</v>
      </c>
      <c r="I1084" t="s">
        <v>5766</v>
      </c>
      <c r="J1084" t="s">
        <v>2949</v>
      </c>
      <c r="K1084">
        <v>206483.61</v>
      </c>
      <c r="L1084" t="s">
        <v>5775</v>
      </c>
      <c r="M1084">
        <v>10</v>
      </c>
    </row>
    <row r="1085" spans="1:13" x14ac:dyDescent="0.25">
      <c r="A1085">
        <v>1084</v>
      </c>
      <c r="B1085" t="s">
        <v>1096</v>
      </c>
      <c r="C1085">
        <v>71</v>
      </c>
      <c r="D1085" t="s">
        <v>2947</v>
      </c>
      <c r="E1085" t="s">
        <v>2950</v>
      </c>
      <c r="F1085" t="s">
        <v>3987</v>
      </c>
      <c r="G1085" s="2">
        <v>45739</v>
      </c>
      <c r="H1085" s="2">
        <v>45750</v>
      </c>
      <c r="I1085" t="s">
        <v>5765</v>
      </c>
      <c r="J1085" t="s">
        <v>5768</v>
      </c>
      <c r="K1085">
        <v>199934.3</v>
      </c>
      <c r="L1085" t="s">
        <v>5775</v>
      </c>
      <c r="M1085">
        <v>11</v>
      </c>
    </row>
    <row r="1086" spans="1:13" x14ac:dyDescent="0.25">
      <c r="A1086">
        <v>1085</v>
      </c>
      <c r="B1086" t="s">
        <v>1097</v>
      </c>
      <c r="C1086">
        <v>15</v>
      </c>
      <c r="D1086" t="s">
        <v>2948</v>
      </c>
      <c r="E1086" t="s">
        <v>2955</v>
      </c>
      <c r="F1086" t="s">
        <v>3988</v>
      </c>
      <c r="G1086" s="2">
        <v>45780</v>
      </c>
      <c r="H1086" s="2">
        <v>45783</v>
      </c>
      <c r="I1086" t="s">
        <v>5763</v>
      </c>
      <c r="J1086" t="s">
        <v>5771</v>
      </c>
      <c r="K1086">
        <v>376730.76</v>
      </c>
      <c r="L1086" t="s">
        <v>5774</v>
      </c>
      <c r="M1086">
        <v>3</v>
      </c>
    </row>
    <row r="1087" spans="1:13" x14ac:dyDescent="0.25">
      <c r="A1087">
        <v>1086</v>
      </c>
      <c r="B1087" t="s">
        <v>1098</v>
      </c>
      <c r="C1087">
        <v>5</v>
      </c>
      <c r="D1087" t="s">
        <v>2948</v>
      </c>
      <c r="E1087" t="s">
        <v>2955</v>
      </c>
      <c r="F1087" t="s">
        <v>3989</v>
      </c>
      <c r="G1087" s="2">
        <v>45660</v>
      </c>
      <c r="H1087" s="2">
        <v>45674</v>
      </c>
      <c r="I1087" t="s">
        <v>5762</v>
      </c>
      <c r="J1087" t="s">
        <v>5771</v>
      </c>
      <c r="K1087">
        <v>396386.89</v>
      </c>
      <c r="L1087" t="s">
        <v>5775</v>
      </c>
      <c r="M1087">
        <v>14</v>
      </c>
    </row>
    <row r="1088" spans="1:13" x14ac:dyDescent="0.25">
      <c r="A1088">
        <v>1087</v>
      </c>
      <c r="B1088" t="s">
        <v>1099</v>
      </c>
      <c r="C1088">
        <v>15</v>
      </c>
      <c r="D1088" t="s">
        <v>2948</v>
      </c>
      <c r="E1088" t="s">
        <v>2955</v>
      </c>
      <c r="F1088" t="s">
        <v>3990</v>
      </c>
      <c r="G1088" s="2">
        <v>45792</v>
      </c>
      <c r="H1088" s="2">
        <v>45805</v>
      </c>
      <c r="I1088" t="s">
        <v>5765</v>
      </c>
      <c r="J1088" t="s">
        <v>5768</v>
      </c>
      <c r="K1088">
        <v>266281.26</v>
      </c>
      <c r="L1088" t="s">
        <v>5773</v>
      </c>
      <c r="M1088">
        <v>13</v>
      </c>
    </row>
    <row r="1089" spans="1:13" x14ac:dyDescent="0.25">
      <c r="A1089">
        <v>1088</v>
      </c>
      <c r="B1089" t="s">
        <v>1100</v>
      </c>
      <c r="C1089">
        <v>16</v>
      </c>
      <c r="D1089" t="s">
        <v>2947</v>
      </c>
      <c r="E1089" t="s">
        <v>2951</v>
      </c>
      <c r="F1089" t="s">
        <v>3991</v>
      </c>
      <c r="G1089" s="2">
        <v>45911</v>
      </c>
      <c r="H1089" s="2">
        <v>45920</v>
      </c>
      <c r="I1089" t="s">
        <v>5758</v>
      </c>
      <c r="J1089" t="s">
        <v>5769</v>
      </c>
      <c r="K1089">
        <v>404509.54</v>
      </c>
      <c r="L1089" t="s">
        <v>5773</v>
      </c>
      <c r="M1089">
        <v>9</v>
      </c>
    </row>
    <row r="1090" spans="1:13" x14ac:dyDescent="0.25">
      <c r="A1090">
        <v>1089</v>
      </c>
      <c r="B1090" t="s">
        <v>1101</v>
      </c>
      <c r="C1090">
        <v>31</v>
      </c>
      <c r="D1090" t="s">
        <v>2948</v>
      </c>
      <c r="E1090" t="s">
        <v>2954</v>
      </c>
      <c r="F1090" t="s">
        <v>3992</v>
      </c>
      <c r="G1090" s="2">
        <v>45607</v>
      </c>
      <c r="H1090" s="2">
        <v>45609</v>
      </c>
      <c r="I1090" t="s">
        <v>5761</v>
      </c>
      <c r="J1090" t="s">
        <v>5771</v>
      </c>
      <c r="K1090">
        <v>91252.55</v>
      </c>
      <c r="L1090" t="s">
        <v>5775</v>
      </c>
      <c r="M1090">
        <v>2</v>
      </c>
    </row>
    <row r="1091" spans="1:13" x14ac:dyDescent="0.25">
      <c r="A1091">
        <v>1090</v>
      </c>
      <c r="B1091" t="s">
        <v>1102</v>
      </c>
      <c r="C1091">
        <v>17</v>
      </c>
      <c r="D1091" t="s">
        <v>2947</v>
      </c>
      <c r="E1091" t="s">
        <v>2949</v>
      </c>
      <c r="F1091" t="s">
        <v>3993</v>
      </c>
      <c r="G1091" s="2">
        <v>45621</v>
      </c>
      <c r="H1091" s="2">
        <v>45633</v>
      </c>
      <c r="I1091" t="s">
        <v>5763</v>
      </c>
      <c r="J1091" t="s">
        <v>5770</v>
      </c>
      <c r="K1091">
        <v>136040.15</v>
      </c>
      <c r="L1091" t="s">
        <v>5775</v>
      </c>
      <c r="M1091">
        <v>12</v>
      </c>
    </row>
    <row r="1092" spans="1:13" x14ac:dyDescent="0.25">
      <c r="A1092">
        <v>1091</v>
      </c>
      <c r="B1092" t="s">
        <v>1103</v>
      </c>
      <c r="C1092">
        <v>76</v>
      </c>
      <c r="D1092" t="s">
        <v>2947</v>
      </c>
      <c r="E1092" t="s">
        <v>2953</v>
      </c>
      <c r="F1092" t="s">
        <v>3994</v>
      </c>
      <c r="G1092" s="2">
        <v>45757</v>
      </c>
      <c r="H1092" s="2">
        <v>45768</v>
      </c>
      <c r="I1092" t="s">
        <v>5764</v>
      </c>
      <c r="J1092" t="s">
        <v>5768</v>
      </c>
      <c r="K1092">
        <v>402381.17</v>
      </c>
      <c r="L1092" t="s">
        <v>5773</v>
      </c>
      <c r="M1092">
        <v>11</v>
      </c>
    </row>
    <row r="1093" spans="1:13" x14ac:dyDescent="0.25">
      <c r="A1093">
        <v>1092</v>
      </c>
      <c r="B1093" t="s">
        <v>1104</v>
      </c>
      <c r="C1093">
        <v>87</v>
      </c>
      <c r="D1093" t="s">
        <v>2947</v>
      </c>
      <c r="E1093" t="s">
        <v>2955</v>
      </c>
      <c r="F1093" t="s">
        <v>1734</v>
      </c>
      <c r="G1093" s="2">
        <v>45846</v>
      </c>
      <c r="H1093" s="2">
        <v>45856</v>
      </c>
      <c r="I1093" t="s">
        <v>5767</v>
      </c>
      <c r="J1093" t="s">
        <v>2949</v>
      </c>
      <c r="K1093">
        <v>498224.95</v>
      </c>
      <c r="L1093" t="s">
        <v>5775</v>
      </c>
      <c r="M1093">
        <v>10</v>
      </c>
    </row>
    <row r="1094" spans="1:13" x14ac:dyDescent="0.25">
      <c r="A1094">
        <v>1093</v>
      </c>
      <c r="B1094" t="s">
        <v>1105</v>
      </c>
      <c r="C1094">
        <v>68</v>
      </c>
      <c r="D1094" t="s">
        <v>2947</v>
      </c>
      <c r="E1094" t="s">
        <v>2954</v>
      </c>
      <c r="F1094" t="s">
        <v>3995</v>
      </c>
      <c r="G1094" s="2">
        <v>45725</v>
      </c>
      <c r="H1094" s="2">
        <v>45730</v>
      </c>
      <c r="I1094" t="s">
        <v>5762</v>
      </c>
      <c r="J1094" t="s">
        <v>5772</v>
      </c>
      <c r="K1094">
        <v>403578.04</v>
      </c>
      <c r="L1094" t="s">
        <v>5775</v>
      </c>
      <c r="M1094">
        <v>5</v>
      </c>
    </row>
    <row r="1095" spans="1:13" x14ac:dyDescent="0.25">
      <c r="A1095">
        <v>1094</v>
      </c>
      <c r="B1095" t="s">
        <v>1106</v>
      </c>
      <c r="C1095">
        <v>63</v>
      </c>
      <c r="D1095" t="s">
        <v>2947</v>
      </c>
      <c r="E1095" t="s">
        <v>2955</v>
      </c>
      <c r="F1095" t="s">
        <v>3996</v>
      </c>
      <c r="G1095" s="2">
        <v>45794</v>
      </c>
      <c r="H1095" s="2">
        <v>45808</v>
      </c>
      <c r="I1095" t="s">
        <v>5765</v>
      </c>
      <c r="J1095" t="s">
        <v>5770</v>
      </c>
      <c r="K1095">
        <v>475917.24</v>
      </c>
      <c r="L1095" t="s">
        <v>5774</v>
      </c>
      <c r="M1095">
        <v>14</v>
      </c>
    </row>
    <row r="1096" spans="1:13" x14ac:dyDescent="0.25">
      <c r="A1096">
        <v>1095</v>
      </c>
      <c r="B1096" t="s">
        <v>1107</v>
      </c>
      <c r="C1096">
        <v>64</v>
      </c>
      <c r="D1096" t="s">
        <v>2948</v>
      </c>
      <c r="E1096" t="s">
        <v>2952</v>
      </c>
      <c r="F1096" t="s">
        <v>3997</v>
      </c>
      <c r="G1096" s="2">
        <v>45706</v>
      </c>
      <c r="H1096" s="2">
        <v>45715</v>
      </c>
      <c r="I1096" t="s">
        <v>5763</v>
      </c>
      <c r="J1096" t="s">
        <v>2949</v>
      </c>
      <c r="K1096">
        <v>47754.81</v>
      </c>
      <c r="L1096" t="s">
        <v>5775</v>
      </c>
      <c r="M1096">
        <v>9</v>
      </c>
    </row>
    <row r="1097" spans="1:13" x14ac:dyDescent="0.25">
      <c r="A1097">
        <v>1096</v>
      </c>
      <c r="B1097" t="s">
        <v>1108</v>
      </c>
      <c r="C1097">
        <v>21</v>
      </c>
      <c r="D1097" t="s">
        <v>2947</v>
      </c>
      <c r="E1097" t="s">
        <v>2954</v>
      </c>
      <c r="F1097" t="s">
        <v>3998</v>
      </c>
      <c r="G1097" s="2">
        <v>45582</v>
      </c>
      <c r="H1097" s="2">
        <v>45595</v>
      </c>
      <c r="I1097" t="s">
        <v>5759</v>
      </c>
      <c r="J1097" t="s">
        <v>5770</v>
      </c>
      <c r="K1097">
        <v>434177.1</v>
      </c>
      <c r="L1097" t="s">
        <v>5773</v>
      </c>
      <c r="M1097">
        <v>13</v>
      </c>
    </row>
    <row r="1098" spans="1:13" x14ac:dyDescent="0.25">
      <c r="A1098">
        <v>1097</v>
      </c>
      <c r="B1098" t="s">
        <v>1109</v>
      </c>
      <c r="C1098">
        <v>88</v>
      </c>
      <c r="D1098" t="s">
        <v>2948</v>
      </c>
      <c r="E1098" t="s">
        <v>2955</v>
      </c>
      <c r="F1098" t="s">
        <v>3999</v>
      </c>
      <c r="G1098" s="2">
        <v>45877</v>
      </c>
      <c r="H1098" s="2">
        <v>45882</v>
      </c>
      <c r="I1098" t="s">
        <v>5763</v>
      </c>
      <c r="J1098" t="s">
        <v>5772</v>
      </c>
      <c r="K1098">
        <v>383538.2</v>
      </c>
      <c r="L1098" t="s">
        <v>5774</v>
      </c>
      <c r="M1098">
        <v>5</v>
      </c>
    </row>
    <row r="1099" spans="1:13" x14ac:dyDescent="0.25">
      <c r="A1099">
        <v>1098</v>
      </c>
      <c r="B1099" t="s">
        <v>1110</v>
      </c>
      <c r="C1099">
        <v>26</v>
      </c>
      <c r="D1099" t="s">
        <v>2947</v>
      </c>
      <c r="E1099" t="s">
        <v>2949</v>
      </c>
      <c r="F1099" t="s">
        <v>4000</v>
      </c>
      <c r="G1099" s="2">
        <v>45724</v>
      </c>
      <c r="H1099" s="2">
        <v>45734</v>
      </c>
      <c r="I1099" t="s">
        <v>5766</v>
      </c>
      <c r="J1099" t="s">
        <v>5771</v>
      </c>
      <c r="K1099">
        <v>402696.33</v>
      </c>
      <c r="L1099" t="s">
        <v>5775</v>
      </c>
      <c r="M1099">
        <v>10</v>
      </c>
    </row>
    <row r="1100" spans="1:13" x14ac:dyDescent="0.25">
      <c r="A1100">
        <v>1099</v>
      </c>
      <c r="B1100" t="s">
        <v>1111</v>
      </c>
      <c r="C1100">
        <v>83</v>
      </c>
      <c r="D1100" t="s">
        <v>2948</v>
      </c>
      <c r="E1100" t="s">
        <v>2949</v>
      </c>
      <c r="F1100" t="s">
        <v>4001</v>
      </c>
      <c r="G1100" s="2">
        <v>45881</v>
      </c>
      <c r="H1100" s="2">
        <v>45895</v>
      </c>
      <c r="I1100" t="s">
        <v>5758</v>
      </c>
      <c r="J1100" t="s">
        <v>2949</v>
      </c>
      <c r="K1100">
        <v>139344.13</v>
      </c>
      <c r="L1100" t="s">
        <v>5774</v>
      </c>
      <c r="M1100">
        <v>14</v>
      </c>
    </row>
    <row r="1101" spans="1:13" x14ac:dyDescent="0.25">
      <c r="A1101">
        <v>1100</v>
      </c>
      <c r="B1101" t="s">
        <v>1112</v>
      </c>
      <c r="C1101">
        <v>60</v>
      </c>
      <c r="D1101" t="s">
        <v>2948</v>
      </c>
      <c r="E1101" t="s">
        <v>2955</v>
      </c>
      <c r="F1101" t="s">
        <v>4002</v>
      </c>
      <c r="G1101" s="2">
        <v>45809</v>
      </c>
      <c r="H1101" s="2">
        <v>45824</v>
      </c>
      <c r="I1101" t="s">
        <v>5759</v>
      </c>
      <c r="J1101" t="s">
        <v>2949</v>
      </c>
      <c r="K1101">
        <v>472858.07</v>
      </c>
      <c r="L1101" t="s">
        <v>5775</v>
      </c>
      <c r="M1101">
        <v>15</v>
      </c>
    </row>
    <row r="1102" spans="1:13" x14ac:dyDescent="0.25">
      <c r="A1102">
        <v>1101</v>
      </c>
      <c r="B1102" t="s">
        <v>1113</v>
      </c>
      <c r="C1102">
        <v>86</v>
      </c>
      <c r="D1102" t="s">
        <v>2947</v>
      </c>
      <c r="E1102" t="s">
        <v>2950</v>
      </c>
      <c r="F1102" t="s">
        <v>4003</v>
      </c>
      <c r="G1102" s="2">
        <v>45645</v>
      </c>
      <c r="H1102" s="2">
        <v>45655</v>
      </c>
      <c r="I1102" t="s">
        <v>5760</v>
      </c>
      <c r="J1102" t="s">
        <v>5772</v>
      </c>
      <c r="K1102">
        <v>83395.22</v>
      </c>
      <c r="L1102" t="s">
        <v>5774</v>
      </c>
      <c r="M1102">
        <v>10</v>
      </c>
    </row>
    <row r="1103" spans="1:13" x14ac:dyDescent="0.25">
      <c r="A1103">
        <v>1102</v>
      </c>
      <c r="B1103" t="s">
        <v>1114</v>
      </c>
      <c r="C1103">
        <v>68</v>
      </c>
      <c r="D1103" t="s">
        <v>2947</v>
      </c>
      <c r="E1103" t="s">
        <v>2950</v>
      </c>
      <c r="F1103" t="s">
        <v>4004</v>
      </c>
      <c r="G1103" s="2">
        <v>45622</v>
      </c>
      <c r="H1103" s="2">
        <v>45624</v>
      </c>
      <c r="I1103" t="s">
        <v>5760</v>
      </c>
      <c r="J1103" t="s">
        <v>5769</v>
      </c>
      <c r="K1103">
        <v>496560.04</v>
      </c>
      <c r="L1103" t="s">
        <v>5773</v>
      </c>
      <c r="M1103">
        <v>2</v>
      </c>
    </row>
    <row r="1104" spans="1:13" x14ac:dyDescent="0.25">
      <c r="A1104">
        <v>1103</v>
      </c>
      <c r="B1104" t="s">
        <v>1115</v>
      </c>
      <c r="C1104">
        <v>17</v>
      </c>
      <c r="D1104" t="s">
        <v>2948</v>
      </c>
      <c r="E1104" t="s">
        <v>2955</v>
      </c>
      <c r="F1104" t="s">
        <v>4005</v>
      </c>
      <c r="G1104" s="2">
        <v>45874</v>
      </c>
      <c r="H1104" s="2">
        <v>45878</v>
      </c>
      <c r="I1104" t="s">
        <v>5758</v>
      </c>
      <c r="J1104" t="s">
        <v>5769</v>
      </c>
      <c r="K1104">
        <v>149905.88</v>
      </c>
      <c r="L1104" t="s">
        <v>5773</v>
      </c>
      <c r="M1104">
        <v>4</v>
      </c>
    </row>
    <row r="1105" spans="1:13" x14ac:dyDescent="0.25">
      <c r="A1105">
        <v>1104</v>
      </c>
      <c r="B1105" t="s">
        <v>1116</v>
      </c>
      <c r="C1105">
        <v>14</v>
      </c>
      <c r="D1105" t="s">
        <v>2947</v>
      </c>
      <c r="E1105" t="s">
        <v>2952</v>
      </c>
      <c r="F1105" t="s">
        <v>4006</v>
      </c>
      <c r="G1105" s="2">
        <v>45639</v>
      </c>
      <c r="H1105" s="2">
        <v>45647</v>
      </c>
      <c r="I1105" t="s">
        <v>5767</v>
      </c>
      <c r="J1105" t="s">
        <v>5771</v>
      </c>
      <c r="K1105">
        <v>349246.19</v>
      </c>
      <c r="L1105" t="s">
        <v>5775</v>
      </c>
      <c r="M1105">
        <v>8</v>
      </c>
    </row>
    <row r="1106" spans="1:13" x14ac:dyDescent="0.25">
      <c r="A1106">
        <v>1105</v>
      </c>
      <c r="B1106" t="s">
        <v>1117</v>
      </c>
      <c r="C1106">
        <v>66</v>
      </c>
      <c r="D1106" t="s">
        <v>2948</v>
      </c>
      <c r="E1106" t="s">
        <v>2953</v>
      </c>
      <c r="F1106" t="s">
        <v>4007</v>
      </c>
      <c r="G1106" s="2">
        <v>45600</v>
      </c>
      <c r="H1106" s="2">
        <v>45601</v>
      </c>
      <c r="I1106" t="s">
        <v>5759</v>
      </c>
      <c r="J1106" t="s">
        <v>5772</v>
      </c>
      <c r="K1106">
        <v>110045.94</v>
      </c>
      <c r="L1106" t="s">
        <v>5775</v>
      </c>
      <c r="M1106">
        <v>1</v>
      </c>
    </row>
    <row r="1107" spans="1:13" x14ac:dyDescent="0.25">
      <c r="A1107">
        <v>1106</v>
      </c>
      <c r="B1107" t="s">
        <v>1118</v>
      </c>
      <c r="C1107">
        <v>37</v>
      </c>
      <c r="D1107" t="s">
        <v>2948</v>
      </c>
      <c r="E1107" t="s">
        <v>2955</v>
      </c>
      <c r="F1107" t="s">
        <v>4008</v>
      </c>
      <c r="G1107" s="2">
        <v>45658</v>
      </c>
      <c r="H1107" s="2">
        <v>45662</v>
      </c>
      <c r="I1107" t="s">
        <v>5765</v>
      </c>
      <c r="J1107" t="s">
        <v>5770</v>
      </c>
      <c r="K1107">
        <v>377490.27</v>
      </c>
      <c r="L1107" t="s">
        <v>5773</v>
      </c>
      <c r="M1107">
        <v>4</v>
      </c>
    </row>
    <row r="1108" spans="1:13" x14ac:dyDescent="0.25">
      <c r="A1108">
        <v>1107</v>
      </c>
      <c r="B1108" t="s">
        <v>1119</v>
      </c>
      <c r="C1108">
        <v>37</v>
      </c>
      <c r="D1108" t="s">
        <v>2948</v>
      </c>
      <c r="E1108" t="s">
        <v>2954</v>
      </c>
      <c r="F1108" t="s">
        <v>4009</v>
      </c>
      <c r="G1108" s="2">
        <v>45901</v>
      </c>
      <c r="H1108" s="2">
        <v>45908</v>
      </c>
      <c r="I1108" t="s">
        <v>5761</v>
      </c>
      <c r="J1108" t="s">
        <v>5772</v>
      </c>
      <c r="K1108">
        <v>95628.31</v>
      </c>
      <c r="L1108" t="s">
        <v>5774</v>
      </c>
      <c r="M1108">
        <v>7</v>
      </c>
    </row>
    <row r="1109" spans="1:13" x14ac:dyDescent="0.25">
      <c r="A1109">
        <v>1108</v>
      </c>
      <c r="B1109" t="s">
        <v>1120</v>
      </c>
      <c r="C1109">
        <v>21</v>
      </c>
      <c r="D1109" t="s">
        <v>2948</v>
      </c>
      <c r="E1109" t="s">
        <v>2955</v>
      </c>
      <c r="F1109" t="s">
        <v>4010</v>
      </c>
      <c r="G1109" s="2">
        <v>45799</v>
      </c>
      <c r="H1109" s="2">
        <v>45801</v>
      </c>
      <c r="I1109" t="s">
        <v>5759</v>
      </c>
      <c r="J1109" t="s">
        <v>5768</v>
      </c>
      <c r="K1109">
        <v>414084.3</v>
      </c>
      <c r="L1109" t="s">
        <v>5775</v>
      </c>
      <c r="M1109">
        <v>2</v>
      </c>
    </row>
    <row r="1110" spans="1:13" x14ac:dyDescent="0.25">
      <c r="A1110">
        <v>1109</v>
      </c>
      <c r="B1110" t="s">
        <v>1121</v>
      </c>
      <c r="C1110">
        <v>36</v>
      </c>
      <c r="D1110" t="s">
        <v>2948</v>
      </c>
      <c r="E1110" t="s">
        <v>2953</v>
      </c>
      <c r="F1110" t="s">
        <v>4011</v>
      </c>
      <c r="G1110" s="2">
        <v>45874</v>
      </c>
      <c r="H1110" s="2">
        <v>45876</v>
      </c>
      <c r="I1110" t="s">
        <v>5765</v>
      </c>
      <c r="J1110" t="s">
        <v>5770</v>
      </c>
      <c r="K1110">
        <v>283110.83</v>
      </c>
      <c r="L1110" t="s">
        <v>5774</v>
      </c>
      <c r="M1110">
        <v>2</v>
      </c>
    </row>
    <row r="1111" spans="1:13" x14ac:dyDescent="0.25">
      <c r="A1111">
        <v>1110</v>
      </c>
      <c r="B1111" t="s">
        <v>1122</v>
      </c>
      <c r="C1111">
        <v>18</v>
      </c>
      <c r="D1111" t="s">
        <v>2948</v>
      </c>
      <c r="E1111" t="s">
        <v>2955</v>
      </c>
      <c r="F1111" t="s">
        <v>4012</v>
      </c>
      <c r="G1111" s="2">
        <v>45772</v>
      </c>
      <c r="H1111" s="2">
        <v>45783</v>
      </c>
      <c r="I1111" t="s">
        <v>5765</v>
      </c>
      <c r="J1111" t="s">
        <v>2949</v>
      </c>
      <c r="K1111">
        <v>319749.86</v>
      </c>
      <c r="L1111" t="s">
        <v>5773</v>
      </c>
      <c r="M1111">
        <v>11</v>
      </c>
    </row>
    <row r="1112" spans="1:13" x14ac:dyDescent="0.25">
      <c r="A1112">
        <v>1111</v>
      </c>
      <c r="B1112" t="s">
        <v>1123</v>
      </c>
      <c r="C1112">
        <v>66</v>
      </c>
      <c r="D1112" t="s">
        <v>2948</v>
      </c>
      <c r="E1112" t="s">
        <v>2949</v>
      </c>
      <c r="F1112" t="s">
        <v>4013</v>
      </c>
      <c r="G1112" s="2">
        <v>45593</v>
      </c>
      <c r="H1112" s="2">
        <v>45607</v>
      </c>
      <c r="I1112" t="s">
        <v>5766</v>
      </c>
      <c r="J1112" t="s">
        <v>5772</v>
      </c>
      <c r="K1112">
        <v>235659.21</v>
      </c>
      <c r="L1112" t="s">
        <v>5773</v>
      </c>
      <c r="M1112">
        <v>14</v>
      </c>
    </row>
    <row r="1113" spans="1:13" x14ac:dyDescent="0.25">
      <c r="A1113">
        <v>1112</v>
      </c>
      <c r="B1113" t="s">
        <v>1124</v>
      </c>
      <c r="C1113">
        <v>13</v>
      </c>
      <c r="D1113" t="s">
        <v>2947</v>
      </c>
      <c r="E1113" t="s">
        <v>2953</v>
      </c>
      <c r="F1113" t="s">
        <v>4014</v>
      </c>
      <c r="G1113" s="2">
        <v>45624</v>
      </c>
      <c r="H1113" s="2">
        <v>45638</v>
      </c>
      <c r="I1113" t="s">
        <v>5767</v>
      </c>
      <c r="J1113" t="s">
        <v>5770</v>
      </c>
      <c r="K1113">
        <v>454217.09</v>
      </c>
      <c r="L1113" t="s">
        <v>5775</v>
      </c>
      <c r="M1113">
        <v>14</v>
      </c>
    </row>
    <row r="1114" spans="1:13" x14ac:dyDescent="0.25">
      <c r="A1114">
        <v>1113</v>
      </c>
      <c r="B1114" t="s">
        <v>1125</v>
      </c>
      <c r="C1114">
        <v>49</v>
      </c>
      <c r="D1114" t="s">
        <v>2948</v>
      </c>
      <c r="E1114" t="s">
        <v>2952</v>
      </c>
      <c r="F1114" t="s">
        <v>4015</v>
      </c>
      <c r="G1114" s="2">
        <v>45583</v>
      </c>
      <c r="H1114" s="2">
        <v>45595</v>
      </c>
      <c r="I1114" t="s">
        <v>5764</v>
      </c>
      <c r="J1114" t="s">
        <v>5771</v>
      </c>
      <c r="K1114">
        <v>424113.95</v>
      </c>
      <c r="L1114" t="s">
        <v>5773</v>
      </c>
      <c r="M1114">
        <v>12</v>
      </c>
    </row>
    <row r="1115" spans="1:13" x14ac:dyDescent="0.25">
      <c r="A1115">
        <v>1114</v>
      </c>
      <c r="B1115" t="s">
        <v>1126</v>
      </c>
      <c r="C1115">
        <v>12</v>
      </c>
      <c r="D1115" t="s">
        <v>2947</v>
      </c>
      <c r="E1115" t="s">
        <v>2950</v>
      </c>
      <c r="F1115" t="s">
        <v>4016</v>
      </c>
      <c r="G1115" s="2">
        <v>45825</v>
      </c>
      <c r="H1115" s="2">
        <v>45832</v>
      </c>
      <c r="I1115" t="s">
        <v>5758</v>
      </c>
      <c r="J1115" t="s">
        <v>5770</v>
      </c>
      <c r="K1115">
        <v>77584.66</v>
      </c>
      <c r="L1115" t="s">
        <v>5773</v>
      </c>
      <c r="M1115">
        <v>7</v>
      </c>
    </row>
    <row r="1116" spans="1:13" x14ac:dyDescent="0.25">
      <c r="A1116">
        <v>1115</v>
      </c>
      <c r="B1116" t="s">
        <v>1127</v>
      </c>
      <c r="C1116">
        <v>40</v>
      </c>
      <c r="D1116" t="s">
        <v>2947</v>
      </c>
      <c r="E1116" t="s">
        <v>2952</v>
      </c>
      <c r="F1116" t="s">
        <v>4017</v>
      </c>
      <c r="G1116" s="2">
        <v>45890</v>
      </c>
      <c r="H1116" s="2">
        <v>45904</v>
      </c>
      <c r="I1116" t="s">
        <v>5758</v>
      </c>
      <c r="J1116" t="s">
        <v>5772</v>
      </c>
      <c r="K1116">
        <v>23541.55</v>
      </c>
      <c r="L1116" t="s">
        <v>5774</v>
      </c>
      <c r="M1116">
        <v>14</v>
      </c>
    </row>
    <row r="1117" spans="1:13" x14ac:dyDescent="0.25">
      <c r="A1117">
        <v>1116</v>
      </c>
      <c r="B1117" t="s">
        <v>1128</v>
      </c>
      <c r="C1117">
        <v>24</v>
      </c>
      <c r="D1117" t="s">
        <v>2948</v>
      </c>
      <c r="E1117" t="s">
        <v>2952</v>
      </c>
      <c r="F1117" t="s">
        <v>4018</v>
      </c>
      <c r="G1117" s="2">
        <v>45669</v>
      </c>
      <c r="H1117" s="2">
        <v>45678</v>
      </c>
      <c r="I1117" t="s">
        <v>5764</v>
      </c>
      <c r="J1117" t="s">
        <v>5769</v>
      </c>
      <c r="K1117">
        <v>449402.97</v>
      </c>
      <c r="L1117" t="s">
        <v>5775</v>
      </c>
      <c r="M1117">
        <v>9</v>
      </c>
    </row>
    <row r="1118" spans="1:13" x14ac:dyDescent="0.25">
      <c r="A1118">
        <v>1117</v>
      </c>
      <c r="B1118" t="s">
        <v>1129</v>
      </c>
      <c r="C1118">
        <v>49</v>
      </c>
      <c r="D1118" t="s">
        <v>2948</v>
      </c>
      <c r="E1118" t="s">
        <v>2953</v>
      </c>
      <c r="F1118" t="s">
        <v>4019</v>
      </c>
      <c r="G1118" s="2">
        <v>45831</v>
      </c>
      <c r="H1118" s="2">
        <v>45839</v>
      </c>
      <c r="I1118" t="s">
        <v>5763</v>
      </c>
      <c r="J1118" t="s">
        <v>5770</v>
      </c>
      <c r="K1118">
        <v>302323.34000000003</v>
      </c>
      <c r="L1118" t="s">
        <v>5774</v>
      </c>
      <c r="M1118">
        <v>8</v>
      </c>
    </row>
    <row r="1119" spans="1:13" x14ac:dyDescent="0.25">
      <c r="A1119">
        <v>1118</v>
      </c>
      <c r="B1119" t="s">
        <v>1130</v>
      </c>
      <c r="C1119">
        <v>62</v>
      </c>
      <c r="D1119" t="s">
        <v>2948</v>
      </c>
      <c r="E1119" t="s">
        <v>2950</v>
      </c>
      <c r="F1119" t="s">
        <v>4020</v>
      </c>
      <c r="G1119" s="2">
        <v>45622</v>
      </c>
      <c r="H1119" s="2">
        <v>45631</v>
      </c>
      <c r="I1119" t="s">
        <v>5759</v>
      </c>
      <c r="J1119" t="s">
        <v>5769</v>
      </c>
      <c r="K1119">
        <v>71385.56</v>
      </c>
      <c r="L1119" t="s">
        <v>5774</v>
      </c>
      <c r="M1119">
        <v>9</v>
      </c>
    </row>
    <row r="1120" spans="1:13" x14ac:dyDescent="0.25">
      <c r="A1120">
        <v>1119</v>
      </c>
      <c r="B1120" t="s">
        <v>1131</v>
      </c>
      <c r="C1120">
        <v>53</v>
      </c>
      <c r="D1120" t="s">
        <v>2948</v>
      </c>
      <c r="E1120" t="s">
        <v>2949</v>
      </c>
      <c r="F1120" t="s">
        <v>4021</v>
      </c>
      <c r="G1120" s="2">
        <v>45913</v>
      </c>
      <c r="H1120" s="2">
        <v>45925</v>
      </c>
      <c r="I1120" t="s">
        <v>5766</v>
      </c>
      <c r="J1120" t="s">
        <v>2949</v>
      </c>
      <c r="K1120">
        <v>349601.59</v>
      </c>
      <c r="L1120" t="s">
        <v>5774</v>
      </c>
      <c r="M1120">
        <v>12</v>
      </c>
    </row>
    <row r="1121" spans="1:13" x14ac:dyDescent="0.25">
      <c r="A1121">
        <v>1120</v>
      </c>
      <c r="B1121" t="s">
        <v>1132</v>
      </c>
      <c r="C1121">
        <v>15</v>
      </c>
      <c r="D1121" t="s">
        <v>2948</v>
      </c>
      <c r="E1121" t="s">
        <v>2951</v>
      </c>
      <c r="F1121" t="s">
        <v>4022</v>
      </c>
      <c r="G1121" s="2">
        <v>45770</v>
      </c>
      <c r="H1121" s="2">
        <v>45774</v>
      </c>
      <c r="I1121" t="s">
        <v>5763</v>
      </c>
      <c r="J1121" t="s">
        <v>5771</v>
      </c>
      <c r="K1121">
        <v>58666.34</v>
      </c>
      <c r="L1121" t="s">
        <v>5775</v>
      </c>
      <c r="M1121">
        <v>4</v>
      </c>
    </row>
    <row r="1122" spans="1:13" x14ac:dyDescent="0.25">
      <c r="A1122">
        <v>1121</v>
      </c>
      <c r="B1122" t="s">
        <v>1133</v>
      </c>
      <c r="C1122">
        <v>38</v>
      </c>
      <c r="D1122" t="s">
        <v>2947</v>
      </c>
      <c r="E1122" t="s">
        <v>2955</v>
      </c>
      <c r="F1122" t="s">
        <v>4023</v>
      </c>
      <c r="G1122" s="2">
        <v>45718</v>
      </c>
      <c r="H1122" s="2">
        <v>45732</v>
      </c>
      <c r="I1122" t="s">
        <v>5760</v>
      </c>
      <c r="J1122" t="s">
        <v>5770</v>
      </c>
      <c r="K1122">
        <v>117420.66</v>
      </c>
      <c r="L1122" t="s">
        <v>5775</v>
      </c>
      <c r="M1122">
        <v>14</v>
      </c>
    </row>
    <row r="1123" spans="1:13" x14ac:dyDescent="0.25">
      <c r="A1123">
        <v>1122</v>
      </c>
      <c r="B1123" t="s">
        <v>1134</v>
      </c>
      <c r="C1123">
        <v>45</v>
      </c>
      <c r="D1123" t="s">
        <v>2947</v>
      </c>
      <c r="E1123" t="s">
        <v>2950</v>
      </c>
      <c r="F1123" t="s">
        <v>4024</v>
      </c>
      <c r="G1123" s="2">
        <v>45595</v>
      </c>
      <c r="H1123" s="2">
        <v>45597</v>
      </c>
      <c r="I1123" t="s">
        <v>5767</v>
      </c>
      <c r="J1123" t="s">
        <v>5768</v>
      </c>
      <c r="K1123">
        <v>452058.14</v>
      </c>
      <c r="L1123" t="s">
        <v>5775</v>
      </c>
      <c r="M1123">
        <v>2</v>
      </c>
    </row>
    <row r="1124" spans="1:13" x14ac:dyDescent="0.25">
      <c r="A1124">
        <v>1123</v>
      </c>
      <c r="B1124" t="s">
        <v>1135</v>
      </c>
      <c r="C1124">
        <v>85</v>
      </c>
      <c r="D1124" t="s">
        <v>2948</v>
      </c>
      <c r="E1124" t="s">
        <v>2950</v>
      </c>
      <c r="F1124" t="s">
        <v>4025</v>
      </c>
      <c r="G1124" s="2">
        <v>45606</v>
      </c>
      <c r="H1124" s="2">
        <v>45615</v>
      </c>
      <c r="I1124" t="s">
        <v>5765</v>
      </c>
      <c r="J1124" t="s">
        <v>5771</v>
      </c>
      <c r="K1124">
        <v>479685.22</v>
      </c>
      <c r="L1124" t="s">
        <v>5775</v>
      </c>
      <c r="M1124">
        <v>9</v>
      </c>
    </row>
    <row r="1125" spans="1:13" x14ac:dyDescent="0.25">
      <c r="A1125">
        <v>1124</v>
      </c>
      <c r="B1125" t="s">
        <v>1136</v>
      </c>
      <c r="C1125">
        <v>56</v>
      </c>
      <c r="D1125" t="s">
        <v>2948</v>
      </c>
      <c r="E1125" t="s">
        <v>2954</v>
      </c>
      <c r="F1125" t="s">
        <v>4026</v>
      </c>
      <c r="G1125" s="2">
        <v>45559</v>
      </c>
      <c r="H1125" s="2">
        <v>45561</v>
      </c>
      <c r="I1125" t="s">
        <v>5762</v>
      </c>
      <c r="J1125" t="s">
        <v>2949</v>
      </c>
      <c r="K1125">
        <v>265294.15999999997</v>
      </c>
      <c r="L1125" t="s">
        <v>5775</v>
      </c>
      <c r="M1125">
        <v>2</v>
      </c>
    </row>
    <row r="1126" spans="1:13" x14ac:dyDescent="0.25">
      <c r="A1126">
        <v>1125</v>
      </c>
      <c r="B1126" t="s">
        <v>1137</v>
      </c>
      <c r="C1126">
        <v>73</v>
      </c>
      <c r="D1126" t="s">
        <v>2948</v>
      </c>
      <c r="E1126" t="s">
        <v>2950</v>
      </c>
      <c r="F1126" t="s">
        <v>4027</v>
      </c>
      <c r="G1126" s="2">
        <v>45876</v>
      </c>
      <c r="H1126" s="2">
        <v>45884</v>
      </c>
      <c r="I1126" t="s">
        <v>5764</v>
      </c>
      <c r="J1126" t="s">
        <v>5769</v>
      </c>
      <c r="K1126">
        <v>316454.3</v>
      </c>
      <c r="L1126" t="s">
        <v>5774</v>
      </c>
      <c r="M1126">
        <v>8</v>
      </c>
    </row>
    <row r="1127" spans="1:13" x14ac:dyDescent="0.25">
      <c r="A1127">
        <v>1126</v>
      </c>
      <c r="B1127" t="s">
        <v>1138</v>
      </c>
      <c r="C1127">
        <v>84</v>
      </c>
      <c r="D1127" t="s">
        <v>2948</v>
      </c>
      <c r="E1127" t="s">
        <v>2953</v>
      </c>
      <c r="F1127" t="s">
        <v>4028</v>
      </c>
      <c r="G1127" s="2">
        <v>45566</v>
      </c>
      <c r="H1127" s="2">
        <v>45572</v>
      </c>
      <c r="I1127" t="s">
        <v>5766</v>
      </c>
      <c r="J1127" t="s">
        <v>5771</v>
      </c>
      <c r="K1127">
        <v>295244.92</v>
      </c>
      <c r="L1127" t="s">
        <v>5775</v>
      </c>
      <c r="M1127">
        <v>6</v>
      </c>
    </row>
    <row r="1128" spans="1:13" x14ac:dyDescent="0.25">
      <c r="A1128">
        <v>1127</v>
      </c>
      <c r="B1128" t="s">
        <v>1139</v>
      </c>
      <c r="C1128">
        <v>38</v>
      </c>
      <c r="D1128" t="s">
        <v>2947</v>
      </c>
      <c r="E1128" t="s">
        <v>2954</v>
      </c>
      <c r="F1128" t="s">
        <v>4029</v>
      </c>
      <c r="G1128" s="2">
        <v>45830</v>
      </c>
      <c r="H1128" s="2">
        <v>45836</v>
      </c>
      <c r="I1128" t="s">
        <v>5766</v>
      </c>
      <c r="J1128" t="s">
        <v>5770</v>
      </c>
      <c r="K1128">
        <v>122132.77</v>
      </c>
      <c r="L1128" t="s">
        <v>5775</v>
      </c>
      <c r="M1128">
        <v>6</v>
      </c>
    </row>
    <row r="1129" spans="1:13" x14ac:dyDescent="0.25">
      <c r="A1129">
        <v>1128</v>
      </c>
      <c r="B1129" t="s">
        <v>1140</v>
      </c>
      <c r="C1129">
        <v>70</v>
      </c>
      <c r="D1129" t="s">
        <v>2947</v>
      </c>
      <c r="E1129" t="s">
        <v>2954</v>
      </c>
      <c r="F1129" t="s">
        <v>4030</v>
      </c>
      <c r="G1129" s="2">
        <v>45558</v>
      </c>
      <c r="H1129" s="2">
        <v>45567</v>
      </c>
      <c r="I1129" t="s">
        <v>5764</v>
      </c>
      <c r="J1129" t="s">
        <v>5772</v>
      </c>
      <c r="K1129">
        <v>291632.53000000003</v>
      </c>
      <c r="L1129" t="s">
        <v>5774</v>
      </c>
      <c r="M1129">
        <v>9</v>
      </c>
    </row>
    <row r="1130" spans="1:13" x14ac:dyDescent="0.25">
      <c r="A1130">
        <v>1129</v>
      </c>
      <c r="B1130" t="s">
        <v>1141</v>
      </c>
      <c r="C1130">
        <v>23</v>
      </c>
      <c r="D1130" t="s">
        <v>2948</v>
      </c>
      <c r="E1130" t="s">
        <v>2953</v>
      </c>
      <c r="F1130" t="s">
        <v>4031</v>
      </c>
      <c r="G1130" s="2">
        <v>45819</v>
      </c>
      <c r="H1130" s="2">
        <v>45823</v>
      </c>
      <c r="I1130" t="s">
        <v>5766</v>
      </c>
      <c r="J1130" t="s">
        <v>5771</v>
      </c>
      <c r="K1130">
        <v>398969.8</v>
      </c>
      <c r="L1130" t="s">
        <v>5775</v>
      </c>
      <c r="M1130">
        <v>4</v>
      </c>
    </row>
    <row r="1131" spans="1:13" x14ac:dyDescent="0.25">
      <c r="A1131">
        <v>1130</v>
      </c>
      <c r="B1131" t="s">
        <v>1142</v>
      </c>
      <c r="C1131">
        <v>73</v>
      </c>
      <c r="D1131" t="s">
        <v>2948</v>
      </c>
      <c r="E1131" t="s">
        <v>2949</v>
      </c>
      <c r="F1131" t="s">
        <v>4032</v>
      </c>
      <c r="G1131" s="2">
        <v>45764</v>
      </c>
      <c r="H1131" s="2">
        <v>45770</v>
      </c>
      <c r="I1131" t="s">
        <v>5761</v>
      </c>
      <c r="J1131" t="s">
        <v>2949</v>
      </c>
      <c r="K1131">
        <v>295269.15999999997</v>
      </c>
      <c r="L1131" t="s">
        <v>5775</v>
      </c>
      <c r="M1131">
        <v>6</v>
      </c>
    </row>
    <row r="1132" spans="1:13" x14ac:dyDescent="0.25">
      <c r="A1132">
        <v>1131</v>
      </c>
      <c r="B1132" t="s">
        <v>1143</v>
      </c>
      <c r="C1132">
        <v>76</v>
      </c>
      <c r="D1132" t="s">
        <v>2948</v>
      </c>
      <c r="E1132" t="s">
        <v>2952</v>
      </c>
      <c r="F1132" t="s">
        <v>4033</v>
      </c>
      <c r="G1132" s="2">
        <v>45678</v>
      </c>
      <c r="H1132" s="2">
        <v>45691</v>
      </c>
      <c r="I1132" t="s">
        <v>5765</v>
      </c>
      <c r="J1132" t="s">
        <v>5769</v>
      </c>
      <c r="K1132">
        <v>109121.14</v>
      </c>
      <c r="L1132" t="s">
        <v>5774</v>
      </c>
      <c r="M1132">
        <v>13</v>
      </c>
    </row>
    <row r="1133" spans="1:13" x14ac:dyDescent="0.25">
      <c r="A1133">
        <v>1132</v>
      </c>
      <c r="B1133" t="s">
        <v>1144</v>
      </c>
      <c r="C1133">
        <v>48</v>
      </c>
      <c r="D1133" t="s">
        <v>2948</v>
      </c>
      <c r="E1133" t="s">
        <v>2955</v>
      </c>
      <c r="F1133" t="s">
        <v>4034</v>
      </c>
      <c r="G1133" s="2">
        <v>45854</v>
      </c>
      <c r="H1133" s="2">
        <v>45864</v>
      </c>
      <c r="I1133" t="s">
        <v>5763</v>
      </c>
      <c r="J1133" t="s">
        <v>5768</v>
      </c>
      <c r="K1133">
        <v>295686.64</v>
      </c>
      <c r="L1133" t="s">
        <v>5773</v>
      </c>
      <c r="M1133">
        <v>10</v>
      </c>
    </row>
    <row r="1134" spans="1:13" x14ac:dyDescent="0.25">
      <c r="A1134">
        <v>1133</v>
      </c>
      <c r="B1134" t="s">
        <v>1145</v>
      </c>
      <c r="C1134">
        <v>43</v>
      </c>
      <c r="D1134" t="s">
        <v>2947</v>
      </c>
      <c r="E1134" t="s">
        <v>2953</v>
      </c>
      <c r="F1134" t="s">
        <v>4035</v>
      </c>
      <c r="G1134" s="2">
        <v>45733</v>
      </c>
      <c r="H1134" s="2">
        <v>45734</v>
      </c>
      <c r="I1134" t="s">
        <v>5767</v>
      </c>
      <c r="J1134" t="s">
        <v>5771</v>
      </c>
      <c r="K1134">
        <v>101251.9</v>
      </c>
      <c r="L1134" t="s">
        <v>5774</v>
      </c>
      <c r="M1134">
        <v>1</v>
      </c>
    </row>
    <row r="1135" spans="1:13" x14ac:dyDescent="0.25">
      <c r="A1135">
        <v>1134</v>
      </c>
      <c r="B1135" t="s">
        <v>1146</v>
      </c>
      <c r="C1135">
        <v>88</v>
      </c>
      <c r="D1135" t="s">
        <v>2947</v>
      </c>
      <c r="E1135" t="s">
        <v>2949</v>
      </c>
      <c r="F1135" t="s">
        <v>4036</v>
      </c>
      <c r="G1135" s="2">
        <v>45754</v>
      </c>
      <c r="H1135" s="2">
        <v>45768</v>
      </c>
      <c r="I1135" t="s">
        <v>5767</v>
      </c>
      <c r="J1135" t="s">
        <v>5771</v>
      </c>
      <c r="K1135">
        <v>370987.23</v>
      </c>
      <c r="L1135" t="s">
        <v>5775</v>
      </c>
      <c r="M1135">
        <v>14</v>
      </c>
    </row>
    <row r="1136" spans="1:13" x14ac:dyDescent="0.25">
      <c r="A1136">
        <v>1135</v>
      </c>
      <c r="B1136" t="s">
        <v>1147</v>
      </c>
      <c r="C1136">
        <v>19</v>
      </c>
      <c r="D1136" t="s">
        <v>2947</v>
      </c>
      <c r="E1136" t="s">
        <v>2951</v>
      </c>
      <c r="F1136" t="s">
        <v>4037</v>
      </c>
      <c r="G1136" s="2">
        <v>45887</v>
      </c>
      <c r="H1136" s="2">
        <v>45895</v>
      </c>
      <c r="I1136" t="s">
        <v>5759</v>
      </c>
      <c r="J1136" t="s">
        <v>5770</v>
      </c>
      <c r="K1136">
        <v>82946.600000000006</v>
      </c>
      <c r="L1136" t="s">
        <v>5774</v>
      </c>
      <c r="M1136">
        <v>8</v>
      </c>
    </row>
    <row r="1137" spans="1:13" x14ac:dyDescent="0.25">
      <c r="A1137">
        <v>1136</v>
      </c>
      <c r="B1137" t="s">
        <v>1148</v>
      </c>
      <c r="C1137">
        <v>89</v>
      </c>
      <c r="D1137" t="s">
        <v>2947</v>
      </c>
      <c r="E1137" t="s">
        <v>2953</v>
      </c>
      <c r="F1137" t="s">
        <v>2002</v>
      </c>
      <c r="G1137" s="2">
        <v>45903</v>
      </c>
      <c r="H1137" s="2">
        <v>45914</v>
      </c>
      <c r="I1137" t="s">
        <v>5765</v>
      </c>
      <c r="J1137" t="s">
        <v>5771</v>
      </c>
      <c r="K1137">
        <v>275710.2</v>
      </c>
      <c r="L1137" t="s">
        <v>5775</v>
      </c>
      <c r="M1137">
        <v>11</v>
      </c>
    </row>
    <row r="1138" spans="1:13" x14ac:dyDescent="0.25">
      <c r="A1138">
        <v>1137</v>
      </c>
      <c r="B1138" t="s">
        <v>1149</v>
      </c>
      <c r="C1138">
        <v>47</v>
      </c>
      <c r="D1138" t="s">
        <v>2947</v>
      </c>
      <c r="E1138" t="s">
        <v>2951</v>
      </c>
      <c r="F1138" t="s">
        <v>4038</v>
      </c>
      <c r="G1138" s="2">
        <v>45877</v>
      </c>
      <c r="H1138" s="2">
        <v>45884</v>
      </c>
      <c r="I1138" t="s">
        <v>5759</v>
      </c>
      <c r="J1138" t="s">
        <v>5769</v>
      </c>
      <c r="K1138">
        <v>195956.83</v>
      </c>
      <c r="L1138" t="s">
        <v>5775</v>
      </c>
      <c r="M1138">
        <v>7</v>
      </c>
    </row>
    <row r="1139" spans="1:13" x14ac:dyDescent="0.25">
      <c r="A1139">
        <v>1138</v>
      </c>
      <c r="B1139" t="s">
        <v>1150</v>
      </c>
      <c r="C1139">
        <v>39</v>
      </c>
      <c r="D1139" t="s">
        <v>2948</v>
      </c>
      <c r="E1139" t="s">
        <v>2954</v>
      </c>
      <c r="F1139" t="s">
        <v>4039</v>
      </c>
      <c r="G1139" s="2">
        <v>45649</v>
      </c>
      <c r="H1139" s="2">
        <v>45654</v>
      </c>
      <c r="I1139" t="s">
        <v>5766</v>
      </c>
      <c r="J1139" t="s">
        <v>2949</v>
      </c>
      <c r="K1139">
        <v>99437.1</v>
      </c>
      <c r="L1139" t="s">
        <v>5773</v>
      </c>
      <c r="M1139">
        <v>5</v>
      </c>
    </row>
    <row r="1140" spans="1:13" x14ac:dyDescent="0.25">
      <c r="A1140">
        <v>1139</v>
      </c>
      <c r="B1140" t="s">
        <v>1151</v>
      </c>
      <c r="C1140">
        <v>62</v>
      </c>
      <c r="D1140" t="s">
        <v>2948</v>
      </c>
      <c r="E1140" t="s">
        <v>2949</v>
      </c>
      <c r="F1140" t="s">
        <v>4040</v>
      </c>
      <c r="G1140" s="2">
        <v>45711</v>
      </c>
      <c r="H1140" s="2">
        <v>45721</v>
      </c>
      <c r="I1140" t="s">
        <v>5759</v>
      </c>
      <c r="J1140" t="s">
        <v>5772</v>
      </c>
      <c r="K1140">
        <v>94053.48</v>
      </c>
      <c r="L1140" t="s">
        <v>5774</v>
      </c>
      <c r="M1140">
        <v>10</v>
      </c>
    </row>
    <row r="1141" spans="1:13" x14ac:dyDescent="0.25">
      <c r="A1141">
        <v>1140</v>
      </c>
      <c r="B1141" t="s">
        <v>1152</v>
      </c>
      <c r="C1141">
        <v>20</v>
      </c>
      <c r="D1141" t="s">
        <v>2948</v>
      </c>
      <c r="E1141" t="s">
        <v>2952</v>
      </c>
      <c r="F1141" t="s">
        <v>4041</v>
      </c>
      <c r="G1141" s="2">
        <v>45894</v>
      </c>
      <c r="H1141" s="2">
        <v>45895</v>
      </c>
      <c r="I1141" t="s">
        <v>5767</v>
      </c>
      <c r="J1141" t="s">
        <v>5769</v>
      </c>
      <c r="K1141">
        <v>499069.92</v>
      </c>
      <c r="L1141" t="s">
        <v>5774</v>
      </c>
      <c r="M1141">
        <v>1</v>
      </c>
    </row>
    <row r="1142" spans="1:13" x14ac:dyDescent="0.25">
      <c r="A1142">
        <v>1141</v>
      </c>
      <c r="B1142" t="s">
        <v>1153</v>
      </c>
      <c r="C1142">
        <v>35</v>
      </c>
      <c r="D1142" t="s">
        <v>2948</v>
      </c>
      <c r="E1142" t="s">
        <v>2955</v>
      </c>
      <c r="F1142" t="s">
        <v>4042</v>
      </c>
      <c r="G1142" s="2">
        <v>45618</v>
      </c>
      <c r="H1142" s="2">
        <v>45620</v>
      </c>
      <c r="I1142" t="s">
        <v>5760</v>
      </c>
      <c r="J1142" t="s">
        <v>5772</v>
      </c>
      <c r="K1142">
        <v>191060.15</v>
      </c>
      <c r="L1142" t="s">
        <v>5773</v>
      </c>
      <c r="M1142">
        <v>2</v>
      </c>
    </row>
    <row r="1143" spans="1:13" x14ac:dyDescent="0.25">
      <c r="A1143">
        <v>1142</v>
      </c>
      <c r="B1143" t="s">
        <v>1154</v>
      </c>
      <c r="C1143">
        <v>49</v>
      </c>
      <c r="D1143" t="s">
        <v>2948</v>
      </c>
      <c r="E1143" t="s">
        <v>2949</v>
      </c>
      <c r="F1143" t="s">
        <v>4043</v>
      </c>
      <c r="G1143" s="2">
        <v>45737</v>
      </c>
      <c r="H1143" s="2">
        <v>45744</v>
      </c>
      <c r="I1143" t="s">
        <v>5765</v>
      </c>
      <c r="J1143" t="s">
        <v>5771</v>
      </c>
      <c r="K1143">
        <v>40023.660000000003</v>
      </c>
      <c r="L1143" t="s">
        <v>5774</v>
      </c>
      <c r="M1143">
        <v>7</v>
      </c>
    </row>
    <row r="1144" spans="1:13" x14ac:dyDescent="0.25">
      <c r="A1144">
        <v>1143</v>
      </c>
      <c r="B1144" t="s">
        <v>1155</v>
      </c>
      <c r="C1144">
        <v>20</v>
      </c>
      <c r="D1144" t="s">
        <v>2948</v>
      </c>
      <c r="E1144" t="s">
        <v>2952</v>
      </c>
      <c r="F1144" t="s">
        <v>4044</v>
      </c>
      <c r="G1144" s="2">
        <v>45815</v>
      </c>
      <c r="H1144" s="2">
        <v>45824</v>
      </c>
      <c r="I1144" t="s">
        <v>5760</v>
      </c>
      <c r="J1144" t="s">
        <v>2949</v>
      </c>
      <c r="K1144">
        <v>27817.200000000001</v>
      </c>
      <c r="L1144" t="s">
        <v>5775</v>
      </c>
      <c r="M1144">
        <v>9</v>
      </c>
    </row>
    <row r="1145" spans="1:13" x14ac:dyDescent="0.25">
      <c r="A1145">
        <v>1144</v>
      </c>
      <c r="B1145" t="s">
        <v>1156</v>
      </c>
      <c r="C1145">
        <v>72</v>
      </c>
      <c r="D1145" t="s">
        <v>2947</v>
      </c>
      <c r="E1145" t="s">
        <v>2951</v>
      </c>
      <c r="F1145" t="s">
        <v>4045</v>
      </c>
      <c r="G1145" s="2">
        <v>45815</v>
      </c>
      <c r="H1145" s="2">
        <v>45826</v>
      </c>
      <c r="I1145" t="s">
        <v>5767</v>
      </c>
      <c r="J1145" t="s">
        <v>5770</v>
      </c>
      <c r="K1145">
        <v>368802.87</v>
      </c>
      <c r="L1145" t="s">
        <v>5773</v>
      </c>
      <c r="M1145">
        <v>11</v>
      </c>
    </row>
    <row r="1146" spans="1:13" x14ac:dyDescent="0.25">
      <c r="A1146">
        <v>1145</v>
      </c>
      <c r="B1146" t="s">
        <v>1157</v>
      </c>
      <c r="C1146">
        <v>40</v>
      </c>
      <c r="D1146" t="s">
        <v>2948</v>
      </c>
      <c r="E1146" t="s">
        <v>2954</v>
      </c>
      <c r="F1146" t="s">
        <v>4046</v>
      </c>
      <c r="G1146" s="2">
        <v>45867</v>
      </c>
      <c r="H1146" s="2">
        <v>45871</v>
      </c>
      <c r="I1146" t="s">
        <v>5761</v>
      </c>
      <c r="J1146" t="s">
        <v>5770</v>
      </c>
      <c r="K1146">
        <v>467602.78</v>
      </c>
      <c r="L1146" t="s">
        <v>5775</v>
      </c>
      <c r="M1146">
        <v>4</v>
      </c>
    </row>
    <row r="1147" spans="1:13" x14ac:dyDescent="0.25">
      <c r="A1147">
        <v>1146</v>
      </c>
      <c r="B1147" t="s">
        <v>1158</v>
      </c>
      <c r="C1147">
        <v>90</v>
      </c>
      <c r="D1147" t="s">
        <v>2948</v>
      </c>
      <c r="E1147" t="s">
        <v>2949</v>
      </c>
      <c r="F1147" t="s">
        <v>4047</v>
      </c>
      <c r="G1147" s="2">
        <v>45882</v>
      </c>
      <c r="H1147" s="2">
        <v>45884</v>
      </c>
      <c r="I1147" t="s">
        <v>5760</v>
      </c>
      <c r="J1147" t="s">
        <v>5769</v>
      </c>
      <c r="K1147">
        <v>82047.28</v>
      </c>
      <c r="L1147" t="s">
        <v>5773</v>
      </c>
      <c r="M1147">
        <v>2</v>
      </c>
    </row>
    <row r="1148" spans="1:13" x14ac:dyDescent="0.25">
      <c r="A1148">
        <v>1147</v>
      </c>
      <c r="B1148" t="s">
        <v>1159</v>
      </c>
      <c r="C1148">
        <v>83</v>
      </c>
      <c r="D1148" t="s">
        <v>2947</v>
      </c>
      <c r="E1148" t="s">
        <v>2949</v>
      </c>
      <c r="F1148" t="s">
        <v>4048</v>
      </c>
      <c r="G1148" s="2">
        <v>45643</v>
      </c>
      <c r="H1148" s="2">
        <v>45644</v>
      </c>
      <c r="I1148" t="s">
        <v>5766</v>
      </c>
      <c r="J1148" t="s">
        <v>2949</v>
      </c>
      <c r="K1148">
        <v>435902.36</v>
      </c>
      <c r="L1148" t="s">
        <v>5775</v>
      </c>
      <c r="M1148">
        <v>1</v>
      </c>
    </row>
    <row r="1149" spans="1:13" x14ac:dyDescent="0.25">
      <c r="A1149">
        <v>1148</v>
      </c>
      <c r="B1149" t="s">
        <v>1160</v>
      </c>
      <c r="C1149">
        <v>7</v>
      </c>
      <c r="D1149" t="s">
        <v>2947</v>
      </c>
      <c r="E1149" t="s">
        <v>2955</v>
      </c>
      <c r="F1149" t="s">
        <v>1746</v>
      </c>
      <c r="G1149" s="2">
        <v>45890</v>
      </c>
      <c r="H1149" s="2">
        <v>45903</v>
      </c>
      <c r="I1149" t="s">
        <v>5765</v>
      </c>
      <c r="J1149" t="s">
        <v>5769</v>
      </c>
      <c r="K1149">
        <v>289899.26</v>
      </c>
      <c r="L1149" t="s">
        <v>5773</v>
      </c>
      <c r="M1149">
        <v>13</v>
      </c>
    </row>
    <row r="1150" spans="1:13" x14ac:dyDescent="0.25">
      <c r="A1150">
        <v>1149</v>
      </c>
      <c r="B1150" t="s">
        <v>1161</v>
      </c>
      <c r="C1150">
        <v>81</v>
      </c>
      <c r="D1150" t="s">
        <v>2948</v>
      </c>
      <c r="E1150" t="s">
        <v>2954</v>
      </c>
      <c r="F1150" t="s">
        <v>4049</v>
      </c>
      <c r="G1150" s="2">
        <v>45753</v>
      </c>
      <c r="H1150" s="2">
        <v>45765</v>
      </c>
      <c r="I1150" t="s">
        <v>5767</v>
      </c>
      <c r="J1150" t="s">
        <v>5770</v>
      </c>
      <c r="K1150">
        <v>290017.74</v>
      </c>
      <c r="L1150" t="s">
        <v>5773</v>
      </c>
      <c r="M1150">
        <v>12</v>
      </c>
    </row>
    <row r="1151" spans="1:13" x14ac:dyDescent="0.25">
      <c r="A1151">
        <v>1150</v>
      </c>
      <c r="B1151" t="s">
        <v>1162</v>
      </c>
      <c r="C1151">
        <v>14</v>
      </c>
      <c r="D1151" t="s">
        <v>2948</v>
      </c>
      <c r="E1151" t="s">
        <v>2949</v>
      </c>
      <c r="F1151" t="s">
        <v>4050</v>
      </c>
      <c r="G1151" s="2">
        <v>45744</v>
      </c>
      <c r="H1151" s="2">
        <v>45753</v>
      </c>
      <c r="I1151" t="s">
        <v>5758</v>
      </c>
      <c r="J1151" t="s">
        <v>5772</v>
      </c>
      <c r="K1151">
        <v>19108.41</v>
      </c>
      <c r="L1151" t="s">
        <v>5774</v>
      </c>
      <c r="M1151">
        <v>9</v>
      </c>
    </row>
    <row r="1152" spans="1:13" x14ac:dyDescent="0.25">
      <c r="A1152">
        <v>1151</v>
      </c>
      <c r="B1152" t="s">
        <v>1163</v>
      </c>
      <c r="C1152">
        <v>78</v>
      </c>
      <c r="D1152" t="s">
        <v>2947</v>
      </c>
      <c r="E1152" t="s">
        <v>2955</v>
      </c>
      <c r="F1152" t="s">
        <v>4051</v>
      </c>
      <c r="G1152" s="2">
        <v>45683</v>
      </c>
      <c r="H1152" s="2">
        <v>45694</v>
      </c>
      <c r="I1152" t="s">
        <v>5766</v>
      </c>
      <c r="J1152" t="s">
        <v>5772</v>
      </c>
      <c r="K1152">
        <v>46106.03</v>
      </c>
      <c r="L1152" t="s">
        <v>5775</v>
      </c>
      <c r="M1152">
        <v>11</v>
      </c>
    </row>
    <row r="1153" spans="1:13" x14ac:dyDescent="0.25">
      <c r="A1153">
        <v>1152</v>
      </c>
      <c r="B1153" t="s">
        <v>1164</v>
      </c>
      <c r="C1153">
        <v>64</v>
      </c>
      <c r="D1153" t="s">
        <v>2947</v>
      </c>
      <c r="E1153" t="s">
        <v>2953</v>
      </c>
      <c r="F1153" t="s">
        <v>4052</v>
      </c>
      <c r="G1153" s="2">
        <v>45868</v>
      </c>
      <c r="H1153" s="2">
        <v>45876</v>
      </c>
      <c r="I1153" t="s">
        <v>5761</v>
      </c>
      <c r="J1153" t="s">
        <v>5768</v>
      </c>
      <c r="K1153">
        <v>267236.99</v>
      </c>
      <c r="L1153" t="s">
        <v>5774</v>
      </c>
      <c r="M1153">
        <v>8</v>
      </c>
    </row>
    <row r="1154" spans="1:13" x14ac:dyDescent="0.25">
      <c r="A1154">
        <v>1153</v>
      </c>
      <c r="B1154" t="s">
        <v>1165</v>
      </c>
      <c r="C1154">
        <v>6</v>
      </c>
      <c r="D1154" t="s">
        <v>2948</v>
      </c>
      <c r="E1154" t="s">
        <v>2951</v>
      </c>
      <c r="F1154" t="s">
        <v>4053</v>
      </c>
      <c r="G1154" s="2">
        <v>45717</v>
      </c>
      <c r="H1154" s="2">
        <v>45720</v>
      </c>
      <c r="I1154" t="s">
        <v>5763</v>
      </c>
      <c r="J1154" t="s">
        <v>5768</v>
      </c>
      <c r="K1154">
        <v>472190.87</v>
      </c>
      <c r="L1154" t="s">
        <v>5773</v>
      </c>
      <c r="M1154">
        <v>3</v>
      </c>
    </row>
    <row r="1155" spans="1:13" x14ac:dyDescent="0.25">
      <c r="A1155">
        <v>1154</v>
      </c>
      <c r="B1155" t="s">
        <v>1166</v>
      </c>
      <c r="C1155">
        <v>11</v>
      </c>
      <c r="D1155" t="s">
        <v>2947</v>
      </c>
      <c r="E1155" t="s">
        <v>2955</v>
      </c>
      <c r="F1155" t="s">
        <v>4054</v>
      </c>
      <c r="G1155" s="2">
        <v>45829</v>
      </c>
      <c r="H1155" s="2">
        <v>45838</v>
      </c>
      <c r="I1155" t="s">
        <v>5761</v>
      </c>
      <c r="J1155" t="s">
        <v>5770</v>
      </c>
      <c r="K1155">
        <v>496900.19</v>
      </c>
      <c r="L1155" t="s">
        <v>5775</v>
      </c>
      <c r="M1155">
        <v>9</v>
      </c>
    </row>
    <row r="1156" spans="1:13" x14ac:dyDescent="0.25">
      <c r="A1156">
        <v>1155</v>
      </c>
      <c r="B1156" t="s">
        <v>1167</v>
      </c>
      <c r="C1156">
        <v>83</v>
      </c>
      <c r="D1156" t="s">
        <v>2948</v>
      </c>
      <c r="E1156" t="s">
        <v>2950</v>
      </c>
      <c r="F1156" t="s">
        <v>4055</v>
      </c>
      <c r="G1156" s="2">
        <v>45718</v>
      </c>
      <c r="H1156" s="2">
        <v>45725</v>
      </c>
      <c r="I1156" t="s">
        <v>5764</v>
      </c>
      <c r="J1156" t="s">
        <v>5770</v>
      </c>
      <c r="K1156">
        <v>491357.43</v>
      </c>
      <c r="L1156" t="s">
        <v>5773</v>
      </c>
      <c r="M1156">
        <v>7</v>
      </c>
    </row>
    <row r="1157" spans="1:13" x14ac:dyDescent="0.25">
      <c r="A1157">
        <v>1156</v>
      </c>
      <c r="B1157" t="s">
        <v>1168</v>
      </c>
      <c r="C1157">
        <v>8</v>
      </c>
      <c r="D1157" t="s">
        <v>2947</v>
      </c>
      <c r="E1157" t="s">
        <v>2954</v>
      </c>
      <c r="F1157" t="s">
        <v>4056</v>
      </c>
      <c r="G1157" s="2">
        <v>45751</v>
      </c>
      <c r="H1157" s="2">
        <v>45752</v>
      </c>
      <c r="I1157" t="s">
        <v>5765</v>
      </c>
      <c r="J1157" t="s">
        <v>5770</v>
      </c>
      <c r="K1157">
        <v>274761.14</v>
      </c>
      <c r="L1157" t="s">
        <v>5773</v>
      </c>
      <c r="M1157">
        <v>1</v>
      </c>
    </row>
    <row r="1158" spans="1:13" x14ac:dyDescent="0.25">
      <c r="A1158">
        <v>1157</v>
      </c>
      <c r="B1158" t="s">
        <v>1169</v>
      </c>
      <c r="C1158">
        <v>56</v>
      </c>
      <c r="D1158" t="s">
        <v>2947</v>
      </c>
      <c r="E1158" t="s">
        <v>2955</v>
      </c>
      <c r="F1158" t="s">
        <v>4057</v>
      </c>
      <c r="G1158" s="2">
        <v>45898</v>
      </c>
      <c r="H1158" s="2">
        <v>45903</v>
      </c>
      <c r="I1158" t="s">
        <v>5758</v>
      </c>
      <c r="J1158" t="s">
        <v>5768</v>
      </c>
      <c r="K1158">
        <v>212976.37</v>
      </c>
      <c r="L1158" t="s">
        <v>5775</v>
      </c>
      <c r="M1158">
        <v>5</v>
      </c>
    </row>
    <row r="1159" spans="1:13" x14ac:dyDescent="0.25">
      <c r="A1159">
        <v>1158</v>
      </c>
      <c r="B1159" t="s">
        <v>1170</v>
      </c>
      <c r="C1159">
        <v>22</v>
      </c>
      <c r="D1159" t="s">
        <v>2948</v>
      </c>
      <c r="E1159" t="s">
        <v>2953</v>
      </c>
      <c r="F1159" t="s">
        <v>4058</v>
      </c>
      <c r="G1159" s="2">
        <v>45630</v>
      </c>
      <c r="H1159" s="2">
        <v>45636</v>
      </c>
      <c r="I1159" t="s">
        <v>5758</v>
      </c>
      <c r="J1159" t="s">
        <v>5769</v>
      </c>
      <c r="K1159">
        <v>69392.210000000006</v>
      </c>
      <c r="L1159" t="s">
        <v>5773</v>
      </c>
      <c r="M1159">
        <v>6</v>
      </c>
    </row>
    <row r="1160" spans="1:13" x14ac:dyDescent="0.25">
      <c r="A1160">
        <v>1159</v>
      </c>
      <c r="B1160" t="s">
        <v>1171</v>
      </c>
      <c r="C1160">
        <v>57</v>
      </c>
      <c r="D1160" t="s">
        <v>2948</v>
      </c>
      <c r="E1160" t="s">
        <v>2952</v>
      </c>
      <c r="F1160" t="s">
        <v>4059</v>
      </c>
      <c r="G1160" s="2">
        <v>45556</v>
      </c>
      <c r="H1160" s="2">
        <v>45570</v>
      </c>
      <c r="I1160" t="s">
        <v>5763</v>
      </c>
      <c r="J1160" t="s">
        <v>2949</v>
      </c>
      <c r="K1160">
        <v>279004.78000000003</v>
      </c>
      <c r="L1160" t="s">
        <v>5773</v>
      </c>
      <c r="M1160">
        <v>14</v>
      </c>
    </row>
    <row r="1161" spans="1:13" x14ac:dyDescent="0.25">
      <c r="A1161">
        <v>1160</v>
      </c>
      <c r="B1161" t="s">
        <v>1172</v>
      </c>
      <c r="C1161">
        <v>22</v>
      </c>
      <c r="D1161" t="s">
        <v>2947</v>
      </c>
      <c r="E1161" t="s">
        <v>2949</v>
      </c>
      <c r="F1161" t="s">
        <v>4060</v>
      </c>
      <c r="G1161" s="2">
        <v>45891</v>
      </c>
      <c r="H1161" s="2">
        <v>45901</v>
      </c>
      <c r="I1161" t="s">
        <v>5765</v>
      </c>
      <c r="J1161" t="s">
        <v>5771</v>
      </c>
      <c r="K1161">
        <v>21782.92</v>
      </c>
      <c r="L1161" t="s">
        <v>5774</v>
      </c>
      <c r="M1161">
        <v>10</v>
      </c>
    </row>
    <row r="1162" spans="1:13" x14ac:dyDescent="0.25">
      <c r="A1162">
        <v>1161</v>
      </c>
      <c r="B1162" t="s">
        <v>1173</v>
      </c>
      <c r="C1162">
        <v>19</v>
      </c>
      <c r="D1162" t="s">
        <v>2947</v>
      </c>
      <c r="E1162" t="s">
        <v>2950</v>
      </c>
      <c r="F1162" t="s">
        <v>4061</v>
      </c>
      <c r="G1162" s="2">
        <v>45789</v>
      </c>
      <c r="H1162" s="2">
        <v>45793</v>
      </c>
      <c r="I1162" t="s">
        <v>5758</v>
      </c>
      <c r="J1162" t="s">
        <v>5770</v>
      </c>
      <c r="K1162">
        <v>383033.97</v>
      </c>
      <c r="L1162" t="s">
        <v>5773</v>
      </c>
      <c r="M1162">
        <v>4</v>
      </c>
    </row>
    <row r="1163" spans="1:13" x14ac:dyDescent="0.25">
      <c r="A1163">
        <v>1162</v>
      </c>
      <c r="B1163" t="s">
        <v>1174</v>
      </c>
      <c r="C1163">
        <v>75</v>
      </c>
      <c r="D1163" t="s">
        <v>2947</v>
      </c>
      <c r="E1163" t="s">
        <v>2954</v>
      </c>
      <c r="F1163" t="s">
        <v>4062</v>
      </c>
      <c r="G1163" s="2">
        <v>45647</v>
      </c>
      <c r="H1163" s="2">
        <v>45662</v>
      </c>
      <c r="I1163" t="s">
        <v>5765</v>
      </c>
      <c r="J1163" t="s">
        <v>5769</v>
      </c>
      <c r="K1163">
        <v>189112.01</v>
      </c>
      <c r="L1163" t="s">
        <v>5773</v>
      </c>
      <c r="M1163">
        <v>15</v>
      </c>
    </row>
    <row r="1164" spans="1:13" x14ac:dyDescent="0.25">
      <c r="A1164">
        <v>1163</v>
      </c>
      <c r="B1164" t="s">
        <v>1175</v>
      </c>
      <c r="C1164">
        <v>50</v>
      </c>
      <c r="D1164" t="s">
        <v>2948</v>
      </c>
      <c r="E1164" t="s">
        <v>2951</v>
      </c>
      <c r="F1164" t="s">
        <v>4063</v>
      </c>
      <c r="G1164" s="2">
        <v>45618</v>
      </c>
      <c r="H1164" s="2">
        <v>45631</v>
      </c>
      <c r="I1164" t="s">
        <v>5759</v>
      </c>
      <c r="J1164" t="s">
        <v>2949</v>
      </c>
      <c r="K1164">
        <v>74502.11</v>
      </c>
      <c r="L1164" t="s">
        <v>5773</v>
      </c>
      <c r="M1164">
        <v>13</v>
      </c>
    </row>
    <row r="1165" spans="1:13" x14ac:dyDescent="0.25">
      <c r="A1165">
        <v>1164</v>
      </c>
      <c r="B1165" t="s">
        <v>1176</v>
      </c>
      <c r="C1165">
        <v>56</v>
      </c>
      <c r="D1165" t="s">
        <v>2948</v>
      </c>
      <c r="E1165" t="s">
        <v>2951</v>
      </c>
      <c r="F1165" t="s">
        <v>2155</v>
      </c>
      <c r="G1165" s="2">
        <v>45684</v>
      </c>
      <c r="H1165" s="2">
        <v>45688</v>
      </c>
      <c r="I1165" t="s">
        <v>5763</v>
      </c>
      <c r="J1165" t="s">
        <v>5771</v>
      </c>
      <c r="K1165">
        <v>272701.26</v>
      </c>
      <c r="L1165" t="s">
        <v>5773</v>
      </c>
      <c r="M1165">
        <v>4</v>
      </c>
    </row>
    <row r="1166" spans="1:13" x14ac:dyDescent="0.25">
      <c r="A1166">
        <v>1165</v>
      </c>
      <c r="B1166" t="s">
        <v>1177</v>
      </c>
      <c r="C1166">
        <v>72</v>
      </c>
      <c r="D1166" t="s">
        <v>2947</v>
      </c>
      <c r="E1166" t="s">
        <v>2951</v>
      </c>
      <c r="F1166" t="s">
        <v>4064</v>
      </c>
      <c r="G1166" s="2">
        <v>45843</v>
      </c>
      <c r="H1166" s="2">
        <v>45846</v>
      </c>
      <c r="I1166" t="s">
        <v>5762</v>
      </c>
      <c r="J1166" t="s">
        <v>2949</v>
      </c>
      <c r="K1166">
        <v>428452.24</v>
      </c>
      <c r="L1166" t="s">
        <v>5775</v>
      </c>
      <c r="M1166">
        <v>3</v>
      </c>
    </row>
    <row r="1167" spans="1:13" x14ac:dyDescent="0.25">
      <c r="A1167">
        <v>1166</v>
      </c>
      <c r="B1167" t="s">
        <v>1178</v>
      </c>
      <c r="C1167">
        <v>47</v>
      </c>
      <c r="D1167" t="s">
        <v>2947</v>
      </c>
      <c r="E1167" t="s">
        <v>2950</v>
      </c>
      <c r="F1167" t="s">
        <v>4065</v>
      </c>
      <c r="G1167" s="2">
        <v>45568</v>
      </c>
      <c r="H1167" s="2">
        <v>45578</v>
      </c>
      <c r="I1167" t="s">
        <v>5767</v>
      </c>
      <c r="J1167" t="s">
        <v>5772</v>
      </c>
      <c r="K1167">
        <v>85685.69</v>
      </c>
      <c r="L1167" t="s">
        <v>5775</v>
      </c>
      <c r="M1167">
        <v>10</v>
      </c>
    </row>
    <row r="1168" spans="1:13" x14ac:dyDescent="0.25">
      <c r="A1168">
        <v>1167</v>
      </c>
      <c r="B1168" t="s">
        <v>1179</v>
      </c>
      <c r="C1168">
        <v>17</v>
      </c>
      <c r="D1168" t="s">
        <v>2947</v>
      </c>
      <c r="E1168" t="s">
        <v>2949</v>
      </c>
      <c r="F1168" t="s">
        <v>4066</v>
      </c>
      <c r="G1168" s="2">
        <v>45907</v>
      </c>
      <c r="H1168" s="2">
        <v>45909</v>
      </c>
      <c r="I1168" t="s">
        <v>5764</v>
      </c>
      <c r="J1168" t="s">
        <v>5768</v>
      </c>
      <c r="K1168">
        <v>368342</v>
      </c>
      <c r="L1168" t="s">
        <v>5773</v>
      </c>
      <c r="M1168">
        <v>2</v>
      </c>
    </row>
    <row r="1169" spans="1:13" x14ac:dyDescent="0.25">
      <c r="A1169">
        <v>1168</v>
      </c>
      <c r="B1169" t="s">
        <v>1180</v>
      </c>
      <c r="C1169">
        <v>49</v>
      </c>
      <c r="D1169" t="s">
        <v>2947</v>
      </c>
      <c r="E1169" t="s">
        <v>2955</v>
      </c>
      <c r="F1169" t="s">
        <v>4067</v>
      </c>
      <c r="G1169" s="2">
        <v>45854</v>
      </c>
      <c r="H1169" s="2">
        <v>45858</v>
      </c>
      <c r="I1169" t="s">
        <v>5767</v>
      </c>
      <c r="J1169" t="s">
        <v>5768</v>
      </c>
      <c r="K1169">
        <v>98755.41</v>
      </c>
      <c r="L1169" t="s">
        <v>5775</v>
      </c>
      <c r="M1169">
        <v>4</v>
      </c>
    </row>
    <row r="1170" spans="1:13" x14ac:dyDescent="0.25">
      <c r="A1170">
        <v>1169</v>
      </c>
      <c r="B1170" t="s">
        <v>1181</v>
      </c>
      <c r="C1170">
        <v>86</v>
      </c>
      <c r="D1170" t="s">
        <v>2948</v>
      </c>
      <c r="E1170" t="s">
        <v>2950</v>
      </c>
      <c r="F1170" t="s">
        <v>91</v>
      </c>
      <c r="G1170" s="2">
        <v>45747</v>
      </c>
      <c r="H1170" s="2">
        <v>45749</v>
      </c>
      <c r="I1170" t="s">
        <v>5760</v>
      </c>
      <c r="J1170" t="s">
        <v>5769</v>
      </c>
      <c r="K1170">
        <v>233947.06</v>
      </c>
      <c r="L1170" t="s">
        <v>5773</v>
      </c>
      <c r="M1170">
        <v>2</v>
      </c>
    </row>
    <row r="1171" spans="1:13" x14ac:dyDescent="0.25">
      <c r="A1171">
        <v>1170</v>
      </c>
      <c r="B1171" t="s">
        <v>1182</v>
      </c>
      <c r="C1171">
        <v>40</v>
      </c>
      <c r="D1171" t="s">
        <v>2947</v>
      </c>
      <c r="E1171" t="s">
        <v>2951</v>
      </c>
      <c r="F1171" t="s">
        <v>4068</v>
      </c>
      <c r="G1171" s="2">
        <v>45706</v>
      </c>
      <c r="H1171" s="2">
        <v>45709</v>
      </c>
      <c r="I1171" t="s">
        <v>5764</v>
      </c>
      <c r="J1171" t="s">
        <v>5769</v>
      </c>
      <c r="K1171">
        <v>143674.35</v>
      </c>
      <c r="L1171" t="s">
        <v>5773</v>
      </c>
      <c r="M1171">
        <v>3</v>
      </c>
    </row>
    <row r="1172" spans="1:13" x14ac:dyDescent="0.25">
      <c r="A1172">
        <v>1171</v>
      </c>
      <c r="B1172" t="s">
        <v>1183</v>
      </c>
      <c r="C1172">
        <v>74</v>
      </c>
      <c r="D1172" t="s">
        <v>2948</v>
      </c>
      <c r="E1172" t="s">
        <v>2952</v>
      </c>
      <c r="F1172" t="s">
        <v>4069</v>
      </c>
      <c r="G1172" s="2">
        <v>45860</v>
      </c>
      <c r="H1172" s="2">
        <v>45870</v>
      </c>
      <c r="I1172" t="s">
        <v>5766</v>
      </c>
      <c r="J1172" t="s">
        <v>2949</v>
      </c>
      <c r="K1172">
        <v>288559.15000000002</v>
      </c>
      <c r="L1172" t="s">
        <v>5774</v>
      </c>
      <c r="M1172">
        <v>10</v>
      </c>
    </row>
    <row r="1173" spans="1:13" x14ac:dyDescent="0.25">
      <c r="A1173">
        <v>1172</v>
      </c>
      <c r="B1173" t="s">
        <v>1184</v>
      </c>
      <c r="C1173">
        <v>5</v>
      </c>
      <c r="D1173" t="s">
        <v>2948</v>
      </c>
      <c r="E1173" t="s">
        <v>2951</v>
      </c>
      <c r="F1173" t="s">
        <v>4070</v>
      </c>
      <c r="G1173" s="2">
        <v>45565</v>
      </c>
      <c r="H1173" s="2">
        <v>45578</v>
      </c>
      <c r="I1173" t="s">
        <v>5763</v>
      </c>
      <c r="J1173" t="s">
        <v>5768</v>
      </c>
      <c r="K1173">
        <v>69145.070000000007</v>
      </c>
      <c r="L1173" t="s">
        <v>5774</v>
      </c>
      <c r="M1173">
        <v>13</v>
      </c>
    </row>
    <row r="1174" spans="1:13" x14ac:dyDescent="0.25">
      <c r="A1174">
        <v>1173</v>
      </c>
      <c r="B1174" t="s">
        <v>1185</v>
      </c>
      <c r="C1174">
        <v>47</v>
      </c>
      <c r="D1174" t="s">
        <v>2947</v>
      </c>
      <c r="E1174" t="s">
        <v>2950</v>
      </c>
      <c r="F1174" t="s">
        <v>4071</v>
      </c>
      <c r="G1174" s="2">
        <v>45627</v>
      </c>
      <c r="H1174" s="2">
        <v>45641</v>
      </c>
      <c r="I1174" t="s">
        <v>5760</v>
      </c>
      <c r="J1174" t="s">
        <v>5771</v>
      </c>
      <c r="K1174">
        <v>496197.3</v>
      </c>
      <c r="L1174" t="s">
        <v>5773</v>
      </c>
      <c r="M1174">
        <v>14</v>
      </c>
    </row>
    <row r="1175" spans="1:13" x14ac:dyDescent="0.25">
      <c r="A1175">
        <v>1174</v>
      </c>
      <c r="B1175" t="s">
        <v>1186</v>
      </c>
      <c r="C1175">
        <v>80</v>
      </c>
      <c r="D1175" t="s">
        <v>2947</v>
      </c>
      <c r="E1175" t="s">
        <v>2951</v>
      </c>
      <c r="F1175" t="s">
        <v>4072</v>
      </c>
      <c r="G1175" s="2">
        <v>45782</v>
      </c>
      <c r="H1175" s="2">
        <v>45795</v>
      </c>
      <c r="I1175" t="s">
        <v>5763</v>
      </c>
      <c r="J1175" t="s">
        <v>5771</v>
      </c>
      <c r="K1175">
        <v>326822.53999999998</v>
      </c>
      <c r="L1175" t="s">
        <v>5774</v>
      </c>
      <c r="M1175">
        <v>13</v>
      </c>
    </row>
    <row r="1176" spans="1:13" x14ac:dyDescent="0.25">
      <c r="A1176">
        <v>1175</v>
      </c>
      <c r="B1176" t="s">
        <v>1187</v>
      </c>
      <c r="C1176">
        <v>39</v>
      </c>
      <c r="D1176" t="s">
        <v>2947</v>
      </c>
      <c r="E1176" t="s">
        <v>2950</v>
      </c>
      <c r="F1176" t="s">
        <v>4073</v>
      </c>
      <c r="G1176" s="2">
        <v>45581</v>
      </c>
      <c r="H1176" s="2">
        <v>45592</v>
      </c>
      <c r="I1176" t="s">
        <v>5761</v>
      </c>
      <c r="J1176" t="s">
        <v>5768</v>
      </c>
      <c r="K1176">
        <v>198160.45</v>
      </c>
      <c r="L1176" t="s">
        <v>5775</v>
      </c>
      <c r="M1176">
        <v>11</v>
      </c>
    </row>
    <row r="1177" spans="1:13" x14ac:dyDescent="0.25">
      <c r="A1177">
        <v>1176</v>
      </c>
      <c r="B1177" t="s">
        <v>1188</v>
      </c>
      <c r="C1177">
        <v>15</v>
      </c>
      <c r="D1177" t="s">
        <v>2947</v>
      </c>
      <c r="E1177" t="s">
        <v>2954</v>
      </c>
      <c r="F1177" t="s">
        <v>4074</v>
      </c>
      <c r="G1177" s="2">
        <v>45615</v>
      </c>
      <c r="H1177" s="2">
        <v>45625</v>
      </c>
      <c r="I1177" t="s">
        <v>5760</v>
      </c>
      <c r="J1177" t="s">
        <v>5772</v>
      </c>
      <c r="K1177">
        <v>270844.34000000003</v>
      </c>
      <c r="L1177" t="s">
        <v>5775</v>
      </c>
      <c r="M1177">
        <v>10</v>
      </c>
    </row>
    <row r="1178" spans="1:13" x14ac:dyDescent="0.25">
      <c r="A1178">
        <v>1177</v>
      </c>
      <c r="B1178" t="s">
        <v>1189</v>
      </c>
      <c r="C1178">
        <v>86</v>
      </c>
      <c r="D1178" t="s">
        <v>2947</v>
      </c>
      <c r="E1178" t="s">
        <v>2952</v>
      </c>
      <c r="F1178" t="s">
        <v>4075</v>
      </c>
      <c r="G1178" s="2">
        <v>45858</v>
      </c>
      <c r="H1178" s="2">
        <v>45859</v>
      </c>
      <c r="I1178" t="s">
        <v>5758</v>
      </c>
      <c r="J1178" t="s">
        <v>5772</v>
      </c>
      <c r="K1178">
        <v>113476.07</v>
      </c>
      <c r="L1178" t="s">
        <v>5775</v>
      </c>
      <c r="M1178">
        <v>1</v>
      </c>
    </row>
    <row r="1179" spans="1:13" x14ac:dyDescent="0.25">
      <c r="A1179">
        <v>1178</v>
      </c>
      <c r="B1179" t="s">
        <v>1190</v>
      </c>
      <c r="C1179">
        <v>18</v>
      </c>
      <c r="D1179" t="s">
        <v>2947</v>
      </c>
      <c r="E1179" t="s">
        <v>2950</v>
      </c>
      <c r="F1179" t="s">
        <v>4076</v>
      </c>
      <c r="G1179" s="2">
        <v>45832</v>
      </c>
      <c r="H1179" s="2">
        <v>45847</v>
      </c>
      <c r="I1179" t="s">
        <v>5760</v>
      </c>
      <c r="J1179" t="s">
        <v>5772</v>
      </c>
      <c r="K1179">
        <v>219263.82</v>
      </c>
      <c r="L1179" t="s">
        <v>5775</v>
      </c>
      <c r="M1179">
        <v>15</v>
      </c>
    </row>
    <row r="1180" spans="1:13" x14ac:dyDescent="0.25">
      <c r="A1180">
        <v>1179</v>
      </c>
      <c r="B1180" t="s">
        <v>1191</v>
      </c>
      <c r="C1180">
        <v>45</v>
      </c>
      <c r="D1180" t="s">
        <v>2947</v>
      </c>
      <c r="E1180" t="s">
        <v>2951</v>
      </c>
      <c r="F1180" t="s">
        <v>4077</v>
      </c>
      <c r="G1180" s="2">
        <v>45748</v>
      </c>
      <c r="H1180" s="2">
        <v>45759</v>
      </c>
      <c r="I1180" t="s">
        <v>5761</v>
      </c>
      <c r="J1180" t="s">
        <v>5769</v>
      </c>
      <c r="K1180">
        <v>88797.59</v>
      </c>
      <c r="L1180" t="s">
        <v>5774</v>
      </c>
      <c r="M1180">
        <v>11</v>
      </c>
    </row>
    <row r="1181" spans="1:13" x14ac:dyDescent="0.25">
      <c r="A1181">
        <v>1180</v>
      </c>
      <c r="B1181" t="s">
        <v>1192</v>
      </c>
      <c r="C1181">
        <v>60</v>
      </c>
      <c r="D1181" t="s">
        <v>2948</v>
      </c>
      <c r="E1181" t="s">
        <v>2949</v>
      </c>
      <c r="F1181" t="s">
        <v>4078</v>
      </c>
      <c r="G1181" s="2">
        <v>45580</v>
      </c>
      <c r="H1181" s="2">
        <v>45588</v>
      </c>
      <c r="I1181" t="s">
        <v>5767</v>
      </c>
      <c r="J1181" t="s">
        <v>5772</v>
      </c>
      <c r="K1181">
        <v>185590.89</v>
      </c>
      <c r="L1181" t="s">
        <v>5773</v>
      </c>
      <c r="M1181">
        <v>8</v>
      </c>
    </row>
    <row r="1182" spans="1:13" x14ac:dyDescent="0.25">
      <c r="A1182">
        <v>1181</v>
      </c>
      <c r="B1182" t="s">
        <v>1193</v>
      </c>
      <c r="C1182">
        <v>51</v>
      </c>
      <c r="D1182" t="s">
        <v>2947</v>
      </c>
      <c r="E1182" t="s">
        <v>2949</v>
      </c>
      <c r="F1182" t="s">
        <v>4079</v>
      </c>
      <c r="G1182" s="2">
        <v>45707</v>
      </c>
      <c r="H1182" s="2">
        <v>45717</v>
      </c>
      <c r="I1182" t="s">
        <v>5758</v>
      </c>
      <c r="J1182" t="s">
        <v>5772</v>
      </c>
      <c r="K1182">
        <v>148077.69</v>
      </c>
      <c r="L1182" t="s">
        <v>5774</v>
      </c>
      <c r="M1182">
        <v>10</v>
      </c>
    </row>
    <row r="1183" spans="1:13" x14ac:dyDescent="0.25">
      <c r="A1183">
        <v>1182</v>
      </c>
      <c r="B1183" t="s">
        <v>1194</v>
      </c>
      <c r="C1183">
        <v>72</v>
      </c>
      <c r="D1183" t="s">
        <v>2947</v>
      </c>
      <c r="E1183" t="s">
        <v>2955</v>
      </c>
      <c r="F1183" t="s">
        <v>4080</v>
      </c>
      <c r="G1183" s="2">
        <v>45549</v>
      </c>
      <c r="H1183" s="2">
        <v>45552</v>
      </c>
      <c r="I1183" t="s">
        <v>5765</v>
      </c>
      <c r="J1183" t="s">
        <v>5768</v>
      </c>
      <c r="K1183">
        <v>268382.90000000002</v>
      </c>
      <c r="L1183" t="s">
        <v>5773</v>
      </c>
      <c r="M1183">
        <v>3</v>
      </c>
    </row>
    <row r="1184" spans="1:13" x14ac:dyDescent="0.25">
      <c r="A1184">
        <v>1183</v>
      </c>
      <c r="B1184" t="s">
        <v>1195</v>
      </c>
      <c r="C1184">
        <v>28</v>
      </c>
      <c r="D1184" t="s">
        <v>2948</v>
      </c>
      <c r="E1184" t="s">
        <v>2950</v>
      </c>
      <c r="F1184" t="s">
        <v>4081</v>
      </c>
      <c r="G1184" s="2">
        <v>45863</v>
      </c>
      <c r="H1184" s="2">
        <v>45869</v>
      </c>
      <c r="I1184" t="s">
        <v>5763</v>
      </c>
      <c r="J1184" t="s">
        <v>5768</v>
      </c>
      <c r="K1184">
        <v>207656.61</v>
      </c>
      <c r="L1184" t="s">
        <v>5775</v>
      </c>
      <c r="M1184">
        <v>6</v>
      </c>
    </row>
    <row r="1185" spans="1:13" x14ac:dyDescent="0.25">
      <c r="A1185">
        <v>1184</v>
      </c>
      <c r="B1185" t="s">
        <v>1196</v>
      </c>
      <c r="C1185">
        <v>20</v>
      </c>
      <c r="D1185" t="s">
        <v>2948</v>
      </c>
      <c r="E1185" t="s">
        <v>2952</v>
      </c>
      <c r="F1185" t="s">
        <v>4082</v>
      </c>
      <c r="G1185" s="2">
        <v>45587</v>
      </c>
      <c r="H1185" s="2">
        <v>45593</v>
      </c>
      <c r="I1185" t="s">
        <v>5762</v>
      </c>
      <c r="J1185" t="s">
        <v>5768</v>
      </c>
      <c r="K1185">
        <v>22432.79</v>
      </c>
      <c r="L1185" t="s">
        <v>5774</v>
      </c>
      <c r="M1185">
        <v>6</v>
      </c>
    </row>
    <row r="1186" spans="1:13" x14ac:dyDescent="0.25">
      <c r="A1186">
        <v>1185</v>
      </c>
      <c r="B1186" t="s">
        <v>1197</v>
      </c>
      <c r="C1186">
        <v>90</v>
      </c>
      <c r="D1186" t="s">
        <v>2947</v>
      </c>
      <c r="E1186" t="s">
        <v>2950</v>
      </c>
      <c r="F1186" t="s">
        <v>4083</v>
      </c>
      <c r="G1186" s="2">
        <v>45552</v>
      </c>
      <c r="H1186" s="2">
        <v>45554</v>
      </c>
      <c r="I1186" t="s">
        <v>5764</v>
      </c>
      <c r="J1186" t="s">
        <v>2949</v>
      </c>
      <c r="K1186">
        <v>113819.9</v>
      </c>
      <c r="L1186" t="s">
        <v>5773</v>
      </c>
      <c r="M1186">
        <v>2</v>
      </c>
    </row>
    <row r="1187" spans="1:13" x14ac:dyDescent="0.25">
      <c r="A1187">
        <v>1186</v>
      </c>
      <c r="B1187" t="s">
        <v>1198</v>
      </c>
      <c r="C1187">
        <v>67</v>
      </c>
      <c r="D1187" t="s">
        <v>2948</v>
      </c>
      <c r="E1187" t="s">
        <v>2952</v>
      </c>
      <c r="F1187" t="s">
        <v>4084</v>
      </c>
      <c r="G1187" s="2">
        <v>45835</v>
      </c>
      <c r="H1187" s="2">
        <v>45836</v>
      </c>
      <c r="I1187" t="s">
        <v>5764</v>
      </c>
      <c r="J1187" t="s">
        <v>2949</v>
      </c>
      <c r="K1187">
        <v>332274.28999999998</v>
      </c>
      <c r="L1187" t="s">
        <v>5774</v>
      </c>
      <c r="M1187">
        <v>1</v>
      </c>
    </row>
    <row r="1188" spans="1:13" x14ac:dyDescent="0.25">
      <c r="A1188">
        <v>1187</v>
      </c>
      <c r="B1188" t="s">
        <v>1199</v>
      </c>
      <c r="C1188">
        <v>78</v>
      </c>
      <c r="D1188" t="s">
        <v>2948</v>
      </c>
      <c r="E1188" t="s">
        <v>2953</v>
      </c>
      <c r="F1188" t="s">
        <v>4085</v>
      </c>
      <c r="G1188" s="2">
        <v>45628</v>
      </c>
      <c r="H1188" s="2">
        <v>45630</v>
      </c>
      <c r="I1188" t="s">
        <v>5762</v>
      </c>
      <c r="J1188" t="s">
        <v>5772</v>
      </c>
      <c r="K1188">
        <v>436595.43</v>
      </c>
      <c r="L1188" t="s">
        <v>5773</v>
      </c>
      <c r="M1188">
        <v>2</v>
      </c>
    </row>
    <row r="1189" spans="1:13" x14ac:dyDescent="0.25">
      <c r="A1189">
        <v>1188</v>
      </c>
      <c r="B1189" t="s">
        <v>1200</v>
      </c>
      <c r="C1189">
        <v>62</v>
      </c>
      <c r="D1189" t="s">
        <v>2948</v>
      </c>
      <c r="E1189" t="s">
        <v>2952</v>
      </c>
      <c r="F1189" t="s">
        <v>4086</v>
      </c>
      <c r="G1189" s="2">
        <v>45810</v>
      </c>
      <c r="H1189" s="2">
        <v>45814</v>
      </c>
      <c r="I1189" t="s">
        <v>5761</v>
      </c>
      <c r="J1189" t="s">
        <v>5769</v>
      </c>
      <c r="K1189">
        <v>352148.51</v>
      </c>
      <c r="L1189" t="s">
        <v>5774</v>
      </c>
      <c r="M1189">
        <v>4</v>
      </c>
    </row>
    <row r="1190" spans="1:13" x14ac:dyDescent="0.25">
      <c r="A1190">
        <v>1189</v>
      </c>
      <c r="B1190" t="s">
        <v>1201</v>
      </c>
      <c r="C1190">
        <v>64</v>
      </c>
      <c r="D1190" t="s">
        <v>2948</v>
      </c>
      <c r="E1190" t="s">
        <v>2951</v>
      </c>
      <c r="F1190" t="s">
        <v>4087</v>
      </c>
      <c r="G1190" s="2">
        <v>45733</v>
      </c>
      <c r="H1190" s="2">
        <v>45744</v>
      </c>
      <c r="I1190" t="s">
        <v>5760</v>
      </c>
      <c r="J1190" t="s">
        <v>2949</v>
      </c>
      <c r="K1190">
        <v>309226.96000000002</v>
      </c>
      <c r="L1190" t="s">
        <v>5774</v>
      </c>
      <c r="M1190">
        <v>11</v>
      </c>
    </row>
    <row r="1191" spans="1:13" x14ac:dyDescent="0.25">
      <c r="A1191">
        <v>1190</v>
      </c>
      <c r="B1191" t="s">
        <v>1202</v>
      </c>
      <c r="C1191">
        <v>38</v>
      </c>
      <c r="D1191" t="s">
        <v>2948</v>
      </c>
      <c r="E1191" t="s">
        <v>2955</v>
      </c>
      <c r="F1191" t="s">
        <v>4088</v>
      </c>
      <c r="G1191" s="2">
        <v>45807</v>
      </c>
      <c r="H1191" s="2">
        <v>45822</v>
      </c>
      <c r="I1191" t="s">
        <v>5765</v>
      </c>
      <c r="J1191" t="s">
        <v>5769</v>
      </c>
      <c r="K1191">
        <v>102296.05</v>
      </c>
      <c r="L1191" t="s">
        <v>5773</v>
      </c>
      <c r="M1191">
        <v>15</v>
      </c>
    </row>
    <row r="1192" spans="1:13" x14ac:dyDescent="0.25">
      <c r="A1192">
        <v>1191</v>
      </c>
      <c r="B1192" t="s">
        <v>1203</v>
      </c>
      <c r="C1192">
        <v>71</v>
      </c>
      <c r="D1192" t="s">
        <v>2947</v>
      </c>
      <c r="E1192" t="s">
        <v>2949</v>
      </c>
      <c r="F1192" t="s">
        <v>4089</v>
      </c>
      <c r="G1192" s="2">
        <v>45562</v>
      </c>
      <c r="H1192" s="2">
        <v>45569</v>
      </c>
      <c r="I1192" t="s">
        <v>5761</v>
      </c>
      <c r="J1192" t="s">
        <v>2949</v>
      </c>
      <c r="K1192">
        <v>243245.17</v>
      </c>
      <c r="L1192" t="s">
        <v>5775</v>
      </c>
      <c r="M1192">
        <v>7</v>
      </c>
    </row>
    <row r="1193" spans="1:13" x14ac:dyDescent="0.25">
      <c r="A1193">
        <v>1192</v>
      </c>
      <c r="B1193" t="s">
        <v>1204</v>
      </c>
      <c r="C1193">
        <v>14</v>
      </c>
      <c r="D1193" t="s">
        <v>2947</v>
      </c>
      <c r="E1193" t="s">
        <v>2950</v>
      </c>
      <c r="F1193" t="s">
        <v>4090</v>
      </c>
      <c r="G1193" s="2">
        <v>45900</v>
      </c>
      <c r="H1193" s="2">
        <v>45903</v>
      </c>
      <c r="I1193" t="s">
        <v>5758</v>
      </c>
      <c r="J1193" t="s">
        <v>2949</v>
      </c>
      <c r="K1193">
        <v>279844.09999999998</v>
      </c>
      <c r="L1193" t="s">
        <v>5775</v>
      </c>
      <c r="M1193">
        <v>3</v>
      </c>
    </row>
    <row r="1194" spans="1:13" x14ac:dyDescent="0.25">
      <c r="A1194">
        <v>1193</v>
      </c>
      <c r="B1194" t="s">
        <v>1205</v>
      </c>
      <c r="C1194">
        <v>34</v>
      </c>
      <c r="D1194" t="s">
        <v>2947</v>
      </c>
      <c r="E1194" t="s">
        <v>2954</v>
      </c>
      <c r="F1194" t="s">
        <v>4091</v>
      </c>
      <c r="G1194" s="2">
        <v>45726</v>
      </c>
      <c r="H1194" s="2">
        <v>45735</v>
      </c>
      <c r="I1194" t="s">
        <v>5765</v>
      </c>
      <c r="J1194" t="s">
        <v>5769</v>
      </c>
      <c r="K1194">
        <v>441230.69</v>
      </c>
      <c r="L1194" t="s">
        <v>5775</v>
      </c>
      <c r="M1194">
        <v>9</v>
      </c>
    </row>
    <row r="1195" spans="1:13" x14ac:dyDescent="0.25">
      <c r="A1195">
        <v>1194</v>
      </c>
      <c r="B1195" t="s">
        <v>1206</v>
      </c>
      <c r="C1195">
        <v>7</v>
      </c>
      <c r="D1195" t="s">
        <v>2947</v>
      </c>
      <c r="E1195" t="s">
        <v>2951</v>
      </c>
      <c r="F1195" t="s">
        <v>4092</v>
      </c>
      <c r="G1195" s="2">
        <v>45626</v>
      </c>
      <c r="H1195" s="2">
        <v>45641</v>
      </c>
      <c r="I1195" t="s">
        <v>5760</v>
      </c>
      <c r="J1195" t="s">
        <v>5772</v>
      </c>
      <c r="K1195">
        <v>345561.05</v>
      </c>
      <c r="L1195" t="s">
        <v>5775</v>
      </c>
      <c r="M1195">
        <v>15</v>
      </c>
    </row>
    <row r="1196" spans="1:13" x14ac:dyDescent="0.25">
      <c r="A1196">
        <v>1195</v>
      </c>
      <c r="B1196" t="s">
        <v>1207</v>
      </c>
      <c r="C1196">
        <v>5</v>
      </c>
      <c r="D1196" t="s">
        <v>2947</v>
      </c>
      <c r="E1196" t="s">
        <v>2955</v>
      </c>
      <c r="F1196" t="s">
        <v>4093</v>
      </c>
      <c r="G1196" s="2">
        <v>45809</v>
      </c>
      <c r="H1196" s="2">
        <v>45821</v>
      </c>
      <c r="I1196" t="s">
        <v>5758</v>
      </c>
      <c r="J1196" t="s">
        <v>5772</v>
      </c>
      <c r="K1196">
        <v>317437.61</v>
      </c>
      <c r="L1196" t="s">
        <v>5775</v>
      </c>
      <c r="M1196">
        <v>12</v>
      </c>
    </row>
    <row r="1197" spans="1:13" x14ac:dyDescent="0.25">
      <c r="A1197">
        <v>1196</v>
      </c>
      <c r="B1197" t="s">
        <v>1208</v>
      </c>
      <c r="C1197">
        <v>36</v>
      </c>
      <c r="D1197" t="s">
        <v>2947</v>
      </c>
      <c r="E1197" t="s">
        <v>2953</v>
      </c>
      <c r="F1197" t="s">
        <v>4094</v>
      </c>
      <c r="G1197" s="2">
        <v>45778</v>
      </c>
      <c r="H1197" s="2">
        <v>45790</v>
      </c>
      <c r="I1197" t="s">
        <v>5767</v>
      </c>
      <c r="J1197" t="s">
        <v>5769</v>
      </c>
      <c r="K1197">
        <v>60891.18</v>
      </c>
      <c r="L1197" t="s">
        <v>5773</v>
      </c>
      <c r="M1197">
        <v>12</v>
      </c>
    </row>
    <row r="1198" spans="1:13" x14ac:dyDescent="0.25">
      <c r="A1198">
        <v>1197</v>
      </c>
      <c r="B1198" t="s">
        <v>1209</v>
      </c>
      <c r="C1198">
        <v>82</v>
      </c>
      <c r="D1198" t="s">
        <v>2947</v>
      </c>
      <c r="E1198" t="s">
        <v>2951</v>
      </c>
      <c r="F1198" t="s">
        <v>4095</v>
      </c>
      <c r="G1198" s="2">
        <v>45586</v>
      </c>
      <c r="H1198" s="2">
        <v>45598</v>
      </c>
      <c r="I1198" t="s">
        <v>5761</v>
      </c>
      <c r="J1198" t="s">
        <v>5771</v>
      </c>
      <c r="K1198">
        <v>184606.39</v>
      </c>
      <c r="L1198" t="s">
        <v>5773</v>
      </c>
      <c r="M1198">
        <v>12</v>
      </c>
    </row>
    <row r="1199" spans="1:13" x14ac:dyDescent="0.25">
      <c r="A1199">
        <v>1198</v>
      </c>
      <c r="B1199" t="s">
        <v>1210</v>
      </c>
      <c r="C1199">
        <v>58</v>
      </c>
      <c r="D1199" t="s">
        <v>2947</v>
      </c>
      <c r="E1199" t="s">
        <v>2951</v>
      </c>
      <c r="F1199" t="s">
        <v>4096</v>
      </c>
      <c r="G1199" s="2">
        <v>45661</v>
      </c>
      <c r="H1199" s="2">
        <v>45662</v>
      </c>
      <c r="I1199" t="s">
        <v>5759</v>
      </c>
      <c r="J1199" t="s">
        <v>5772</v>
      </c>
      <c r="K1199">
        <v>153843.54</v>
      </c>
      <c r="L1199" t="s">
        <v>5773</v>
      </c>
      <c r="M1199">
        <v>1</v>
      </c>
    </row>
    <row r="1200" spans="1:13" x14ac:dyDescent="0.25">
      <c r="A1200">
        <v>1199</v>
      </c>
      <c r="B1200" t="s">
        <v>1211</v>
      </c>
      <c r="C1200">
        <v>55</v>
      </c>
      <c r="D1200" t="s">
        <v>2947</v>
      </c>
      <c r="E1200" t="s">
        <v>2955</v>
      </c>
      <c r="F1200" t="s">
        <v>2419</v>
      </c>
      <c r="G1200" s="2">
        <v>45865</v>
      </c>
      <c r="H1200" s="2">
        <v>45870</v>
      </c>
      <c r="I1200" t="s">
        <v>5758</v>
      </c>
      <c r="J1200" t="s">
        <v>5772</v>
      </c>
      <c r="K1200">
        <v>315460.36</v>
      </c>
      <c r="L1200" t="s">
        <v>5774</v>
      </c>
      <c r="M1200">
        <v>5</v>
      </c>
    </row>
    <row r="1201" spans="1:13" x14ac:dyDescent="0.25">
      <c r="A1201">
        <v>1200</v>
      </c>
      <c r="B1201" t="s">
        <v>1212</v>
      </c>
      <c r="C1201">
        <v>4</v>
      </c>
      <c r="D1201" t="s">
        <v>2948</v>
      </c>
      <c r="E1201" t="s">
        <v>2953</v>
      </c>
      <c r="F1201" t="s">
        <v>4097</v>
      </c>
      <c r="G1201" s="2">
        <v>45693</v>
      </c>
      <c r="H1201" s="2">
        <v>45704</v>
      </c>
      <c r="I1201" t="s">
        <v>5767</v>
      </c>
      <c r="J1201" t="s">
        <v>5769</v>
      </c>
      <c r="K1201">
        <v>311338.96999999997</v>
      </c>
      <c r="L1201" t="s">
        <v>5775</v>
      </c>
      <c r="M1201">
        <v>11</v>
      </c>
    </row>
    <row r="1202" spans="1:13" x14ac:dyDescent="0.25">
      <c r="A1202">
        <v>1201</v>
      </c>
      <c r="B1202" t="s">
        <v>1213</v>
      </c>
      <c r="C1202">
        <v>54</v>
      </c>
      <c r="D1202" t="s">
        <v>2948</v>
      </c>
      <c r="E1202" t="s">
        <v>2955</v>
      </c>
      <c r="F1202" t="s">
        <v>4098</v>
      </c>
      <c r="G1202" s="2">
        <v>45574</v>
      </c>
      <c r="H1202" s="2">
        <v>45577</v>
      </c>
      <c r="I1202" t="s">
        <v>5763</v>
      </c>
      <c r="J1202" t="s">
        <v>5771</v>
      </c>
      <c r="K1202">
        <v>235555.41</v>
      </c>
      <c r="L1202" t="s">
        <v>5773</v>
      </c>
      <c r="M1202">
        <v>3</v>
      </c>
    </row>
    <row r="1203" spans="1:13" x14ac:dyDescent="0.25">
      <c r="A1203">
        <v>1202</v>
      </c>
      <c r="B1203" t="s">
        <v>1214</v>
      </c>
      <c r="C1203">
        <v>36</v>
      </c>
      <c r="D1203" t="s">
        <v>2948</v>
      </c>
      <c r="E1203" t="s">
        <v>2951</v>
      </c>
      <c r="F1203" t="s">
        <v>2123</v>
      </c>
      <c r="G1203" s="2">
        <v>45896</v>
      </c>
      <c r="H1203" s="2">
        <v>45898</v>
      </c>
      <c r="I1203" t="s">
        <v>5765</v>
      </c>
      <c r="J1203" t="s">
        <v>5771</v>
      </c>
      <c r="K1203">
        <v>395756.6</v>
      </c>
      <c r="L1203" t="s">
        <v>5773</v>
      </c>
      <c r="M1203">
        <v>2</v>
      </c>
    </row>
    <row r="1204" spans="1:13" x14ac:dyDescent="0.25">
      <c r="A1204">
        <v>1203</v>
      </c>
      <c r="B1204" t="s">
        <v>1215</v>
      </c>
      <c r="C1204">
        <v>40</v>
      </c>
      <c r="D1204" t="s">
        <v>2947</v>
      </c>
      <c r="E1204" t="s">
        <v>2950</v>
      </c>
      <c r="F1204" t="s">
        <v>4099</v>
      </c>
      <c r="G1204" s="2">
        <v>45549</v>
      </c>
      <c r="H1204" s="2">
        <v>45555</v>
      </c>
      <c r="I1204" t="s">
        <v>5765</v>
      </c>
      <c r="J1204" t="s">
        <v>5771</v>
      </c>
      <c r="K1204">
        <v>411515.44</v>
      </c>
      <c r="L1204" t="s">
        <v>5775</v>
      </c>
      <c r="M1204">
        <v>6</v>
      </c>
    </row>
    <row r="1205" spans="1:13" x14ac:dyDescent="0.25">
      <c r="A1205">
        <v>1204</v>
      </c>
      <c r="B1205" t="s">
        <v>1216</v>
      </c>
      <c r="C1205">
        <v>64</v>
      </c>
      <c r="D1205" t="s">
        <v>2948</v>
      </c>
      <c r="E1205" t="s">
        <v>2950</v>
      </c>
      <c r="F1205" t="s">
        <v>4100</v>
      </c>
      <c r="G1205" s="2">
        <v>45777</v>
      </c>
      <c r="H1205" s="2">
        <v>45787</v>
      </c>
      <c r="I1205" t="s">
        <v>5762</v>
      </c>
      <c r="J1205" t="s">
        <v>5769</v>
      </c>
      <c r="K1205">
        <v>140635.63</v>
      </c>
      <c r="L1205" t="s">
        <v>5775</v>
      </c>
      <c r="M1205">
        <v>10</v>
      </c>
    </row>
    <row r="1206" spans="1:13" x14ac:dyDescent="0.25">
      <c r="A1206">
        <v>1205</v>
      </c>
      <c r="B1206" t="s">
        <v>1217</v>
      </c>
      <c r="C1206">
        <v>19</v>
      </c>
      <c r="D1206" t="s">
        <v>2948</v>
      </c>
      <c r="E1206" t="s">
        <v>2950</v>
      </c>
      <c r="F1206" t="s">
        <v>4101</v>
      </c>
      <c r="G1206" s="2">
        <v>45625</v>
      </c>
      <c r="H1206" s="2">
        <v>45626</v>
      </c>
      <c r="I1206" t="s">
        <v>5758</v>
      </c>
      <c r="J1206" t="s">
        <v>5772</v>
      </c>
      <c r="K1206">
        <v>133310.14000000001</v>
      </c>
      <c r="L1206" t="s">
        <v>5775</v>
      </c>
      <c r="M1206">
        <v>1</v>
      </c>
    </row>
    <row r="1207" spans="1:13" x14ac:dyDescent="0.25">
      <c r="A1207">
        <v>1206</v>
      </c>
      <c r="B1207" t="s">
        <v>1218</v>
      </c>
      <c r="C1207">
        <v>26</v>
      </c>
      <c r="D1207" t="s">
        <v>2948</v>
      </c>
      <c r="E1207" t="s">
        <v>2952</v>
      </c>
      <c r="F1207" t="s">
        <v>4102</v>
      </c>
      <c r="G1207" s="2">
        <v>45578</v>
      </c>
      <c r="H1207" s="2">
        <v>45582</v>
      </c>
      <c r="I1207" t="s">
        <v>5765</v>
      </c>
      <c r="J1207" t="s">
        <v>5768</v>
      </c>
      <c r="K1207">
        <v>418105.28</v>
      </c>
      <c r="L1207" t="s">
        <v>5774</v>
      </c>
      <c r="M1207">
        <v>4</v>
      </c>
    </row>
    <row r="1208" spans="1:13" x14ac:dyDescent="0.25">
      <c r="A1208">
        <v>1207</v>
      </c>
      <c r="B1208" t="s">
        <v>1219</v>
      </c>
      <c r="C1208">
        <v>22</v>
      </c>
      <c r="D1208" t="s">
        <v>2947</v>
      </c>
      <c r="E1208" t="s">
        <v>2951</v>
      </c>
      <c r="F1208" t="s">
        <v>3357</v>
      </c>
      <c r="G1208" s="2">
        <v>45605</v>
      </c>
      <c r="H1208" s="2">
        <v>45620</v>
      </c>
      <c r="I1208" t="s">
        <v>5761</v>
      </c>
      <c r="J1208" t="s">
        <v>5772</v>
      </c>
      <c r="K1208">
        <v>369726.98</v>
      </c>
      <c r="L1208" t="s">
        <v>5774</v>
      </c>
      <c r="M1208">
        <v>15</v>
      </c>
    </row>
    <row r="1209" spans="1:13" x14ac:dyDescent="0.25">
      <c r="A1209">
        <v>1208</v>
      </c>
      <c r="B1209" t="s">
        <v>1220</v>
      </c>
      <c r="C1209">
        <v>19</v>
      </c>
      <c r="D1209" t="s">
        <v>2948</v>
      </c>
      <c r="E1209" t="s">
        <v>2954</v>
      </c>
      <c r="F1209" t="s">
        <v>4103</v>
      </c>
      <c r="G1209" s="2">
        <v>45865</v>
      </c>
      <c r="H1209" s="2">
        <v>45877</v>
      </c>
      <c r="I1209" t="s">
        <v>5760</v>
      </c>
      <c r="J1209" t="s">
        <v>2949</v>
      </c>
      <c r="K1209">
        <v>338522.44</v>
      </c>
      <c r="L1209" t="s">
        <v>5774</v>
      </c>
      <c r="M1209">
        <v>12</v>
      </c>
    </row>
    <row r="1210" spans="1:13" x14ac:dyDescent="0.25">
      <c r="A1210">
        <v>1209</v>
      </c>
      <c r="B1210" t="s">
        <v>1221</v>
      </c>
      <c r="C1210">
        <v>13</v>
      </c>
      <c r="D1210" t="s">
        <v>2948</v>
      </c>
      <c r="E1210" t="s">
        <v>2953</v>
      </c>
      <c r="F1210" t="s">
        <v>4104</v>
      </c>
      <c r="G1210" s="2">
        <v>45744</v>
      </c>
      <c r="H1210" s="2">
        <v>45757</v>
      </c>
      <c r="I1210" t="s">
        <v>5762</v>
      </c>
      <c r="J1210" t="s">
        <v>5771</v>
      </c>
      <c r="K1210">
        <v>474874.4</v>
      </c>
      <c r="L1210" t="s">
        <v>5774</v>
      </c>
      <c r="M1210">
        <v>13</v>
      </c>
    </row>
    <row r="1211" spans="1:13" x14ac:dyDescent="0.25">
      <c r="A1211">
        <v>1210</v>
      </c>
      <c r="B1211" t="s">
        <v>1222</v>
      </c>
      <c r="C1211">
        <v>14</v>
      </c>
      <c r="D1211" t="s">
        <v>2948</v>
      </c>
      <c r="E1211" t="s">
        <v>2954</v>
      </c>
      <c r="F1211" t="s">
        <v>4105</v>
      </c>
      <c r="G1211" s="2">
        <v>45885</v>
      </c>
      <c r="H1211" s="2">
        <v>45899</v>
      </c>
      <c r="I1211" t="s">
        <v>5762</v>
      </c>
      <c r="J1211" t="s">
        <v>5769</v>
      </c>
      <c r="K1211">
        <v>427076.08</v>
      </c>
      <c r="L1211" t="s">
        <v>5775</v>
      </c>
      <c r="M1211">
        <v>14</v>
      </c>
    </row>
    <row r="1212" spans="1:13" x14ac:dyDescent="0.25">
      <c r="A1212">
        <v>1211</v>
      </c>
      <c r="B1212" t="s">
        <v>1223</v>
      </c>
      <c r="C1212">
        <v>54</v>
      </c>
      <c r="D1212" t="s">
        <v>2948</v>
      </c>
      <c r="E1212" t="s">
        <v>2954</v>
      </c>
      <c r="F1212" t="s">
        <v>4106</v>
      </c>
      <c r="G1212" s="2">
        <v>45744</v>
      </c>
      <c r="H1212" s="2">
        <v>45751</v>
      </c>
      <c r="I1212" t="s">
        <v>5758</v>
      </c>
      <c r="J1212" t="s">
        <v>5771</v>
      </c>
      <c r="K1212">
        <v>119053.64</v>
      </c>
      <c r="L1212" t="s">
        <v>5774</v>
      </c>
      <c r="M1212">
        <v>7</v>
      </c>
    </row>
    <row r="1213" spans="1:13" x14ac:dyDescent="0.25">
      <c r="A1213">
        <v>1212</v>
      </c>
      <c r="B1213" t="s">
        <v>1224</v>
      </c>
      <c r="C1213">
        <v>35</v>
      </c>
      <c r="D1213" t="s">
        <v>2947</v>
      </c>
      <c r="E1213" t="s">
        <v>2951</v>
      </c>
      <c r="F1213" t="s">
        <v>4107</v>
      </c>
      <c r="G1213" s="2">
        <v>45602</v>
      </c>
      <c r="H1213" s="2">
        <v>45607</v>
      </c>
      <c r="I1213" t="s">
        <v>5762</v>
      </c>
      <c r="J1213" t="s">
        <v>2949</v>
      </c>
      <c r="K1213">
        <v>203591.11</v>
      </c>
      <c r="L1213" t="s">
        <v>5775</v>
      </c>
      <c r="M1213">
        <v>5</v>
      </c>
    </row>
    <row r="1214" spans="1:13" x14ac:dyDescent="0.25">
      <c r="A1214">
        <v>1213</v>
      </c>
      <c r="B1214" t="s">
        <v>1225</v>
      </c>
      <c r="C1214">
        <v>29</v>
      </c>
      <c r="D1214" t="s">
        <v>2947</v>
      </c>
      <c r="E1214" t="s">
        <v>2952</v>
      </c>
      <c r="F1214" t="s">
        <v>1527</v>
      </c>
      <c r="G1214" s="2">
        <v>45702</v>
      </c>
      <c r="H1214" s="2">
        <v>45716</v>
      </c>
      <c r="I1214" t="s">
        <v>5767</v>
      </c>
      <c r="J1214" t="s">
        <v>5770</v>
      </c>
      <c r="K1214">
        <v>488157.21</v>
      </c>
      <c r="L1214" t="s">
        <v>5773</v>
      </c>
      <c r="M1214">
        <v>14</v>
      </c>
    </row>
    <row r="1215" spans="1:13" x14ac:dyDescent="0.25">
      <c r="A1215">
        <v>1214</v>
      </c>
      <c r="B1215" t="s">
        <v>1226</v>
      </c>
      <c r="C1215">
        <v>60</v>
      </c>
      <c r="D1215" t="s">
        <v>2948</v>
      </c>
      <c r="E1215" t="s">
        <v>2955</v>
      </c>
      <c r="F1215" t="s">
        <v>4108</v>
      </c>
      <c r="G1215" s="2">
        <v>45685</v>
      </c>
      <c r="H1215" s="2">
        <v>45700</v>
      </c>
      <c r="I1215" t="s">
        <v>5762</v>
      </c>
      <c r="J1215" t="s">
        <v>5770</v>
      </c>
      <c r="K1215">
        <v>184959.81</v>
      </c>
      <c r="L1215" t="s">
        <v>5775</v>
      </c>
      <c r="M1215">
        <v>15</v>
      </c>
    </row>
    <row r="1216" spans="1:13" x14ac:dyDescent="0.25">
      <c r="A1216">
        <v>1215</v>
      </c>
      <c r="B1216" t="s">
        <v>1227</v>
      </c>
      <c r="C1216">
        <v>37</v>
      </c>
      <c r="D1216" t="s">
        <v>2947</v>
      </c>
      <c r="E1216" t="s">
        <v>2955</v>
      </c>
      <c r="F1216" t="s">
        <v>4109</v>
      </c>
      <c r="G1216" s="2">
        <v>45817</v>
      </c>
      <c r="H1216" s="2">
        <v>45827</v>
      </c>
      <c r="I1216" t="s">
        <v>5760</v>
      </c>
      <c r="J1216" t="s">
        <v>5770</v>
      </c>
      <c r="K1216">
        <v>20616.96</v>
      </c>
      <c r="L1216" t="s">
        <v>5775</v>
      </c>
      <c r="M1216">
        <v>10</v>
      </c>
    </row>
    <row r="1217" spans="1:13" x14ac:dyDescent="0.25">
      <c r="A1217">
        <v>1216</v>
      </c>
      <c r="B1217" t="s">
        <v>1228</v>
      </c>
      <c r="C1217">
        <v>56</v>
      </c>
      <c r="D1217" t="s">
        <v>2948</v>
      </c>
      <c r="E1217" t="s">
        <v>2954</v>
      </c>
      <c r="F1217" t="s">
        <v>4110</v>
      </c>
      <c r="G1217" s="2">
        <v>45849</v>
      </c>
      <c r="H1217" s="2">
        <v>45852</v>
      </c>
      <c r="I1217" t="s">
        <v>5759</v>
      </c>
      <c r="J1217" t="s">
        <v>2949</v>
      </c>
      <c r="K1217">
        <v>432140.83</v>
      </c>
      <c r="L1217" t="s">
        <v>5773</v>
      </c>
      <c r="M1217">
        <v>3</v>
      </c>
    </row>
    <row r="1218" spans="1:13" x14ac:dyDescent="0.25">
      <c r="A1218">
        <v>1217</v>
      </c>
      <c r="B1218" t="s">
        <v>1229</v>
      </c>
      <c r="C1218">
        <v>54</v>
      </c>
      <c r="D1218" t="s">
        <v>2947</v>
      </c>
      <c r="E1218" t="s">
        <v>2949</v>
      </c>
      <c r="F1218" t="s">
        <v>4111</v>
      </c>
      <c r="G1218" s="2">
        <v>45700</v>
      </c>
      <c r="H1218" s="2">
        <v>45712</v>
      </c>
      <c r="I1218" t="s">
        <v>5761</v>
      </c>
      <c r="J1218" t="s">
        <v>5770</v>
      </c>
      <c r="K1218">
        <v>118065.18</v>
      </c>
      <c r="L1218" t="s">
        <v>5774</v>
      </c>
      <c r="M1218">
        <v>12</v>
      </c>
    </row>
    <row r="1219" spans="1:13" x14ac:dyDescent="0.25">
      <c r="A1219">
        <v>1218</v>
      </c>
      <c r="B1219" t="s">
        <v>1230</v>
      </c>
      <c r="C1219">
        <v>81</v>
      </c>
      <c r="D1219" t="s">
        <v>2947</v>
      </c>
      <c r="E1219" t="s">
        <v>2954</v>
      </c>
      <c r="F1219" t="s">
        <v>4112</v>
      </c>
      <c r="G1219" s="2">
        <v>45807</v>
      </c>
      <c r="H1219" s="2">
        <v>45810</v>
      </c>
      <c r="I1219" t="s">
        <v>5763</v>
      </c>
      <c r="J1219" t="s">
        <v>5771</v>
      </c>
      <c r="K1219">
        <v>135898.01</v>
      </c>
      <c r="L1219" t="s">
        <v>5775</v>
      </c>
      <c r="M1219">
        <v>3</v>
      </c>
    </row>
    <row r="1220" spans="1:13" x14ac:dyDescent="0.25">
      <c r="A1220">
        <v>1219</v>
      </c>
      <c r="B1220" t="s">
        <v>1231</v>
      </c>
      <c r="C1220">
        <v>6</v>
      </c>
      <c r="D1220" t="s">
        <v>2947</v>
      </c>
      <c r="E1220" t="s">
        <v>2951</v>
      </c>
      <c r="F1220" t="s">
        <v>4113</v>
      </c>
      <c r="G1220" s="2">
        <v>45597</v>
      </c>
      <c r="H1220" s="2">
        <v>45604</v>
      </c>
      <c r="I1220" t="s">
        <v>5766</v>
      </c>
      <c r="J1220" t="s">
        <v>5770</v>
      </c>
      <c r="K1220">
        <v>121573.7</v>
      </c>
      <c r="L1220" t="s">
        <v>5775</v>
      </c>
      <c r="M1220">
        <v>7</v>
      </c>
    </row>
    <row r="1221" spans="1:13" x14ac:dyDescent="0.25">
      <c r="A1221">
        <v>1220</v>
      </c>
      <c r="B1221" t="s">
        <v>1232</v>
      </c>
      <c r="C1221">
        <v>12</v>
      </c>
      <c r="D1221" t="s">
        <v>2947</v>
      </c>
      <c r="E1221" t="s">
        <v>2953</v>
      </c>
      <c r="F1221" t="s">
        <v>4114</v>
      </c>
      <c r="G1221" s="2">
        <v>45742</v>
      </c>
      <c r="H1221" s="2">
        <v>45747</v>
      </c>
      <c r="I1221" t="s">
        <v>5766</v>
      </c>
      <c r="J1221" t="s">
        <v>5769</v>
      </c>
      <c r="K1221">
        <v>261332.12</v>
      </c>
      <c r="L1221" t="s">
        <v>5773</v>
      </c>
      <c r="M1221">
        <v>5</v>
      </c>
    </row>
    <row r="1222" spans="1:13" x14ac:dyDescent="0.25">
      <c r="A1222">
        <v>1221</v>
      </c>
      <c r="B1222" t="s">
        <v>1233</v>
      </c>
      <c r="C1222">
        <v>28</v>
      </c>
      <c r="D1222" t="s">
        <v>2948</v>
      </c>
      <c r="E1222" t="s">
        <v>2951</v>
      </c>
      <c r="F1222" t="s">
        <v>4115</v>
      </c>
      <c r="G1222" s="2">
        <v>45623</v>
      </c>
      <c r="H1222" s="2">
        <v>45625</v>
      </c>
      <c r="I1222" t="s">
        <v>5766</v>
      </c>
      <c r="J1222" t="s">
        <v>5772</v>
      </c>
      <c r="K1222">
        <v>153973.62</v>
      </c>
      <c r="L1222" t="s">
        <v>5774</v>
      </c>
      <c r="M1222">
        <v>2</v>
      </c>
    </row>
    <row r="1223" spans="1:13" x14ac:dyDescent="0.25">
      <c r="A1223">
        <v>1222</v>
      </c>
      <c r="B1223" t="s">
        <v>1234</v>
      </c>
      <c r="C1223">
        <v>37</v>
      </c>
      <c r="D1223" t="s">
        <v>2947</v>
      </c>
      <c r="E1223" t="s">
        <v>2951</v>
      </c>
      <c r="F1223" t="s">
        <v>4116</v>
      </c>
      <c r="G1223" s="2">
        <v>45635</v>
      </c>
      <c r="H1223" s="2">
        <v>45640</v>
      </c>
      <c r="I1223" t="s">
        <v>5763</v>
      </c>
      <c r="J1223" t="s">
        <v>5769</v>
      </c>
      <c r="K1223">
        <v>363087.6</v>
      </c>
      <c r="L1223" t="s">
        <v>5774</v>
      </c>
      <c r="M1223">
        <v>5</v>
      </c>
    </row>
    <row r="1224" spans="1:13" x14ac:dyDescent="0.25">
      <c r="A1224">
        <v>1223</v>
      </c>
      <c r="B1224" t="s">
        <v>1235</v>
      </c>
      <c r="C1224">
        <v>13</v>
      </c>
      <c r="D1224" t="s">
        <v>2947</v>
      </c>
      <c r="E1224" t="s">
        <v>2953</v>
      </c>
      <c r="F1224" t="s">
        <v>4117</v>
      </c>
      <c r="G1224" s="2">
        <v>45649</v>
      </c>
      <c r="H1224" s="2">
        <v>45651</v>
      </c>
      <c r="I1224" t="s">
        <v>5760</v>
      </c>
      <c r="J1224" t="s">
        <v>5768</v>
      </c>
      <c r="K1224">
        <v>379924.99</v>
      </c>
      <c r="L1224" t="s">
        <v>5775</v>
      </c>
      <c r="M1224">
        <v>2</v>
      </c>
    </row>
    <row r="1225" spans="1:13" x14ac:dyDescent="0.25">
      <c r="A1225">
        <v>1224</v>
      </c>
      <c r="B1225" t="s">
        <v>1236</v>
      </c>
      <c r="C1225">
        <v>48</v>
      </c>
      <c r="D1225" t="s">
        <v>2948</v>
      </c>
      <c r="E1225" t="s">
        <v>2951</v>
      </c>
      <c r="F1225" t="s">
        <v>4118</v>
      </c>
      <c r="G1225" s="2">
        <v>45808</v>
      </c>
      <c r="H1225" s="2">
        <v>45812</v>
      </c>
      <c r="I1225" t="s">
        <v>5764</v>
      </c>
      <c r="J1225" t="s">
        <v>5770</v>
      </c>
      <c r="K1225">
        <v>248106.86</v>
      </c>
      <c r="L1225" t="s">
        <v>5775</v>
      </c>
      <c r="M1225">
        <v>4</v>
      </c>
    </row>
    <row r="1226" spans="1:13" x14ac:dyDescent="0.25">
      <c r="A1226">
        <v>1225</v>
      </c>
      <c r="B1226" t="s">
        <v>1237</v>
      </c>
      <c r="C1226">
        <v>17</v>
      </c>
      <c r="D1226" t="s">
        <v>2947</v>
      </c>
      <c r="E1226" t="s">
        <v>2952</v>
      </c>
      <c r="F1226" t="s">
        <v>4119</v>
      </c>
      <c r="G1226" s="2">
        <v>45903</v>
      </c>
      <c r="H1226" s="2">
        <v>45914</v>
      </c>
      <c r="I1226" t="s">
        <v>5761</v>
      </c>
      <c r="J1226" t="s">
        <v>5769</v>
      </c>
      <c r="K1226">
        <v>149319.53</v>
      </c>
      <c r="L1226" t="s">
        <v>5773</v>
      </c>
      <c r="M1226">
        <v>11</v>
      </c>
    </row>
    <row r="1227" spans="1:13" x14ac:dyDescent="0.25">
      <c r="A1227">
        <v>1226</v>
      </c>
      <c r="B1227" t="s">
        <v>1238</v>
      </c>
      <c r="C1227">
        <v>61</v>
      </c>
      <c r="D1227" t="s">
        <v>2947</v>
      </c>
      <c r="E1227" t="s">
        <v>2954</v>
      </c>
      <c r="F1227" t="s">
        <v>4120</v>
      </c>
      <c r="G1227" s="2">
        <v>45839</v>
      </c>
      <c r="H1227" s="2">
        <v>45852</v>
      </c>
      <c r="I1227" t="s">
        <v>5762</v>
      </c>
      <c r="J1227" t="s">
        <v>5771</v>
      </c>
      <c r="K1227">
        <v>478261.48</v>
      </c>
      <c r="L1227" t="s">
        <v>5773</v>
      </c>
      <c r="M1227">
        <v>13</v>
      </c>
    </row>
    <row r="1228" spans="1:13" x14ac:dyDescent="0.25">
      <c r="A1228">
        <v>1227</v>
      </c>
      <c r="B1228" t="s">
        <v>1239</v>
      </c>
      <c r="C1228">
        <v>21</v>
      </c>
      <c r="D1228" t="s">
        <v>2948</v>
      </c>
      <c r="E1228" t="s">
        <v>2954</v>
      </c>
      <c r="F1228" t="s">
        <v>4121</v>
      </c>
      <c r="G1228" s="2">
        <v>45644</v>
      </c>
      <c r="H1228" s="2">
        <v>45659</v>
      </c>
      <c r="I1228" t="s">
        <v>5762</v>
      </c>
      <c r="J1228" t="s">
        <v>5770</v>
      </c>
      <c r="K1228">
        <v>255639.23</v>
      </c>
      <c r="L1228" t="s">
        <v>5773</v>
      </c>
      <c r="M1228">
        <v>15</v>
      </c>
    </row>
    <row r="1229" spans="1:13" x14ac:dyDescent="0.25">
      <c r="A1229">
        <v>1228</v>
      </c>
      <c r="B1229" t="s">
        <v>1240</v>
      </c>
      <c r="C1229">
        <v>27</v>
      </c>
      <c r="D1229" t="s">
        <v>2947</v>
      </c>
      <c r="E1229" t="s">
        <v>2954</v>
      </c>
      <c r="F1229" t="s">
        <v>4122</v>
      </c>
      <c r="G1229" s="2">
        <v>45845</v>
      </c>
      <c r="H1229" s="2">
        <v>45852</v>
      </c>
      <c r="I1229" t="s">
        <v>5763</v>
      </c>
      <c r="J1229" t="s">
        <v>5771</v>
      </c>
      <c r="K1229">
        <v>130978.99</v>
      </c>
      <c r="L1229" t="s">
        <v>5775</v>
      </c>
      <c r="M1229">
        <v>7</v>
      </c>
    </row>
    <row r="1230" spans="1:13" x14ac:dyDescent="0.25">
      <c r="A1230">
        <v>1229</v>
      </c>
      <c r="B1230" t="s">
        <v>1241</v>
      </c>
      <c r="C1230">
        <v>87</v>
      </c>
      <c r="D1230" t="s">
        <v>2947</v>
      </c>
      <c r="E1230" t="s">
        <v>2952</v>
      </c>
      <c r="F1230" t="s">
        <v>767</v>
      </c>
      <c r="G1230" s="2">
        <v>45832</v>
      </c>
      <c r="H1230" s="2">
        <v>45843</v>
      </c>
      <c r="I1230" t="s">
        <v>5762</v>
      </c>
      <c r="J1230" t="s">
        <v>5768</v>
      </c>
      <c r="K1230">
        <v>33637.15</v>
      </c>
      <c r="L1230" t="s">
        <v>5774</v>
      </c>
      <c r="M1230">
        <v>11</v>
      </c>
    </row>
    <row r="1231" spans="1:13" x14ac:dyDescent="0.25">
      <c r="A1231">
        <v>1230</v>
      </c>
      <c r="B1231" t="s">
        <v>1242</v>
      </c>
      <c r="C1231">
        <v>66</v>
      </c>
      <c r="D1231" t="s">
        <v>2948</v>
      </c>
      <c r="E1231" t="s">
        <v>2951</v>
      </c>
      <c r="F1231" t="s">
        <v>4123</v>
      </c>
      <c r="G1231" s="2">
        <v>45705</v>
      </c>
      <c r="H1231" s="2">
        <v>45713</v>
      </c>
      <c r="I1231" t="s">
        <v>5765</v>
      </c>
      <c r="J1231" t="s">
        <v>5772</v>
      </c>
      <c r="K1231">
        <v>321477.58</v>
      </c>
      <c r="L1231" t="s">
        <v>5775</v>
      </c>
      <c r="M1231">
        <v>8</v>
      </c>
    </row>
    <row r="1232" spans="1:13" x14ac:dyDescent="0.25">
      <c r="A1232">
        <v>1231</v>
      </c>
      <c r="B1232" t="s">
        <v>1243</v>
      </c>
      <c r="C1232">
        <v>10</v>
      </c>
      <c r="D1232" t="s">
        <v>2947</v>
      </c>
      <c r="E1232" t="s">
        <v>2952</v>
      </c>
      <c r="F1232" t="s">
        <v>4124</v>
      </c>
      <c r="G1232" s="2">
        <v>45621</v>
      </c>
      <c r="H1232" s="2">
        <v>45631</v>
      </c>
      <c r="I1232" t="s">
        <v>5759</v>
      </c>
      <c r="J1232" t="s">
        <v>5768</v>
      </c>
      <c r="K1232">
        <v>85018.44</v>
      </c>
      <c r="L1232" t="s">
        <v>5773</v>
      </c>
      <c r="M1232">
        <v>10</v>
      </c>
    </row>
    <row r="1233" spans="1:13" x14ac:dyDescent="0.25">
      <c r="A1233">
        <v>1232</v>
      </c>
      <c r="B1233" t="s">
        <v>1244</v>
      </c>
      <c r="C1233">
        <v>45</v>
      </c>
      <c r="D1233" t="s">
        <v>2947</v>
      </c>
      <c r="E1233" t="s">
        <v>2953</v>
      </c>
      <c r="F1233" t="s">
        <v>4125</v>
      </c>
      <c r="G1233" s="2">
        <v>45901</v>
      </c>
      <c r="H1233" s="2">
        <v>45916</v>
      </c>
      <c r="I1233" t="s">
        <v>5764</v>
      </c>
      <c r="J1233" t="s">
        <v>5772</v>
      </c>
      <c r="K1233">
        <v>206966.25</v>
      </c>
      <c r="L1233" t="s">
        <v>5775</v>
      </c>
      <c r="M1233">
        <v>15</v>
      </c>
    </row>
    <row r="1234" spans="1:13" x14ac:dyDescent="0.25">
      <c r="A1234">
        <v>1233</v>
      </c>
      <c r="B1234" t="s">
        <v>1245</v>
      </c>
      <c r="C1234">
        <v>69</v>
      </c>
      <c r="D1234" t="s">
        <v>2948</v>
      </c>
      <c r="E1234" t="s">
        <v>2955</v>
      </c>
      <c r="F1234" t="s">
        <v>4126</v>
      </c>
      <c r="G1234" s="2">
        <v>45648</v>
      </c>
      <c r="H1234" s="2">
        <v>45656</v>
      </c>
      <c r="I1234" t="s">
        <v>5760</v>
      </c>
      <c r="J1234" t="s">
        <v>5772</v>
      </c>
      <c r="K1234">
        <v>432208.36</v>
      </c>
      <c r="L1234" t="s">
        <v>5773</v>
      </c>
      <c r="M1234">
        <v>8</v>
      </c>
    </row>
    <row r="1235" spans="1:13" x14ac:dyDescent="0.25">
      <c r="A1235">
        <v>1234</v>
      </c>
      <c r="B1235" t="s">
        <v>1246</v>
      </c>
      <c r="C1235">
        <v>10</v>
      </c>
      <c r="D1235" t="s">
        <v>2948</v>
      </c>
      <c r="E1235" t="s">
        <v>2951</v>
      </c>
      <c r="F1235" t="s">
        <v>4127</v>
      </c>
      <c r="G1235" s="2">
        <v>45857</v>
      </c>
      <c r="H1235" s="2">
        <v>45866</v>
      </c>
      <c r="I1235" t="s">
        <v>5761</v>
      </c>
      <c r="J1235" t="s">
        <v>5770</v>
      </c>
      <c r="K1235">
        <v>301181.26</v>
      </c>
      <c r="L1235" t="s">
        <v>5773</v>
      </c>
      <c r="M1235">
        <v>9</v>
      </c>
    </row>
    <row r="1236" spans="1:13" x14ac:dyDescent="0.25">
      <c r="A1236">
        <v>1235</v>
      </c>
      <c r="B1236" t="s">
        <v>1247</v>
      </c>
      <c r="C1236">
        <v>13</v>
      </c>
      <c r="D1236" t="s">
        <v>2947</v>
      </c>
      <c r="E1236" t="s">
        <v>2953</v>
      </c>
      <c r="F1236" t="s">
        <v>4128</v>
      </c>
      <c r="G1236" s="2">
        <v>45827</v>
      </c>
      <c r="H1236" s="2">
        <v>45838</v>
      </c>
      <c r="I1236" t="s">
        <v>5767</v>
      </c>
      <c r="J1236" t="s">
        <v>5769</v>
      </c>
      <c r="K1236">
        <v>67382.67</v>
      </c>
      <c r="L1236" t="s">
        <v>5775</v>
      </c>
      <c r="M1236">
        <v>11</v>
      </c>
    </row>
    <row r="1237" spans="1:13" x14ac:dyDescent="0.25">
      <c r="A1237">
        <v>1236</v>
      </c>
      <c r="B1237" t="s">
        <v>1248</v>
      </c>
      <c r="C1237">
        <v>68</v>
      </c>
      <c r="D1237" t="s">
        <v>2947</v>
      </c>
      <c r="E1237" t="s">
        <v>2951</v>
      </c>
      <c r="F1237" t="s">
        <v>4129</v>
      </c>
      <c r="G1237" s="2">
        <v>45831</v>
      </c>
      <c r="H1237" s="2">
        <v>45846</v>
      </c>
      <c r="I1237" t="s">
        <v>5766</v>
      </c>
      <c r="J1237" t="s">
        <v>5770</v>
      </c>
      <c r="K1237">
        <v>366176.5</v>
      </c>
      <c r="L1237" t="s">
        <v>5774</v>
      </c>
      <c r="M1237">
        <v>15</v>
      </c>
    </row>
    <row r="1238" spans="1:13" x14ac:dyDescent="0.25">
      <c r="A1238">
        <v>1237</v>
      </c>
      <c r="B1238" t="s">
        <v>1249</v>
      </c>
      <c r="C1238">
        <v>23</v>
      </c>
      <c r="D1238" t="s">
        <v>2947</v>
      </c>
      <c r="E1238" t="s">
        <v>2954</v>
      </c>
      <c r="F1238" t="s">
        <v>4130</v>
      </c>
      <c r="G1238" s="2">
        <v>45813</v>
      </c>
      <c r="H1238" s="2">
        <v>45824</v>
      </c>
      <c r="I1238" t="s">
        <v>5762</v>
      </c>
      <c r="J1238" t="s">
        <v>5772</v>
      </c>
      <c r="K1238">
        <v>16313.26</v>
      </c>
      <c r="L1238" t="s">
        <v>5775</v>
      </c>
      <c r="M1238">
        <v>11</v>
      </c>
    </row>
    <row r="1239" spans="1:13" x14ac:dyDescent="0.25">
      <c r="A1239">
        <v>1238</v>
      </c>
      <c r="B1239" t="s">
        <v>1250</v>
      </c>
      <c r="C1239">
        <v>17</v>
      </c>
      <c r="D1239" t="s">
        <v>2947</v>
      </c>
      <c r="E1239" t="s">
        <v>2954</v>
      </c>
      <c r="F1239" t="s">
        <v>4131</v>
      </c>
      <c r="G1239" s="2">
        <v>45841</v>
      </c>
      <c r="H1239" s="2">
        <v>45849</v>
      </c>
      <c r="I1239" t="s">
        <v>5765</v>
      </c>
      <c r="J1239" t="s">
        <v>5772</v>
      </c>
      <c r="K1239">
        <v>186739.77</v>
      </c>
      <c r="L1239" t="s">
        <v>5775</v>
      </c>
      <c r="M1239">
        <v>8</v>
      </c>
    </row>
    <row r="1240" spans="1:13" x14ac:dyDescent="0.25">
      <c r="A1240">
        <v>1239</v>
      </c>
      <c r="B1240" t="s">
        <v>1251</v>
      </c>
      <c r="C1240">
        <v>8</v>
      </c>
      <c r="D1240" t="s">
        <v>2948</v>
      </c>
      <c r="E1240" t="s">
        <v>2953</v>
      </c>
      <c r="F1240" t="s">
        <v>4132</v>
      </c>
      <c r="G1240" s="2">
        <v>45719</v>
      </c>
      <c r="H1240" s="2">
        <v>45724</v>
      </c>
      <c r="I1240" t="s">
        <v>5767</v>
      </c>
      <c r="J1240" t="s">
        <v>5769</v>
      </c>
      <c r="K1240">
        <v>222083.43</v>
      </c>
      <c r="L1240" t="s">
        <v>5775</v>
      </c>
      <c r="M1240">
        <v>5</v>
      </c>
    </row>
    <row r="1241" spans="1:13" x14ac:dyDescent="0.25">
      <c r="A1241">
        <v>1240</v>
      </c>
      <c r="B1241" t="s">
        <v>1252</v>
      </c>
      <c r="C1241">
        <v>8</v>
      </c>
      <c r="D1241" t="s">
        <v>2948</v>
      </c>
      <c r="E1241" t="s">
        <v>2953</v>
      </c>
      <c r="F1241" t="s">
        <v>4133</v>
      </c>
      <c r="G1241" s="2">
        <v>45870</v>
      </c>
      <c r="H1241" s="2">
        <v>45876</v>
      </c>
      <c r="I1241" t="s">
        <v>5763</v>
      </c>
      <c r="J1241" t="s">
        <v>2949</v>
      </c>
      <c r="K1241">
        <v>143452.62</v>
      </c>
      <c r="L1241" t="s">
        <v>5775</v>
      </c>
      <c r="M1241">
        <v>6</v>
      </c>
    </row>
    <row r="1242" spans="1:13" x14ac:dyDescent="0.25">
      <c r="A1242">
        <v>1241</v>
      </c>
      <c r="B1242" t="s">
        <v>1253</v>
      </c>
      <c r="C1242">
        <v>46</v>
      </c>
      <c r="D1242" t="s">
        <v>2948</v>
      </c>
      <c r="E1242" t="s">
        <v>2950</v>
      </c>
      <c r="F1242" t="s">
        <v>4134</v>
      </c>
      <c r="G1242" s="2">
        <v>45744</v>
      </c>
      <c r="H1242" s="2">
        <v>45746</v>
      </c>
      <c r="I1242" t="s">
        <v>5767</v>
      </c>
      <c r="J1242" t="s">
        <v>5771</v>
      </c>
      <c r="K1242">
        <v>168666.27</v>
      </c>
      <c r="L1242" t="s">
        <v>5775</v>
      </c>
      <c r="M1242">
        <v>2</v>
      </c>
    </row>
    <row r="1243" spans="1:13" x14ac:dyDescent="0.25">
      <c r="A1243">
        <v>1242</v>
      </c>
      <c r="B1243" t="s">
        <v>1254</v>
      </c>
      <c r="C1243">
        <v>73</v>
      </c>
      <c r="D1243" t="s">
        <v>2948</v>
      </c>
      <c r="E1243" t="s">
        <v>2949</v>
      </c>
      <c r="F1243" t="s">
        <v>4135</v>
      </c>
      <c r="G1243" s="2">
        <v>45588</v>
      </c>
      <c r="H1243" s="2">
        <v>45602</v>
      </c>
      <c r="I1243" t="s">
        <v>5764</v>
      </c>
      <c r="J1243" t="s">
        <v>5770</v>
      </c>
      <c r="K1243">
        <v>303274.92</v>
      </c>
      <c r="L1243" t="s">
        <v>5773</v>
      </c>
      <c r="M1243">
        <v>14</v>
      </c>
    </row>
    <row r="1244" spans="1:13" x14ac:dyDescent="0.25">
      <c r="A1244">
        <v>1243</v>
      </c>
      <c r="B1244" t="s">
        <v>1255</v>
      </c>
      <c r="C1244">
        <v>13</v>
      </c>
      <c r="D1244" t="s">
        <v>2948</v>
      </c>
      <c r="E1244" t="s">
        <v>2951</v>
      </c>
      <c r="F1244" t="s">
        <v>4136</v>
      </c>
      <c r="G1244" s="2">
        <v>45786</v>
      </c>
      <c r="H1244" s="2">
        <v>45801</v>
      </c>
      <c r="I1244" t="s">
        <v>5758</v>
      </c>
      <c r="J1244" t="s">
        <v>5771</v>
      </c>
      <c r="K1244">
        <v>401027.89</v>
      </c>
      <c r="L1244" t="s">
        <v>5775</v>
      </c>
      <c r="M1244">
        <v>15</v>
      </c>
    </row>
    <row r="1245" spans="1:13" x14ac:dyDescent="0.25">
      <c r="A1245">
        <v>1244</v>
      </c>
      <c r="B1245" t="s">
        <v>1256</v>
      </c>
      <c r="C1245">
        <v>28</v>
      </c>
      <c r="D1245" t="s">
        <v>2948</v>
      </c>
      <c r="E1245" t="s">
        <v>2954</v>
      </c>
      <c r="F1245" t="s">
        <v>4137</v>
      </c>
      <c r="G1245" s="2">
        <v>45767</v>
      </c>
      <c r="H1245" s="2">
        <v>45770</v>
      </c>
      <c r="I1245" t="s">
        <v>5765</v>
      </c>
      <c r="J1245" t="s">
        <v>5768</v>
      </c>
      <c r="K1245">
        <v>244317.88</v>
      </c>
      <c r="L1245" t="s">
        <v>5775</v>
      </c>
      <c r="M1245">
        <v>3</v>
      </c>
    </row>
    <row r="1246" spans="1:13" x14ac:dyDescent="0.25">
      <c r="A1246">
        <v>1245</v>
      </c>
      <c r="B1246" t="s">
        <v>1257</v>
      </c>
      <c r="C1246">
        <v>12</v>
      </c>
      <c r="D1246" t="s">
        <v>2947</v>
      </c>
      <c r="E1246" t="s">
        <v>2953</v>
      </c>
      <c r="F1246" t="s">
        <v>4138</v>
      </c>
      <c r="G1246" s="2">
        <v>45745</v>
      </c>
      <c r="H1246" s="2">
        <v>45755</v>
      </c>
      <c r="I1246" t="s">
        <v>5762</v>
      </c>
      <c r="J1246" t="s">
        <v>5771</v>
      </c>
      <c r="K1246">
        <v>249299.46</v>
      </c>
      <c r="L1246" t="s">
        <v>5775</v>
      </c>
      <c r="M1246">
        <v>10</v>
      </c>
    </row>
    <row r="1247" spans="1:13" x14ac:dyDescent="0.25">
      <c r="A1247">
        <v>1246</v>
      </c>
      <c r="B1247" t="s">
        <v>1258</v>
      </c>
      <c r="C1247">
        <v>7</v>
      </c>
      <c r="D1247" t="s">
        <v>2948</v>
      </c>
      <c r="E1247" t="s">
        <v>2955</v>
      </c>
      <c r="F1247" t="s">
        <v>4139</v>
      </c>
      <c r="G1247" s="2">
        <v>45742</v>
      </c>
      <c r="H1247" s="2">
        <v>45753</v>
      </c>
      <c r="I1247" t="s">
        <v>5767</v>
      </c>
      <c r="J1247" t="s">
        <v>5771</v>
      </c>
      <c r="K1247">
        <v>312708</v>
      </c>
      <c r="L1247" t="s">
        <v>5773</v>
      </c>
      <c r="M1247">
        <v>11</v>
      </c>
    </row>
    <row r="1248" spans="1:13" x14ac:dyDescent="0.25">
      <c r="A1248">
        <v>1247</v>
      </c>
      <c r="B1248" t="s">
        <v>1259</v>
      </c>
      <c r="C1248">
        <v>57</v>
      </c>
      <c r="D1248" t="s">
        <v>2947</v>
      </c>
      <c r="E1248" t="s">
        <v>2951</v>
      </c>
      <c r="F1248" t="s">
        <v>4140</v>
      </c>
      <c r="G1248" s="2">
        <v>45755</v>
      </c>
      <c r="H1248" s="2">
        <v>45763</v>
      </c>
      <c r="I1248" t="s">
        <v>5761</v>
      </c>
      <c r="J1248" t="s">
        <v>5770</v>
      </c>
      <c r="K1248">
        <v>402770.74</v>
      </c>
      <c r="L1248" t="s">
        <v>5773</v>
      </c>
      <c r="M1248">
        <v>8</v>
      </c>
    </row>
    <row r="1249" spans="1:13" x14ac:dyDescent="0.25">
      <c r="A1249">
        <v>1248</v>
      </c>
      <c r="B1249" t="s">
        <v>1260</v>
      </c>
      <c r="C1249">
        <v>86</v>
      </c>
      <c r="D1249" t="s">
        <v>2947</v>
      </c>
      <c r="E1249" t="s">
        <v>2954</v>
      </c>
      <c r="F1249" t="s">
        <v>4141</v>
      </c>
      <c r="G1249" s="2">
        <v>45569</v>
      </c>
      <c r="H1249" s="2">
        <v>45578</v>
      </c>
      <c r="I1249" t="s">
        <v>5758</v>
      </c>
      <c r="J1249" t="s">
        <v>5772</v>
      </c>
      <c r="K1249">
        <v>76771.03</v>
      </c>
      <c r="L1249" t="s">
        <v>5774</v>
      </c>
      <c r="M1249">
        <v>9</v>
      </c>
    </row>
    <row r="1250" spans="1:13" x14ac:dyDescent="0.25">
      <c r="A1250">
        <v>1249</v>
      </c>
      <c r="B1250" t="s">
        <v>1261</v>
      </c>
      <c r="C1250">
        <v>60</v>
      </c>
      <c r="D1250" t="s">
        <v>2947</v>
      </c>
      <c r="E1250" t="s">
        <v>2955</v>
      </c>
      <c r="F1250" t="s">
        <v>4142</v>
      </c>
      <c r="G1250" s="2">
        <v>45554</v>
      </c>
      <c r="H1250" s="2">
        <v>45569</v>
      </c>
      <c r="I1250" t="s">
        <v>5761</v>
      </c>
      <c r="J1250" t="s">
        <v>5768</v>
      </c>
      <c r="K1250">
        <v>38076.1</v>
      </c>
      <c r="L1250" t="s">
        <v>5774</v>
      </c>
      <c r="M1250">
        <v>15</v>
      </c>
    </row>
    <row r="1251" spans="1:13" x14ac:dyDescent="0.25">
      <c r="A1251">
        <v>1250</v>
      </c>
      <c r="B1251" t="s">
        <v>1262</v>
      </c>
      <c r="C1251">
        <v>14</v>
      </c>
      <c r="D1251" t="s">
        <v>2948</v>
      </c>
      <c r="E1251" t="s">
        <v>2949</v>
      </c>
      <c r="F1251" t="s">
        <v>4143</v>
      </c>
      <c r="G1251" s="2">
        <v>45592</v>
      </c>
      <c r="H1251" s="2">
        <v>45607</v>
      </c>
      <c r="I1251" t="s">
        <v>5761</v>
      </c>
      <c r="J1251" t="s">
        <v>5769</v>
      </c>
      <c r="K1251">
        <v>289652.65000000002</v>
      </c>
      <c r="L1251" t="s">
        <v>5773</v>
      </c>
      <c r="M1251">
        <v>15</v>
      </c>
    </row>
    <row r="1252" spans="1:13" x14ac:dyDescent="0.25">
      <c r="A1252">
        <v>1251</v>
      </c>
      <c r="B1252" t="s">
        <v>1263</v>
      </c>
      <c r="C1252">
        <v>89</v>
      </c>
      <c r="D1252" t="s">
        <v>2947</v>
      </c>
      <c r="E1252" t="s">
        <v>2949</v>
      </c>
      <c r="F1252" t="s">
        <v>4144</v>
      </c>
      <c r="G1252" s="2">
        <v>45910</v>
      </c>
      <c r="H1252" s="2">
        <v>45921</v>
      </c>
      <c r="I1252" t="s">
        <v>5765</v>
      </c>
      <c r="J1252" t="s">
        <v>5769</v>
      </c>
      <c r="K1252">
        <v>333218.63</v>
      </c>
      <c r="L1252" t="s">
        <v>5775</v>
      </c>
      <c r="M1252">
        <v>11</v>
      </c>
    </row>
    <row r="1253" spans="1:13" x14ac:dyDescent="0.25">
      <c r="A1253">
        <v>1252</v>
      </c>
      <c r="B1253" t="s">
        <v>1264</v>
      </c>
      <c r="C1253">
        <v>42</v>
      </c>
      <c r="D1253" t="s">
        <v>2947</v>
      </c>
      <c r="E1253" t="s">
        <v>2952</v>
      </c>
      <c r="F1253" t="s">
        <v>4145</v>
      </c>
      <c r="G1253" s="2">
        <v>45728</v>
      </c>
      <c r="H1253" s="2">
        <v>45737</v>
      </c>
      <c r="I1253" t="s">
        <v>5765</v>
      </c>
      <c r="J1253" t="s">
        <v>5771</v>
      </c>
      <c r="K1253">
        <v>13667.92</v>
      </c>
      <c r="L1253" t="s">
        <v>5773</v>
      </c>
      <c r="M1253">
        <v>9</v>
      </c>
    </row>
    <row r="1254" spans="1:13" x14ac:dyDescent="0.25">
      <c r="A1254">
        <v>1253</v>
      </c>
      <c r="B1254" t="s">
        <v>1265</v>
      </c>
      <c r="C1254">
        <v>5</v>
      </c>
      <c r="D1254" t="s">
        <v>2947</v>
      </c>
      <c r="E1254" t="s">
        <v>2954</v>
      </c>
      <c r="F1254" t="s">
        <v>891</v>
      </c>
      <c r="G1254" s="2">
        <v>45724</v>
      </c>
      <c r="H1254" s="2">
        <v>45733</v>
      </c>
      <c r="I1254" t="s">
        <v>5765</v>
      </c>
      <c r="J1254" t="s">
        <v>5768</v>
      </c>
      <c r="K1254">
        <v>188642.07</v>
      </c>
      <c r="L1254" t="s">
        <v>5775</v>
      </c>
      <c r="M1254">
        <v>9</v>
      </c>
    </row>
    <row r="1255" spans="1:13" x14ac:dyDescent="0.25">
      <c r="A1255">
        <v>1254</v>
      </c>
      <c r="B1255" t="s">
        <v>1266</v>
      </c>
      <c r="C1255">
        <v>65</v>
      </c>
      <c r="D1255" t="s">
        <v>2948</v>
      </c>
      <c r="E1255" t="s">
        <v>2954</v>
      </c>
      <c r="F1255" t="s">
        <v>4146</v>
      </c>
      <c r="G1255" s="2">
        <v>45858</v>
      </c>
      <c r="H1255" s="2">
        <v>45873</v>
      </c>
      <c r="I1255" t="s">
        <v>5758</v>
      </c>
      <c r="J1255" t="s">
        <v>5769</v>
      </c>
      <c r="K1255">
        <v>192760.1</v>
      </c>
      <c r="L1255" t="s">
        <v>5774</v>
      </c>
      <c r="M1255">
        <v>15</v>
      </c>
    </row>
    <row r="1256" spans="1:13" x14ac:dyDescent="0.25">
      <c r="A1256">
        <v>1255</v>
      </c>
      <c r="B1256" t="s">
        <v>1267</v>
      </c>
      <c r="C1256">
        <v>80</v>
      </c>
      <c r="D1256" t="s">
        <v>2948</v>
      </c>
      <c r="E1256" t="s">
        <v>2953</v>
      </c>
      <c r="F1256" t="s">
        <v>4147</v>
      </c>
      <c r="G1256" s="2">
        <v>45786</v>
      </c>
      <c r="H1256" s="2">
        <v>45787</v>
      </c>
      <c r="I1256" t="s">
        <v>5762</v>
      </c>
      <c r="J1256" t="s">
        <v>2949</v>
      </c>
      <c r="K1256">
        <v>121990.13</v>
      </c>
      <c r="L1256" t="s">
        <v>5774</v>
      </c>
      <c r="M1256">
        <v>1</v>
      </c>
    </row>
    <row r="1257" spans="1:13" x14ac:dyDescent="0.25">
      <c r="A1257">
        <v>1256</v>
      </c>
      <c r="B1257" t="s">
        <v>1268</v>
      </c>
      <c r="C1257">
        <v>9</v>
      </c>
      <c r="D1257" t="s">
        <v>2947</v>
      </c>
      <c r="E1257" t="s">
        <v>2955</v>
      </c>
      <c r="F1257" t="s">
        <v>4148</v>
      </c>
      <c r="G1257" s="2">
        <v>45815</v>
      </c>
      <c r="H1257" s="2">
        <v>45819</v>
      </c>
      <c r="I1257" t="s">
        <v>5765</v>
      </c>
      <c r="J1257" t="s">
        <v>5768</v>
      </c>
      <c r="K1257">
        <v>10928.54</v>
      </c>
      <c r="L1257" t="s">
        <v>5775</v>
      </c>
      <c r="M1257">
        <v>4</v>
      </c>
    </row>
    <row r="1258" spans="1:13" x14ac:dyDescent="0.25">
      <c r="A1258">
        <v>1257</v>
      </c>
      <c r="B1258" t="s">
        <v>1269</v>
      </c>
      <c r="C1258">
        <v>59</v>
      </c>
      <c r="D1258" t="s">
        <v>2947</v>
      </c>
      <c r="E1258" t="s">
        <v>2949</v>
      </c>
      <c r="F1258" t="s">
        <v>4149</v>
      </c>
      <c r="G1258" s="2">
        <v>45811</v>
      </c>
      <c r="H1258" s="2">
        <v>45818</v>
      </c>
      <c r="I1258" t="s">
        <v>5761</v>
      </c>
      <c r="J1258" t="s">
        <v>5768</v>
      </c>
      <c r="K1258">
        <v>153456.32999999999</v>
      </c>
      <c r="L1258" t="s">
        <v>5773</v>
      </c>
      <c r="M1258">
        <v>7</v>
      </c>
    </row>
    <row r="1259" spans="1:13" x14ac:dyDescent="0.25">
      <c r="A1259">
        <v>1258</v>
      </c>
      <c r="B1259" t="s">
        <v>1270</v>
      </c>
      <c r="C1259">
        <v>16</v>
      </c>
      <c r="D1259" t="s">
        <v>2947</v>
      </c>
      <c r="E1259" t="s">
        <v>2954</v>
      </c>
      <c r="F1259" t="s">
        <v>4150</v>
      </c>
      <c r="G1259" s="2">
        <v>45574</v>
      </c>
      <c r="H1259" s="2">
        <v>45589</v>
      </c>
      <c r="I1259" t="s">
        <v>5760</v>
      </c>
      <c r="J1259" t="s">
        <v>2949</v>
      </c>
      <c r="K1259">
        <v>180748.17</v>
      </c>
      <c r="L1259" t="s">
        <v>5774</v>
      </c>
      <c r="M1259">
        <v>15</v>
      </c>
    </row>
    <row r="1260" spans="1:13" x14ac:dyDescent="0.25">
      <c r="A1260">
        <v>1259</v>
      </c>
      <c r="B1260" t="s">
        <v>1271</v>
      </c>
      <c r="C1260">
        <v>62</v>
      </c>
      <c r="D1260" t="s">
        <v>2947</v>
      </c>
      <c r="E1260" t="s">
        <v>2953</v>
      </c>
      <c r="F1260" t="s">
        <v>4151</v>
      </c>
      <c r="G1260" s="2">
        <v>45860</v>
      </c>
      <c r="H1260" s="2">
        <v>45870</v>
      </c>
      <c r="I1260" t="s">
        <v>5760</v>
      </c>
      <c r="J1260" t="s">
        <v>5769</v>
      </c>
      <c r="K1260">
        <v>470057.79</v>
      </c>
      <c r="L1260" t="s">
        <v>5775</v>
      </c>
      <c r="M1260">
        <v>10</v>
      </c>
    </row>
    <row r="1261" spans="1:13" x14ac:dyDescent="0.25">
      <c r="A1261">
        <v>1260</v>
      </c>
      <c r="B1261" t="s">
        <v>1272</v>
      </c>
      <c r="C1261">
        <v>47</v>
      </c>
      <c r="D1261" t="s">
        <v>2947</v>
      </c>
      <c r="E1261" t="s">
        <v>2951</v>
      </c>
      <c r="F1261" t="s">
        <v>1570</v>
      </c>
      <c r="G1261" s="2">
        <v>45793</v>
      </c>
      <c r="H1261" s="2">
        <v>45800</v>
      </c>
      <c r="I1261" t="s">
        <v>5764</v>
      </c>
      <c r="J1261" t="s">
        <v>5768</v>
      </c>
      <c r="K1261">
        <v>56515.46</v>
      </c>
      <c r="L1261" t="s">
        <v>5775</v>
      </c>
      <c r="M1261">
        <v>7</v>
      </c>
    </row>
    <row r="1262" spans="1:13" x14ac:dyDescent="0.25">
      <c r="A1262">
        <v>1261</v>
      </c>
      <c r="B1262" t="s">
        <v>1273</v>
      </c>
      <c r="C1262">
        <v>54</v>
      </c>
      <c r="D1262" t="s">
        <v>2948</v>
      </c>
      <c r="E1262" t="s">
        <v>2949</v>
      </c>
      <c r="F1262" t="s">
        <v>4152</v>
      </c>
      <c r="G1262" s="2">
        <v>45906</v>
      </c>
      <c r="H1262" s="2">
        <v>45921</v>
      </c>
      <c r="I1262" t="s">
        <v>5767</v>
      </c>
      <c r="J1262" t="s">
        <v>5770</v>
      </c>
      <c r="K1262">
        <v>214172.22</v>
      </c>
      <c r="L1262" t="s">
        <v>5774</v>
      </c>
      <c r="M1262">
        <v>15</v>
      </c>
    </row>
    <row r="1263" spans="1:13" x14ac:dyDescent="0.25">
      <c r="A1263">
        <v>1262</v>
      </c>
      <c r="B1263" t="s">
        <v>1274</v>
      </c>
      <c r="C1263">
        <v>52</v>
      </c>
      <c r="D1263" t="s">
        <v>2947</v>
      </c>
      <c r="E1263" t="s">
        <v>2953</v>
      </c>
      <c r="F1263" t="s">
        <v>4153</v>
      </c>
      <c r="G1263" s="2">
        <v>45785</v>
      </c>
      <c r="H1263" s="2">
        <v>45792</v>
      </c>
      <c r="I1263" t="s">
        <v>5758</v>
      </c>
      <c r="J1263" t="s">
        <v>5770</v>
      </c>
      <c r="K1263">
        <v>256511.15</v>
      </c>
      <c r="L1263" t="s">
        <v>5773</v>
      </c>
      <c r="M1263">
        <v>7</v>
      </c>
    </row>
    <row r="1264" spans="1:13" x14ac:dyDescent="0.25">
      <c r="A1264">
        <v>1263</v>
      </c>
      <c r="B1264" t="s">
        <v>1275</v>
      </c>
      <c r="C1264">
        <v>56</v>
      </c>
      <c r="D1264" t="s">
        <v>2947</v>
      </c>
      <c r="E1264" t="s">
        <v>2949</v>
      </c>
      <c r="F1264" t="s">
        <v>1593</v>
      </c>
      <c r="G1264" s="2">
        <v>45816</v>
      </c>
      <c r="H1264" s="2">
        <v>45818</v>
      </c>
      <c r="I1264" t="s">
        <v>5763</v>
      </c>
      <c r="J1264" t="s">
        <v>5768</v>
      </c>
      <c r="K1264">
        <v>86255.02</v>
      </c>
      <c r="L1264" t="s">
        <v>5774</v>
      </c>
      <c r="M1264">
        <v>2</v>
      </c>
    </row>
    <row r="1265" spans="1:13" x14ac:dyDescent="0.25">
      <c r="A1265">
        <v>1264</v>
      </c>
      <c r="B1265" t="s">
        <v>1276</v>
      </c>
      <c r="C1265">
        <v>16</v>
      </c>
      <c r="D1265" t="s">
        <v>2948</v>
      </c>
      <c r="E1265" t="s">
        <v>2955</v>
      </c>
      <c r="F1265" t="s">
        <v>4154</v>
      </c>
      <c r="G1265" s="2">
        <v>45603</v>
      </c>
      <c r="H1265" s="2">
        <v>45613</v>
      </c>
      <c r="I1265" t="s">
        <v>5764</v>
      </c>
      <c r="J1265" t="s">
        <v>5768</v>
      </c>
      <c r="K1265">
        <v>377375.45</v>
      </c>
      <c r="L1265" t="s">
        <v>5775</v>
      </c>
      <c r="M1265">
        <v>10</v>
      </c>
    </row>
    <row r="1266" spans="1:13" x14ac:dyDescent="0.25">
      <c r="A1266">
        <v>1265</v>
      </c>
      <c r="B1266" t="s">
        <v>1277</v>
      </c>
      <c r="C1266">
        <v>67</v>
      </c>
      <c r="D1266" t="s">
        <v>2947</v>
      </c>
      <c r="E1266" t="s">
        <v>2952</v>
      </c>
      <c r="F1266" t="s">
        <v>4155</v>
      </c>
      <c r="G1266" s="2">
        <v>45588</v>
      </c>
      <c r="H1266" s="2">
        <v>45594</v>
      </c>
      <c r="I1266" t="s">
        <v>5759</v>
      </c>
      <c r="J1266" t="s">
        <v>5772</v>
      </c>
      <c r="K1266">
        <v>77869.77</v>
      </c>
      <c r="L1266" t="s">
        <v>5774</v>
      </c>
      <c r="M1266">
        <v>6</v>
      </c>
    </row>
    <row r="1267" spans="1:13" x14ac:dyDescent="0.25">
      <c r="A1267">
        <v>1266</v>
      </c>
      <c r="B1267" t="s">
        <v>1278</v>
      </c>
      <c r="C1267">
        <v>8</v>
      </c>
      <c r="D1267" t="s">
        <v>2947</v>
      </c>
      <c r="E1267" t="s">
        <v>2950</v>
      </c>
      <c r="F1267" t="s">
        <v>4156</v>
      </c>
      <c r="G1267" s="2">
        <v>45559</v>
      </c>
      <c r="H1267" s="2">
        <v>45561</v>
      </c>
      <c r="I1267" t="s">
        <v>5761</v>
      </c>
      <c r="J1267" t="s">
        <v>2949</v>
      </c>
      <c r="K1267">
        <v>34009.47</v>
      </c>
      <c r="L1267" t="s">
        <v>5774</v>
      </c>
      <c r="M1267">
        <v>2</v>
      </c>
    </row>
    <row r="1268" spans="1:13" x14ac:dyDescent="0.25">
      <c r="A1268">
        <v>1267</v>
      </c>
      <c r="B1268" t="s">
        <v>1279</v>
      </c>
      <c r="C1268">
        <v>68</v>
      </c>
      <c r="D1268" t="s">
        <v>2947</v>
      </c>
      <c r="E1268" t="s">
        <v>2950</v>
      </c>
      <c r="F1268" t="s">
        <v>4157</v>
      </c>
      <c r="G1268" s="2">
        <v>45898</v>
      </c>
      <c r="H1268" s="2">
        <v>45899</v>
      </c>
      <c r="I1268" t="s">
        <v>5763</v>
      </c>
      <c r="J1268" t="s">
        <v>5771</v>
      </c>
      <c r="K1268">
        <v>276864.93</v>
      </c>
      <c r="L1268" t="s">
        <v>5774</v>
      </c>
      <c r="M1268">
        <v>1</v>
      </c>
    </row>
    <row r="1269" spans="1:13" x14ac:dyDescent="0.25">
      <c r="A1269">
        <v>1268</v>
      </c>
      <c r="B1269" t="s">
        <v>1280</v>
      </c>
      <c r="C1269">
        <v>84</v>
      </c>
      <c r="D1269" t="s">
        <v>2948</v>
      </c>
      <c r="E1269" t="s">
        <v>2954</v>
      </c>
      <c r="F1269" t="s">
        <v>922</v>
      </c>
      <c r="G1269" s="2">
        <v>45664</v>
      </c>
      <c r="H1269" s="2">
        <v>45666</v>
      </c>
      <c r="I1269" t="s">
        <v>5762</v>
      </c>
      <c r="J1269" t="s">
        <v>5772</v>
      </c>
      <c r="K1269">
        <v>307795.81</v>
      </c>
      <c r="L1269" t="s">
        <v>5774</v>
      </c>
      <c r="M1269">
        <v>2</v>
      </c>
    </row>
    <row r="1270" spans="1:13" x14ac:dyDescent="0.25">
      <c r="A1270">
        <v>1269</v>
      </c>
      <c r="B1270" t="s">
        <v>1281</v>
      </c>
      <c r="C1270">
        <v>49</v>
      </c>
      <c r="D1270" t="s">
        <v>2947</v>
      </c>
      <c r="E1270" t="s">
        <v>2949</v>
      </c>
      <c r="F1270" t="s">
        <v>4158</v>
      </c>
      <c r="G1270" s="2">
        <v>45711</v>
      </c>
      <c r="H1270" s="2">
        <v>45715</v>
      </c>
      <c r="I1270" t="s">
        <v>5759</v>
      </c>
      <c r="J1270" t="s">
        <v>5768</v>
      </c>
      <c r="K1270">
        <v>488653.02</v>
      </c>
      <c r="L1270" t="s">
        <v>5775</v>
      </c>
      <c r="M1270">
        <v>4</v>
      </c>
    </row>
    <row r="1271" spans="1:13" x14ac:dyDescent="0.25">
      <c r="A1271">
        <v>1270</v>
      </c>
      <c r="B1271" t="s">
        <v>1282</v>
      </c>
      <c r="C1271">
        <v>14</v>
      </c>
      <c r="D1271" t="s">
        <v>2947</v>
      </c>
      <c r="E1271" t="s">
        <v>2953</v>
      </c>
      <c r="F1271" t="s">
        <v>4159</v>
      </c>
      <c r="G1271" s="2">
        <v>45848</v>
      </c>
      <c r="H1271" s="2">
        <v>45850</v>
      </c>
      <c r="I1271" t="s">
        <v>5766</v>
      </c>
      <c r="J1271" t="s">
        <v>5772</v>
      </c>
      <c r="K1271">
        <v>98208.05</v>
      </c>
      <c r="L1271" t="s">
        <v>5775</v>
      </c>
      <c r="M1271">
        <v>2</v>
      </c>
    </row>
    <row r="1272" spans="1:13" x14ac:dyDescent="0.25">
      <c r="A1272">
        <v>1271</v>
      </c>
      <c r="B1272" t="s">
        <v>1283</v>
      </c>
      <c r="C1272">
        <v>22</v>
      </c>
      <c r="D1272" t="s">
        <v>2947</v>
      </c>
      <c r="E1272" t="s">
        <v>2950</v>
      </c>
      <c r="F1272" t="s">
        <v>1700</v>
      </c>
      <c r="G1272" s="2">
        <v>45650</v>
      </c>
      <c r="H1272" s="2">
        <v>45651</v>
      </c>
      <c r="I1272" t="s">
        <v>5759</v>
      </c>
      <c r="J1272" t="s">
        <v>5772</v>
      </c>
      <c r="K1272">
        <v>164377.25</v>
      </c>
      <c r="L1272" t="s">
        <v>5774</v>
      </c>
      <c r="M1272">
        <v>1</v>
      </c>
    </row>
    <row r="1273" spans="1:13" x14ac:dyDescent="0.25">
      <c r="A1273">
        <v>1272</v>
      </c>
      <c r="B1273" t="s">
        <v>1284</v>
      </c>
      <c r="C1273">
        <v>31</v>
      </c>
      <c r="D1273" t="s">
        <v>2947</v>
      </c>
      <c r="E1273" t="s">
        <v>2953</v>
      </c>
      <c r="F1273" t="s">
        <v>4160</v>
      </c>
      <c r="G1273" s="2">
        <v>45652</v>
      </c>
      <c r="H1273" s="2">
        <v>45661</v>
      </c>
      <c r="I1273" t="s">
        <v>5762</v>
      </c>
      <c r="J1273" t="s">
        <v>5771</v>
      </c>
      <c r="K1273">
        <v>41793.730000000003</v>
      </c>
      <c r="L1273" t="s">
        <v>5774</v>
      </c>
      <c r="M1273">
        <v>9</v>
      </c>
    </row>
    <row r="1274" spans="1:13" x14ac:dyDescent="0.25">
      <c r="A1274">
        <v>1273</v>
      </c>
      <c r="B1274" t="s">
        <v>1285</v>
      </c>
      <c r="C1274">
        <v>75</v>
      </c>
      <c r="D1274" t="s">
        <v>2948</v>
      </c>
      <c r="E1274" t="s">
        <v>2951</v>
      </c>
      <c r="F1274" t="s">
        <v>4161</v>
      </c>
      <c r="G1274" s="2">
        <v>45706</v>
      </c>
      <c r="H1274" s="2">
        <v>45721</v>
      </c>
      <c r="I1274" t="s">
        <v>5766</v>
      </c>
      <c r="J1274" t="s">
        <v>5768</v>
      </c>
      <c r="K1274">
        <v>491338.28</v>
      </c>
      <c r="L1274" t="s">
        <v>5773</v>
      </c>
      <c r="M1274">
        <v>15</v>
      </c>
    </row>
    <row r="1275" spans="1:13" x14ac:dyDescent="0.25">
      <c r="A1275">
        <v>1274</v>
      </c>
      <c r="B1275" t="s">
        <v>1286</v>
      </c>
      <c r="C1275">
        <v>71</v>
      </c>
      <c r="D1275" t="s">
        <v>2948</v>
      </c>
      <c r="E1275" t="s">
        <v>2953</v>
      </c>
      <c r="F1275" t="s">
        <v>4162</v>
      </c>
      <c r="G1275" s="2">
        <v>45825</v>
      </c>
      <c r="H1275" s="2">
        <v>45838</v>
      </c>
      <c r="I1275" t="s">
        <v>5758</v>
      </c>
      <c r="J1275" t="s">
        <v>5769</v>
      </c>
      <c r="K1275">
        <v>481248.21</v>
      </c>
      <c r="L1275" t="s">
        <v>5774</v>
      </c>
      <c r="M1275">
        <v>13</v>
      </c>
    </row>
    <row r="1276" spans="1:13" x14ac:dyDescent="0.25">
      <c r="A1276">
        <v>1275</v>
      </c>
      <c r="B1276" t="s">
        <v>1287</v>
      </c>
      <c r="C1276">
        <v>71</v>
      </c>
      <c r="D1276" t="s">
        <v>2948</v>
      </c>
      <c r="E1276" t="s">
        <v>2954</v>
      </c>
      <c r="F1276" t="s">
        <v>4163</v>
      </c>
      <c r="G1276" s="2">
        <v>45844</v>
      </c>
      <c r="H1276" s="2">
        <v>45846</v>
      </c>
      <c r="I1276" t="s">
        <v>5762</v>
      </c>
      <c r="J1276" t="s">
        <v>5769</v>
      </c>
      <c r="K1276">
        <v>322468.61</v>
      </c>
      <c r="L1276" t="s">
        <v>5774</v>
      </c>
      <c r="M1276">
        <v>2</v>
      </c>
    </row>
    <row r="1277" spans="1:13" x14ac:dyDescent="0.25">
      <c r="A1277">
        <v>1276</v>
      </c>
      <c r="B1277" t="s">
        <v>1288</v>
      </c>
      <c r="C1277">
        <v>76</v>
      </c>
      <c r="D1277" t="s">
        <v>2948</v>
      </c>
      <c r="E1277" t="s">
        <v>2955</v>
      </c>
      <c r="F1277" t="s">
        <v>4164</v>
      </c>
      <c r="G1277" s="2">
        <v>45620</v>
      </c>
      <c r="H1277" s="2">
        <v>45634</v>
      </c>
      <c r="I1277" t="s">
        <v>5759</v>
      </c>
      <c r="J1277" t="s">
        <v>5771</v>
      </c>
      <c r="K1277">
        <v>75443.520000000004</v>
      </c>
      <c r="L1277" t="s">
        <v>5774</v>
      </c>
      <c r="M1277">
        <v>14</v>
      </c>
    </row>
    <row r="1278" spans="1:13" x14ac:dyDescent="0.25">
      <c r="A1278">
        <v>1277</v>
      </c>
      <c r="B1278" t="s">
        <v>1289</v>
      </c>
      <c r="C1278">
        <v>48</v>
      </c>
      <c r="D1278" t="s">
        <v>2948</v>
      </c>
      <c r="E1278" t="s">
        <v>2952</v>
      </c>
      <c r="F1278" t="s">
        <v>4165</v>
      </c>
      <c r="G1278" s="2">
        <v>45795</v>
      </c>
      <c r="H1278" s="2">
        <v>45808</v>
      </c>
      <c r="I1278" t="s">
        <v>5761</v>
      </c>
      <c r="J1278" t="s">
        <v>5772</v>
      </c>
      <c r="K1278">
        <v>414345.93</v>
      </c>
      <c r="L1278" t="s">
        <v>5773</v>
      </c>
      <c r="M1278">
        <v>13</v>
      </c>
    </row>
    <row r="1279" spans="1:13" x14ac:dyDescent="0.25">
      <c r="A1279">
        <v>1278</v>
      </c>
      <c r="B1279" t="s">
        <v>1290</v>
      </c>
      <c r="C1279">
        <v>17</v>
      </c>
      <c r="D1279" t="s">
        <v>2948</v>
      </c>
      <c r="E1279" t="s">
        <v>2952</v>
      </c>
      <c r="F1279" t="s">
        <v>4166</v>
      </c>
      <c r="G1279" s="2">
        <v>45709</v>
      </c>
      <c r="H1279" s="2">
        <v>45724</v>
      </c>
      <c r="I1279" t="s">
        <v>5764</v>
      </c>
      <c r="J1279" t="s">
        <v>5769</v>
      </c>
      <c r="K1279">
        <v>494768.95</v>
      </c>
      <c r="L1279" t="s">
        <v>5775</v>
      </c>
      <c r="M1279">
        <v>15</v>
      </c>
    </row>
    <row r="1280" spans="1:13" x14ac:dyDescent="0.25">
      <c r="A1280">
        <v>1279</v>
      </c>
      <c r="B1280" t="s">
        <v>1291</v>
      </c>
      <c r="C1280">
        <v>70</v>
      </c>
      <c r="D1280" t="s">
        <v>2948</v>
      </c>
      <c r="E1280" t="s">
        <v>2952</v>
      </c>
      <c r="F1280" t="s">
        <v>4167</v>
      </c>
      <c r="G1280" s="2">
        <v>45637</v>
      </c>
      <c r="H1280" s="2">
        <v>45639</v>
      </c>
      <c r="I1280" t="s">
        <v>5764</v>
      </c>
      <c r="J1280" t="s">
        <v>5768</v>
      </c>
      <c r="K1280">
        <v>358076.65</v>
      </c>
      <c r="L1280" t="s">
        <v>5774</v>
      </c>
      <c r="M1280">
        <v>2</v>
      </c>
    </row>
    <row r="1281" spans="1:13" x14ac:dyDescent="0.25">
      <c r="A1281">
        <v>1280</v>
      </c>
      <c r="B1281" t="s">
        <v>1292</v>
      </c>
      <c r="C1281">
        <v>82</v>
      </c>
      <c r="D1281" t="s">
        <v>2947</v>
      </c>
      <c r="E1281" t="s">
        <v>2950</v>
      </c>
      <c r="F1281" t="s">
        <v>214</v>
      </c>
      <c r="G1281" s="2">
        <v>45624</v>
      </c>
      <c r="H1281" s="2">
        <v>45632</v>
      </c>
      <c r="I1281" t="s">
        <v>5759</v>
      </c>
      <c r="J1281" t="s">
        <v>5772</v>
      </c>
      <c r="K1281">
        <v>366335.12</v>
      </c>
      <c r="L1281" t="s">
        <v>5773</v>
      </c>
      <c r="M1281">
        <v>8</v>
      </c>
    </row>
    <row r="1282" spans="1:13" x14ac:dyDescent="0.25">
      <c r="A1282">
        <v>1281</v>
      </c>
      <c r="B1282" t="s">
        <v>1293</v>
      </c>
      <c r="C1282">
        <v>10</v>
      </c>
      <c r="D1282" t="s">
        <v>2947</v>
      </c>
      <c r="E1282" t="s">
        <v>2955</v>
      </c>
      <c r="F1282" t="s">
        <v>4168</v>
      </c>
      <c r="G1282" s="2">
        <v>45708</v>
      </c>
      <c r="H1282" s="2">
        <v>45719</v>
      </c>
      <c r="I1282" t="s">
        <v>5766</v>
      </c>
      <c r="J1282" t="s">
        <v>5769</v>
      </c>
      <c r="K1282">
        <v>96313.03</v>
      </c>
      <c r="L1282" t="s">
        <v>5775</v>
      </c>
      <c r="M1282">
        <v>11</v>
      </c>
    </row>
    <row r="1283" spans="1:13" x14ac:dyDescent="0.25">
      <c r="A1283">
        <v>1282</v>
      </c>
      <c r="B1283" t="s">
        <v>1294</v>
      </c>
      <c r="C1283">
        <v>10</v>
      </c>
      <c r="D1283" t="s">
        <v>2947</v>
      </c>
      <c r="E1283" t="s">
        <v>2954</v>
      </c>
      <c r="F1283" t="s">
        <v>4169</v>
      </c>
      <c r="G1283" s="2">
        <v>45884</v>
      </c>
      <c r="H1283" s="2">
        <v>45897</v>
      </c>
      <c r="I1283" t="s">
        <v>5766</v>
      </c>
      <c r="J1283" t="s">
        <v>5769</v>
      </c>
      <c r="K1283">
        <v>384933.28</v>
      </c>
      <c r="L1283" t="s">
        <v>5773</v>
      </c>
      <c r="M1283">
        <v>13</v>
      </c>
    </row>
    <row r="1284" spans="1:13" x14ac:dyDescent="0.25">
      <c r="A1284">
        <v>1283</v>
      </c>
      <c r="B1284" t="s">
        <v>1295</v>
      </c>
      <c r="C1284">
        <v>61</v>
      </c>
      <c r="D1284" t="s">
        <v>2947</v>
      </c>
      <c r="E1284" t="s">
        <v>2950</v>
      </c>
      <c r="F1284" t="s">
        <v>4170</v>
      </c>
      <c r="G1284" s="2">
        <v>45599</v>
      </c>
      <c r="H1284" s="2">
        <v>45602</v>
      </c>
      <c r="I1284" t="s">
        <v>5762</v>
      </c>
      <c r="J1284" t="s">
        <v>2949</v>
      </c>
      <c r="K1284">
        <v>249793.09</v>
      </c>
      <c r="L1284" t="s">
        <v>5774</v>
      </c>
      <c r="M1284">
        <v>3</v>
      </c>
    </row>
    <row r="1285" spans="1:13" x14ac:dyDescent="0.25">
      <c r="A1285">
        <v>1284</v>
      </c>
      <c r="B1285" t="s">
        <v>1296</v>
      </c>
      <c r="C1285">
        <v>28</v>
      </c>
      <c r="D1285" t="s">
        <v>2948</v>
      </c>
      <c r="E1285" t="s">
        <v>2951</v>
      </c>
      <c r="F1285" t="s">
        <v>4171</v>
      </c>
      <c r="G1285" s="2">
        <v>45746</v>
      </c>
      <c r="H1285" s="2">
        <v>45752</v>
      </c>
      <c r="I1285" t="s">
        <v>5763</v>
      </c>
      <c r="J1285" t="s">
        <v>5771</v>
      </c>
      <c r="K1285">
        <v>471060.3</v>
      </c>
      <c r="L1285" t="s">
        <v>5773</v>
      </c>
      <c r="M1285">
        <v>6</v>
      </c>
    </row>
    <row r="1286" spans="1:13" x14ac:dyDescent="0.25">
      <c r="A1286">
        <v>1285</v>
      </c>
      <c r="B1286" t="s">
        <v>1297</v>
      </c>
      <c r="C1286">
        <v>41</v>
      </c>
      <c r="D1286" t="s">
        <v>2947</v>
      </c>
      <c r="E1286" t="s">
        <v>2954</v>
      </c>
      <c r="F1286" t="s">
        <v>4172</v>
      </c>
      <c r="G1286" s="2">
        <v>45644</v>
      </c>
      <c r="H1286" s="2">
        <v>45651</v>
      </c>
      <c r="I1286" t="s">
        <v>5766</v>
      </c>
      <c r="J1286" t="s">
        <v>5772</v>
      </c>
      <c r="K1286">
        <v>350602.63</v>
      </c>
      <c r="L1286" t="s">
        <v>5774</v>
      </c>
      <c r="M1286">
        <v>7</v>
      </c>
    </row>
    <row r="1287" spans="1:13" x14ac:dyDescent="0.25">
      <c r="A1287">
        <v>1286</v>
      </c>
      <c r="B1287" t="s">
        <v>1298</v>
      </c>
      <c r="C1287">
        <v>36</v>
      </c>
      <c r="D1287" t="s">
        <v>2947</v>
      </c>
      <c r="E1287" t="s">
        <v>2952</v>
      </c>
      <c r="F1287" t="s">
        <v>4173</v>
      </c>
      <c r="G1287" s="2">
        <v>45638</v>
      </c>
      <c r="H1287" s="2">
        <v>45643</v>
      </c>
      <c r="I1287" t="s">
        <v>5761</v>
      </c>
      <c r="J1287" t="s">
        <v>5769</v>
      </c>
      <c r="K1287">
        <v>164426.81</v>
      </c>
      <c r="L1287" t="s">
        <v>5773</v>
      </c>
      <c r="M1287">
        <v>5</v>
      </c>
    </row>
    <row r="1288" spans="1:13" x14ac:dyDescent="0.25">
      <c r="A1288">
        <v>1287</v>
      </c>
      <c r="B1288" t="s">
        <v>1299</v>
      </c>
      <c r="C1288">
        <v>41</v>
      </c>
      <c r="D1288" t="s">
        <v>2947</v>
      </c>
      <c r="E1288" t="s">
        <v>2951</v>
      </c>
      <c r="F1288" t="s">
        <v>4174</v>
      </c>
      <c r="G1288" s="2">
        <v>45875</v>
      </c>
      <c r="H1288" s="2">
        <v>45885</v>
      </c>
      <c r="I1288" t="s">
        <v>5762</v>
      </c>
      <c r="J1288" t="s">
        <v>5768</v>
      </c>
      <c r="K1288">
        <v>326621.84000000003</v>
      </c>
      <c r="L1288" t="s">
        <v>5773</v>
      </c>
      <c r="M1288">
        <v>10</v>
      </c>
    </row>
    <row r="1289" spans="1:13" x14ac:dyDescent="0.25">
      <c r="A1289">
        <v>1288</v>
      </c>
      <c r="B1289" t="s">
        <v>1300</v>
      </c>
      <c r="C1289">
        <v>65</v>
      </c>
      <c r="D1289" t="s">
        <v>2947</v>
      </c>
      <c r="E1289" t="s">
        <v>2950</v>
      </c>
      <c r="F1289" t="s">
        <v>4175</v>
      </c>
      <c r="G1289" s="2">
        <v>45859</v>
      </c>
      <c r="H1289" s="2">
        <v>45872</v>
      </c>
      <c r="I1289" t="s">
        <v>5762</v>
      </c>
      <c r="J1289" t="s">
        <v>5770</v>
      </c>
      <c r="K1289">
        <v>103519.73</v>
      </c>
      <c r="L1289" t="s">
        <v>5774</v>
      </c>
      <c r="M1289">
        <v>13</v>
      </c>
    </row>
    <row r="1290" spans="1:13" x14ac:dyDescent="0.25">
      <c r="A1290">
        <v>1289</v>
      </c>
      <c r="B1290" t="s">
        <v>1301</v>
      </c>
      <c r="C1290">
        <v>34</v>
      </c>
      <c r="D1290" t="s">
        <v>2948</v>
      </c>
      <c r="E1290" t="s">
        <v>2953</v>
      </c>
      <c r="F1290" t="s">
        <v>4176</v>
      </c>
      <c r="G1290" s="2">
        <v>45640</v>
      </c>
      <c r="H1290" s="2">
        <v>45652</v>
      </c>
      <c r="I1290" t="s">
        <v>5758</v>
      </c>
      <c r="J1290" t="s">
        <v>5768</v>
      </c>
      <c r="K1290">
        <v>191419.95</v>
      </c>
      <c r="L1290" t="s">
        <v>5774</v>
      </c>
      <c r="M1290">
        <v>12</v>
      </c>
    </row>
    <row r="1291" spans="1:13" x14ac:dyDescent="0.25">
      <c r="A1291">
        <v>1290</v>
      </c>
      <c r="B1291" t="s">
        <v>1302</v>
      </c>
      <c r="C1291">
        <v>80</v>
      </c>
      <c r="D1291" t="s">
        <v>2948</v>
      </c>
      <c r="E1291" t="s">
        <v>2951</v>
      </c>
      <c r="F1291" t="s">
        <v>4177</v>
      </c>
      <c r="G1291" s="2">
        <v>45893</v>
      </c>
      <c r="H1291" s="2">
        <v>45894</v>
      </c>
      <c r="I1291" t="s">
        <v>5759</v>
      </c>
      <c r="J1291" t="s">
        <v>5772</v>
      </c>
      <c r="K1291">
        <v>474070.13</v>
      </c>
      <c r="L1291" t="s">
        <v>5775</v>
      </c>
      <c r="M1291">
        <v>1</v>
      </c>
    </row>
    <row r="1292" spans="1:13" x14ac:dyDescent="0.25">
      <c r="A1292">
        <v>1291</v>
      </c>
      <c r="B1292" t="s">
        <v>1303</v>
      </c>
      <c r="C1292">
        <v>65</v>
      </c>
      <c r="D1292" t="s">
        <v>2947</v>
      </c>
      <c r="E1292" t="s">
        <v>2955</v>
      </c>
      <c r="F1292" t="s">
        <v>4178</v>
      </c>
      <c r="G1292" s="2">
        <v>45562</v>
      </c>
      <c r="H1292" s="2">
        <v>45575</v>
      </c>
      <c r="I1292" t="s">
        <v>5762</v>
      </c>
      <c r="J1292" t="s">
        <v>5771</v>
      </c>
      <c r="K1292">
        <v>245237.88</v>
      </c>
      <c r="L1292" t="s">
        <v>5775</v>
      </c>
      <c r="M1292">
        <v>13</v>
      </c>
    </row>
    <row r="1293" spans="1:13" x14ac:dyDescent="0.25">
      <c r="A1293">
        <v>1292</v>
      </c>
      <c r="B1293" t="s">
        <v>1304</v>
      </c>
      <c r="C1293">
        <v>37</v>
      </c>
      <c r="D1293" t="s">
        <v>2948</v>
      </c>
      <c r="E1293" t="s">
        <v>2953</v>
      </c>
      <c r="F1293" t="s">
        <v>4179</v>
      </c>
      <c r="G1293" s="2">
        <v>45586</v>
      </c>
      <c r="H1293" s="2">
        <v>45587</v>
      </c>
      <c r="I1293" t="s">
        <v>5767</v>
      </c>
      <c r="J1293" t="s">
        <v>5769</v>
      </c>
      <c r="K1293">
        <v>196302.73</v>
      </c>
      <c r="L1293" t="s">
        <v>5775</v>
      </c>
      <c r="M1293">
        <v>1</v>
      </c>
    </row>
    <row r="1294" spans="1:13" x14ac:dyDescent="0.25">
      <c r="A1294">
        <v>1293</v>
      </c>
      <c r="B1294" t="s">
        <v>1305</v>
      </c>
      <c r="C1294">
        <v>73</v>
      </c>
      <c r="D1294" t="s">
        <v>2948</v>
      </c>
      <c r="E1294" t="s">
        <v>2950</v>
      </c>
      <c r="F1294" t="s">
        <v>4180</v>
      </c>
      <c r="G1294" s="2">
        <v>45671</v>
      </c>
      <c r="H1294" s="2">
        <v>45674</v>
      </c>
      <c r="I1294" t="s">
        <v>5766</v>
      </c>
      <c r="J1294" t="s">
        <v>5769</v>
      </c>
      <c r="K1294">
        <v>161083.93</v>
      </c>
      <c r="L1294" t="s">
        <v>5773</v>
      </c>
      <c r="M1294">
        <v>3</v>
      </c>
    </row>
    <row r="1295" spans="1:13" x14ac:dyDescent="0.25">
      <c r="A1295">
        <v>1294</v>
      </c>
      <c r="B1295" t="s">
        <v>1306</v>
      </c>
      <c r="C1295">
        <v>13</v>
      </c>
      <c r="D1295" t="s">
        <v>2947</v>
      </c>
      <c r="E1295" t="s">
        <v>2954</v>
      </c>
      <c r="F1295" t="s">
        <v>4181</v>
      </c>
      <c r="G1295" s="2">
        <v>45854</v>
      </c>
      <c r="H1295" s="2">
        <v>45869</v>
      </c>
      <c r="I1295" t="s">
        <v>5766</v>
      </c>
      <c r="J1295" t="s">
        <v>5771</v>
      </c>
      <c r="K1295">
        <v>394975.73</v>
      </c>
      <c r="L1295" t="s">
        <v>5774</v>
      </c>
      <c r="M1295">
        <v>15</v>
      </c>
    </row>
    <row r="1296" spans="1:13" x14ac:dyDescent="0.25">
      <c r="A1296">
        <v>1295</v>
      </c>
      <c r="B1296" t="s">
        <v>1307</v>
      </c>
      <c r="C1296">
        <v>1</v>
      </c>
      <c r="D1296" t="s">
        <v>2947</v>
      </c>
      <c r="E1296" t="s">
        <v>2953</v>
      </c>
      <c r="F1296" t="s">
        <v>1363</v>
      </c>
      <c r="G1296" s="2">
        <v>45781</v>
      </c>
      <c r="H1296" s="2">
        <v>45782</v>
      </c>
      <c r="I1296" t="s">
        <v>5764</v>
      </c>
      <c r="J1296" t="s">
        <v>5770</v>
      </c>
      <c r="K1296">
        <v>64575.22</v>
      </c>
      <c r="L1296" t="s">
        <v>5773</v>
      </c>
      <c r="M1296">
        <v>1</v>
      </c>
    </row>
    <row r="1297" spans="1:13" x14ac:dyDescent="0.25">
      <c r="A1297">
        <v>1296</v>
      </c>
      <c r="B1297" t="s">
        <v>1308</v>
      </c>
      <c r="C1297">
        <v>80</v>
      </c>
      <c r="D1297" t="s">
        <v>2948</v>
      </c>
      <c r="E1297" t="s">
        <v>2949</v>
      </c>
      <c r="F1297" t="s">
        <v>4182</v>
      </c>
      <c r="G1297" s="2">
        <v>45908</v>
      </c>
      <c r="H1297" s="2">
        <v>45917</v>
      </c>
      <c r="I1297" t="s">
        <v>5767</v>
      </c>
      <c r="J1297" t="s">
        <v>5771</v>
      </c>
      <c r="K1297">
        <v>442372.81</v>
      </c>
      <c r="L1297" t="s">
        <v>5773</v>
      </c>
      <c r="M1297">
        <v>9</v>
      </c>
    </row>
    <row r="1298" spans="1:13" x14ac:dyDescent="0.25">
      <c r="A1298">
        <v>1297</v>
      </c>
      <c r="B1298" t="s">
        <v>1309</v>
      </c>
      <c r="C1298">
        <v>28</v>
      </c>
      <c r="D1298" t="s">
        <v>2948</v>
      </c>
      <c r="E1298" t="s">
        <v>2951</v>
      </c>
      <c r="F1298" t="s">
        <v>4183</v>
      </c>
      <c r="G1298" s="2">
        <v>45886</v>
      </c>
      <c r="H1298" s="2">
        <v>45899</v>
      </c>
      <c r="I1298" t="s">
        <v>5760</v>
      </c>
      <c r="J1298" t="s">
        <v>5771</v>
      </c>
      <c r="K1298">
        <v>491234.65</v>
      </c>
      <c r="L1298" t="s">
        <v>5775</v>
      </c>
      <c r="M1298">
        <v>13</v>
      </c>
    </row>
    <row r="1299" spans="1:13" x14ac:dyDescent="0.25">
      <c r="A1299">
        <v>1298</v>
      </c>
      <c r="B1299" t="s">
        <v>1310</v>
      </c>
      <c r="C1299">
        <v>34</v>
      </c>
      <c r="D1299" t="s">
        <v>2948</v>
      </c>
      <c r="E1299" t="s">
        <v>2955</v>
      </c>
      <c r="F1299" t="s">
        <v>4184</v>
      </c>
      <c r="G1299" s="2">
        <v>45814</v>
      </c>
      <c r="H1299" s="2">
        <v>45826</v>
      </c>
      <c r="I1299" t="s">
        <v>5762</v>
      </c>
      <c r="J1299" t="s">
        <v>5769</v>
      </c>
      <c r="K1299">
        <v>498819.17</v>
      </c>
      <c r="L1299" t="s">
        <v>5774</v>
      </c>
      <c r="M1299">
        <v>12</v>
      </c>
    </row>
    <row r="1300" spans="1:13" x14ac:dyDescent="0.25">
      <c r="A1300">
        <v>1299</v>
      </c>
      <c r="B1300" t="s">
        <v>1311</v>
      </c>
      <c r="C1300">
        <v>82</v>
      </c>
      <c r="D1300" t="s">
        <v>2947</v>
      </c>
      <c r="E1300" t="s">
        <v>2952</v>
      </c>
      <c r="F1300" t="s">
        <v>4185</v>
      </c>
      <c r="G1300" s="2">
        <v>45613</v>
      </c>
      <c r="H1300" s="2">
        <v>45616</v>
      </c>
      <c r="I1300" t="s">
        <v>5758</v>
      </c>
      <c r="J1300" t="s">
        <v>5770</v>
      </c>
      <c r="K1300">
        <v>245596.58</v>
      </c>
      <c r="L1300" t="s">
        <v>5775</v>
      </c>
      <c r="M1300">
        <v>3</v>
      </c>
    </row>
    <row r="1301" spans="1:13" x14ac:dyDescent="0.25">
      <c r="A1301">
        <v>1300</v>
      </c>
      <c r="B1301" t="s">
        <v>1312</v>
      </c>
      <c r="C1301">
        <v>19</v>
      </c>
      <c r="D1301" t="s">
        <v>2947</v>
      </c>
      <c r="E1301" t="s">
        <v>2953</v>
      </c>
      <c r="F1301" t="s">
        <v>4186</v>
      </c>
      <c r="G1301" s="2">
        <v>45578</v>
      </c>
      <c r="H1301" s="2">
        <v>45582</v>
      </c>
      <c r="I1301" t="s">
        <v>5766</v>
      </c>
      <c r="J1301" t="s">
        <v>5770</v>
      </c>
      <c r="K1301">
        <v>358175.05</v>
      </c>
      <c r="L1301" t="s">
        <v>5774</v>
      </c>
      <c r="M1301">
        <v>4</v>
      </c>
    </row>
    <row r="1302" spans="1:13" x14ac:dyDescent="0.25">
      <c r="A1302">
        <v>1301</v>
      </c>
      <c r="B1302" t="s">
        <v>1313</v>
      </c>
      <c r="C1302">
        <v>48</v>
      </c>
      <c r="D1302" t="s">
        <v>2948</v>
      </c>
      <c r="E1302" t="s">
        <v>2955</v>
      </c>
      <c r="F1302" t="s">
        <v>4187</v>
      </c>
      <c r="G1302" s="2">
        <v>45621</v>
      </c>
      <c r="H1302" s="2">
        <v>45629</v>
      </c>
      <c r="I1302" t="s">
        <v>5760</v>
      </c>
      <c r="J1302" t="s">
        <v>5772</v>
      </c>
      <c r="K1302">
        <v>52557.79</v>
      </c>
      <c r="L1302" t="s">
        <v>5773</v>
      </c>
      <c r="M1302">
        <v>8</v>
      </c>
    </row>
    <row r="1303" spans="1:13" x14ac:dyDescent="0.25">
      <c r="A1303">
        <v>1302</v>
      </c>
      <c r="B1303" t="s">
        <v>1314</v>
      </c>
      <c r="C1303">
        <v>12</v>
      </c>
      <c r="D1303" t="s">
        <v>2948</v>
      </c>
      <c r="E1303" t="s">
        <v>2949</v>
      </c>
      <c r="F1303" t="s">
        <v>4188</v>
      </c>
      <c r="G1303" s="2">
        <v>45676</v>
      </c>
      <c r="H1303" s="2">
        <v>45682</v>
      </c>
      <c r="I1303" t="s">
        <v>5767</v>
      </c>
      <c r="J1303" t="s">
        <v>5771</v>
      </c>
      <c r="K1303">
        <v>41112.589999999997</v>
      </c>
      <c r="L1303" t="s">
        <v>5773</v>
      </c>
      <c r="M1303">
        <v>6</v>
      </c>
    </row>
    <row r="1304" spans="1:13" x14ac:dyDescent="0.25">
      <c r="A1304">
        <v>1303</v>
      </c>
      <c r="B1304" t="s">
        <v>1315</v>
      </c>
      <c r="C1304">
        <v>64</v>
      </c>
      <c r="D1304" t="s">
        <v>2947</v>
      </c>
      <c r="E1304" t="s">
        <v>2950</v>
      </c>
      <c r="F1304" t="s">
        <v>4189</v>
      </c>
      <c r="G1304" s="2">
        <v>45567</v>
      </c>
      <c r="H1304" s="2">
        <v>45579</v>
      </c>
      <c r="I1304" t="s">
        <v>5766</v>
      </c>
      <c r="J1304" t="s">
        <v>2949</v>
      </c>
      <c r="K1304">
        <v>210659.83</v>
      </c>
      <c r="L1304" t="s">
        <v>5773</v>
      </c>
      <c r="M1304">
        <v>12</v>
      </c>
    </row>
    <row r="1305" spans="1:13" x14ac:dyDescent="0.25">
      <c r="A1305">
        <v>1304</v>
      </c>
      <c r="B1305" t="s">
        <v>1316</v>
      </c>
      <c r="C1305">
        <v>80</v>
      </c>
      <c r="D1305" t="s">
        <v>2947</v>
      </c>
      <c r="E1305" t="s">
        <v>2954</v>
      </c>
      <c r="F1305" t="s">
        <v>4190</v>
      </c>
      <c r="G1305" s="2">
        <v>45776</v>
      </c>
      <c r="H1305" s="2">
        <v>45779</v>
      </c>
      <c r="I1305" t="s">
        <v>5758</v>
      </c>
      <c r="J1305" t="s">
        <v>5768</v>
      </c>
      <c r="K1305">
        <v>293693.93</v>
      </c>
      <c r="L1305" t="s">
        <v>5775</v>
      </c>
      <c r="M1305">
        <v>3</v>
      </c>
    </row>
    <row r="1306" spans="1:13" x14ac:dyDescent="0.25">
      <c r="A1306">
        <v>1305</v>
      </c>
      <c r="B1306" t="s">
        <v>1317</v>
      </c>
      <c r="C1306">
        <v>4</v>
      </c>
      <c r="D1306" t="s">
        <v>2947</v>
      </c>
      <c r="E1306" t="s">
        <v>2951</v>
      </c>
      <c r="F1306" t="s">
        <v>4191</v>
      </c>
      <c r="G1306" s="2">
        <v>45610</v>
      </c>
      <c r="H1306" s="2">
        <v>45616</v>
      </c>
      <c r="I1306" t="s">
        <v>5767</v>
      </c>
      <c r="J1306" t="s">
        <v>5769</v>
      </c>
      <c r="K1306">
        <v>139154.84</v>
      </c>
      <c r="L1306" t="s">
        <v>5774</v>
      </c>
      <c r="M1306">
        <v>6</v>
      </c>
    </row>
    <row r="1307" spans="1:13" x14ac:dyDescent="0.25">
      <c r="A1307">
        <v>1306</v>
      </c>
      <c r="B1307" t="s">
        <v>1318</v>
      </c>
      <c r="C1307">
        <v>82</v>
      </c>
      <c r="D1307" t="s">
        <v>2947</v>
      </c>
      <c r="E1307" t="s">
        <v>2953</v>
      </c>
      <c r="F1307" t="s">
        <v>4192</v>
      </c>
      <c r="G1307" s="2">
        <v>45601</v>
      </c>
      <c r="H1307" s="2">
        <v>45604</v>
      </c>
      <c r="I1307" t="s">
        <v>5767</v>
      </c>
      <c r="J1307" t="s">
        <v>5768</v>
      </c>
      <c r="K1307">
        <v>64253.3</v>
      </c>
      <c r="L1307" t="s">
        <v>5774</v>
      </c>
      <c r="M1307">
        <v>3</v>
      </c>
    </row>
    <row r="1308" spans="1:13" x14ac:dyDescent="0.25">
      <c r="A1308">
        <v>1307</v>
      </c>
      <c r="B1308" t="s">
        <v>1319</v>
      </c>
      <c r="C1308">
        <v>38</v>
      </c>
      <c r="D1308" t="s">
        <v>2948</v>
      </c>
      <c r="E1308" t="s">
        <v>2955</v>
      </c>
      <c r="F1308" t="s">
        <v>4193</v>
      </c>
      <c r="G1308" s="2">
        <v>45804</v>
      </c>
      <c r="H1308" s="2">
        <v>45813</v>
      </c>
      <c r="I1308" t="s">
        <v>5760</v>
      </c>
      <c r="J1308" t="s">
        <v>5771</v>
      </c>
      <c r="K1308">
        <v>422010.05</v>
      </c>
      <c r="L1308" t="s">
        <v>5774</v>
      </c>
      <c r="M1308">
        <v>9</v>
      </c>
    </row>
    <row r="1309" spans="1:13" x14ac:dyDescent="0.25">
      <c r="A1309">
        <v>1308</v>
      </c>
      <c r="B1309" t="s">
        <v>1320</v>
      </c>
      <c r="C1309">
        <v>26</v>
      </c>
      <c r="D1309" t="s">
        <v>2947</v>
      </c>
      <c r="E1309" t="s">
        <v>2954</v>
      </c>
      <c r="F1309" t="s">
        <v>4194</v>
      </c>
      <c r="G1309" s="2">
        <v>45737</v>
      </c>
      <c r="H1309" s="2">
        <v>45742</v>
      </c>
      <c r="I1309" t="s">
        <v>5759</v>
      </c>
      <c r="J1309" t="s">
        <v>5770</v>
      </c>
      <c r="K1309">
        <v>337354.07</v>
      </c>
      <c r="L1309" t="s">
        <v>5775</v>
      </c>
      <c r="M1309">
        <v>5</v>
      </c>
    </row>
    <row r="1310" spans="1:13" x14ac:dyDescent="0.25">
      <c r="A1310">
        <v>1309</v>
      </c>
      <c r="B1310" t="s">
        <v>1321</v>
      </c>
      <c r="C1310">
        <v>35</v>
      </c>
      <c r="D1310" t="s">
        <v>2947</v>
      </c>
      <c r="E1310" t="s">
        <v>2952</v>
      </c>
      <c r="F1310" t="s">
        <v>4195</v>
      </c>
      <c r="G1310" s="2">
        <v>45725</v>
      </c>
      <c r="H1310" s="2">
        <v>45726</v>
      </c>
      <c r="I1310" t="s">
        <v>5760</v>
      </c>
      <c r="J1310" t="s">
        <v>5772</v>
      </c>
      <c r="K1310">
        <v>425902.18</v>
      </c>
      <c r="L1310" t="s">
        <v>5774</v>
      </c>
      <c r="M1310">
        <v>1</v>
      </c>
    </row>
    <row r="1311" spans="1:13" x14ac:dyDescent="0.25">
      <c r="A1311">
        <v>1310</v>
      </c>
      <c r="B1311" t="s">
        <v>1322</v>
      </c>
      <c r="C1311">
        <v>44</v>
      </c>
      <c r="D1311" t="s">
        <v>2947</v>
      </c>
      <c r="E1311" t="s">
        <v>2953</v>
      </c>
      <c r="F1311" t="s">
        <v>4196</v>
      </c>
      <c r="G1311" s="2">
        <v>45840</v>
      </c>
      <c r="H1311" s="2">
        <v>45848</v>
      </c>
      <c r="I1311" t="s">
        <v>5758</v>
      </c>
      <c r="J1311" t="s">
        <v>5768</v>
      </c>
      <c r="K1311">
        <v>5501.57</v>
      </c>
      <c r="L1311" t="s">
        <v>5774</v>
      </c>
      <c r="M1311">
        <v>8</v>
      </c>
    </row>
    <row r="1312" spans="1:13" x14ac:dyDescent="0.25">
      <c r="A1312">
        <v>1311</v>
      </c>
      <c r="B1312" t="s">
        <v>1323</v>
      </c>
      <c r="C1312">
        <v>62</v>
      </c>
      <c r="D1312" t="s">
        <v>2948</v>
      </c>
      <c r="E1312" t="s">
        <v>2950</v>
      </c>
      <c r="F1312" t="s">
        <v>4197</v>
      </c>
      <c r="G1312" s="2">
        <v>45576</v>
      </c>
      <c r="H1312" s="2">
        <v>45586</v>
      </c>
      <c r="I1312" t="s">
        <v>5767</v>
      </c>
      <c r="J1312" t="s">
        <v>5770</v>
      </c>
      <c r="K1312">
        <v>54623.51</v>
      </c>
      <c r="L1312" t="s">
        <v>5774</v>
      </c>
      <c r="M1312">
        <v>10</v>
      </c>
    </row>
    <row r="1313" spans="1:13" x14ac:dyDescent="0.25">
      <c r="A1313">
        <v>1312</v>
      </c>
      <c r="B1313" t="s">
        <v>1324</v>
      </c>
      <c r="C1313">
        <v>42</v>
      </c>
      <c r="D1313" t="s">
        <v>2948</v>
      </c>
      <c r="E1313" t="s">
        <v>2955</v>
      </c>
      <c r="F1313" t="s">
        <v>3813</v>
      </c>
      <c r="G1313" s="2">
        <v>45713</v>
      </c>
      <c r="H1313" s="2">
        <v>45714</v>
      </c>
      <c r="I1313" t="s">
        <v>5763</v>
      </c>
      <c r="J1313" t="s">
        <v>5769</v>
      </c>
      <c r="K1313">
        <v>311605.43</v>
      </c>
      <c r="L1313" t="s">
        <v>5774</v>
      </c>
      <c r="M1313">
        <v>1</v>
      </c>
    </row>
    <row r="1314" spans="1:13" x14ac:dyDescent="0.25">
      <c r="A1314">
        <v>1313</v>
      </c>
      <c r="B1314" t="s">
        <v>1325</v>
      </c>
      <c r="C1314">
        <v>32</v>
      </c>
      <c r="D1314" t="s">
        <v>2948</v>
      </c>
      <c r="E1314" t="s">
        <v>2954</v>
      </c>
      <c r="F1314" t="s">
        <v>4108</v>
      </c>
      <c r="G1314" s="2">
        <v>45892</v>
      </c>
      <c r="H1314" s="2">
        <v>45893</v>
      </c>
      <c r="I1314" t="s">
        <v>5762</v>
      </c>
      <c r="J1314" t="s">
        <v>5770</v>
      </c>
      <c r="K1314">
        <v>378286.42</v>
      </c>
      <c r="L1314" t="s">
        <v>5775</v>
      </c>
      <c r="M1314">
        <v>1</v>
      </c>
    </row>
    <row r="1315" spans="1:13" x14ac:dyDescent="0.25">
      <c r="A1315">
        <v>1314</v>
      </c>
      <c r="B1315" t="s">
        <v>1326</v>
      </c>
      <c r="C1315">
        <v>74</v>
      </c>
      <c r="D1315" t="s">
        <v>2947</v>
      </c>
      <c r="E1315" t="s">
        <v>2955</v>
      </c>
      <c r="F1315" t="s">
        <v>4198</v>
      </c>
      <c r="G1315" s="2">
        <v>45660</v>
      </c>
      <c r="H1315" s="2">
        <v>45674</v>
      </c>
      <c r="I1315" t="s">
        <v>5759</v>
      </c>
      <c r="J1315" t="s">
        <v>5770</v>
      </c>
      <c r="K1315">
        <v>135541.21</v>
      </c>
      <c r="L1315" t="s">
        <v>5774</v>
      </c>
      <c r="M1315">
        <v>14</v>
      </c>
    </row>
    <row r="1316" spans="1:13" x14ac:dyDescent="0.25">
      <c r="A1316">
        <v>1315</v>
      </c>
      <c r="B1316" t="s">
        <v>1327</v>
      </c>
      <c r="C1316">
        <v>70</v>
      </c>
      <c r="D1316" t="s">
        <v>2947</v>
      </c>
      <c r="E1316" t="s">
        <v>2955</v>
      </c>
      <c r="F1316" t="s">
        <v>4199</v>
      </c>
      <c r="G1316" s="2">
        <v>45791</v>
      </c>
      <c r="H1316" s="2">
        <v>45797</v>
      </c>
      <c r="I1316" t="s">
        <v>5760</v>
      </c>
      <c r="J1316" t="s">
        <v>5768</v>
      </c>
      <c r="K1316">
        <v>64830.05</v>
      </c>
      <c r="L1316" t="s">
        <v>5774</v>
      </c>
      <c r="M1316">
        <v>6</v>
      </c>
    </row>
    <row r="1317" spans="1:13" x14ac:dyDescent="0.25">
      <c r="A1317">
        <v>1316</v>
      </c>
      <c r="B1317" t="s">
        <v>1328</v>
      </c>
      <c r="C1317">
        <v>72</v>
      </c>
      <c r="D1317" t="s">
        <v>2947</v>
      </c>
      <c r="E1317" t="s">
        <v>2954</v>
      </c>
      <c r="F1317" t="s">
        <v>4200</v>
      </c>
      <c r="G1317" s="2">
        <v>45596</v>
      </c>
      <c r="H1317" s="2">
        <v>45599</v>
      </c>
      <c r="I1317" t="s">
        <v>5767</v>
      </c>
      <c r="J1317" t="s">
        <v>5769</v>
      </c>
      <c r="K1317">
        <v>444079.2</v>
      </c>
      <c r="L1317" t="s">
        <v>5775</v>
      </c>
      <c r="M1317">
        <v>3</v>
      </c>
    </row>
    <row r="1318" spans="1:13" x14ac:dyDescent="0.25">
      <c r="A1318">
        <v>1317</v>
      </c>
      <c r="B1318" t="s">
        <v>1329</v>
      </c>
      <c r="C1318">
        <v>81</v>
      </c>
      <c r="D1318" t="s">
        <v>2947</v>
      </c>
      <c r="E1318" t="s">
        <v>2955</v>
      </c>
      <c r="F1318" t="s">
        <v>3565</v>
      </c>
      <c r="G1318" s="2">
        <v>45762</v>
      </c>
      <c r="H1318" s="2">
        <v>45772</v>
      </c>
      <c r="I1318" t="s">
        <v>5761</v>
      </c>
      <c r="J1318" t="s">
        <v>5768</v>
      </c>
      <c r="K1318">
        <v>33504.93</v>
      </c>
      <c r="L1318" t="s">
        <v>5774</v>
      </c>
      <c r="M1318">
        <v>10</v>
      </c>
    </row>
    <row r="1319" spans="1:13" x14ac:dyDescent="0.25">
      <c r="A1319">
        <v>1318</v>
      </c>
      <c r="B1319" t="s">
        <v>1330</v>
      </c>
      <c r="C1319">
        <v>81</v>
      </c>
      <c r="D1319" t="s">
        <v>2948</v>
      </c>
      <c r="E1319" t="s">
        <v>2949</v>
      </c>
      <c r="F1319" t="s">
        <v>4201</v>
      </c>
      <c r="G1319" s="2">
        <v>45791</v>
      </c>
      <c r="H1319" s="2">
        <v>45805</v>
      </c>
      <c r="I1319" t="s">
        <v>5760</v>
      </c>
      <c r="J1319" t="s">
        <v>5772</v>
      </c>
      <c r="K1319">
        <v>35422.089999999997</v>
      </c>
      <c r="L1319" t="s">
        <v>5774</v>
      </c>
      <c r="M1319">
        <v>14</v>
      </c>
    </row>
    <row r="1320" spans="1:13" x14ac:dyDescent="0.25">
      <c r="A1320">
        <v>1319</v>
      </c>
      <c r="B1320" t="s">
        <v>1331</v>
      </c>
      <c r="C1320">
        <v>16</v>
      </c>
      <c r="D1320" t="s">
        <v>2948</v>
      </c>
      <c r="E1320" t="s">
        <v>2950</v>
      </c>
      <c r="F1320" t="s">
        <v>4202</v>
      </c>
      <c r="G1320" s="2">
        <v>45843</v>
      </c>
      <c r="H1320" s="2">
        <v>45858</v>
      </c>
      <c r="I1320" t="s">
        <v>5767</v>
      </c>
      <c r="J1320" t="s">
        <v>5772</v>
      </c>
      <c r="K1320">
        <v>179680.51</v>
      </c>
      <c r="L1320" t="s">
        <v>5774</v>
      </c>
      <c r="M1320">
        <v>15</v>
      </c>
    </row>
    <row r="1321" spans="1:13" x14ac:dyDescent="0.25">
      <c r="A1321">
        <v>1320</v>
      </c>
      <c r="B1321" t="s">
        <v>1332</v>
      </c>
      <c r="C1321">
        <v>71</v>
      </c>
      <c r="D1321" t="s">
        <v>2947</v>
      </c>
      <c r="E1321" t="s">
        <v>2950</v>
      </c>
      <c r="F1321" t="s">
        <v>4203</v>
      </c>
      <c r="G1321" s="2">
        <v>45846</v>
      </c>
      <c r="H1321" s="2">
        <v>45847</v>
      </c>
      <c r="I1321" t="s">
        <v>5759</v>
      </c>
      <c r="J1321" t="s">
        <v>5768</v>
      </c>
      <c r="K1321">
        <v>414134.04</v>
      </c>
      <c r="L1321" t="s">
        <v>5774</v>
      </c>
      <c r="M1321">
        <v>1</v>
      </c>
    </row>
    <row r="1322" spans="1:13" x14ac:dyDescent="0.25">
      <c r="A1322">
        <v>1321</v>
      </c>
      <c r="B1322" t="s">
        <v>1333</v>
      </c>
      <c r="C1322">
        <v>87</v>
      </c>
      <c r="D1322" t="s">
        <v>2947</v>
      </c>
      <c r="E1322" t="s">
        <v>2950</v>
      </c>
      <c r="F1322" t="s">
        <v>4204</v>
      </c>
      <c r="G1322" s="2">
        <v>45642</v>
      </c>
      <c r="H1322" s="2">
        <v>45647</v>
      </c>
      <c r="I1322" t="s">
        <v>5764</v>
      </c>
      <c r="J1322" t="s">
        <v>5769</v>
      </c>
      <c r="K1322">
        <v>392841</v>
      </c>
      <c r="L1322" t="s">
        <v>5773</v>
      </c>
      <c r="M1322">
        <v>5</v>
      </c>
    </row>
    <row r="1323" spans="1:13" x14ac:dyDescent="0.25">
      <c r="A1323">
        <v>1322</v>
      </c>
      <c r="B1323" t="s">
        <v>1334</v>
      </c>
      <c r="C1323">
        <v>73</v>
      </c>
      <c r="D1323" t="s">
        <v>2947</v>
      </c>
      <c r="E1323" t="s">
        <v>2949</v>
      </c>
      <c r="F1323" t="s">
        <v>4205</v>
      </c>
      <c r="G1323" s="2">
        <v>45879</v>
      </c>
      <c r="H1323" s="2">
        <v>45884</v>
      </c>
      <c r="I1323" t="s">
        <v>5761</v>
      </c>
      <c r="J1323" t="s">
        <v>5772</v>
      </c>
      <c r="K1323">
        <v>221631.49</v>
      </c>
      <c r="L1323" t="s">
        <v>5774</v>
      </c>
      <c r="M1323">
        <v>5</v>
      </c>
    </row>
    <row r="1324" spans="1:13" x14ac:dyDescent="0.25">
      <c r="A1324">
        <v>1323</v>
      </c>
      <c r="B1324" t="s">
        <v>1335</v>
      </c>
      <c r="C1324">
        <v>84</v>
      </c>
      <c r="D1324" t="s">
        <v>2947</v>
      </c>
      <c r="E1324" t="s">
        <v>2949</v>
      </c>
      <c r="F1324" t="s">
        <v>4206</v>
      </c>
      <c r="G1324" s="2">
        <v>45830</v>
      </c>
      <c r="H1324" s="2">
        <v>45842</v>
      </c>
      <c r="I1324" t="s">
        <v>5759</v>
      </c>
      <c r="J1324" t="s">
        <v>5769</v>
      </c>
      <c r="K1324">
        <v>85870.02</v>
      </c>
      <c r="L1324" t="s">
        <v>5773</v>
      </c>
      <c r="M1324">
        <v>12</v>
      </c>
    </row>
    <row r="1325" spans="1:13" x14ac:dyDescent="0.25">
      <c r="A1325">
        <v>1324</v>
      </c>
      <c r="B1325" t="s">
        <v>1336</v>
      </c>
      <c r="C1325">
        <v>54</v>
      </c>
      <c r="D1325" t="s">
        <v>2948</v>
      </c>
      <c r="E1325" t="s">
        <v>2950</v>
      </c>
      <c r="F1325" t="s">
        <v>4207</v>
      </c>
      <c r="G1325" s="2">
        <v>45736</v>
      </c>
      <c r="H1325" s="2">
        <v>45740</v>
      </c>
      <c r="I1325" t="s">
        <v>5764</v>
      </c>
      <c r="J1325" t="s">
        <v>5771</v>
      </c>
      <c r="K1325">
        <v>305835.57</v>
      </c>
      <c r="L1325" t="s">
        <v>5774</v>
      </c>
      <c r="M1325">
        <v>4</v>
      </c>
    </row>
    <row r="1326" spans="1:13" x14ac:dyDescent="0.25">
      <c r="A1326">
        <v>1325</v>
      </c>
      <c r="B1326" t="s">
        <v>1337</v>
      </c>
      <c r="C1326">
        <v>5</v>
      </c>
      <c r="D1326" t="s">
        <v>2948</v>
      </c>
      <c r="E1326" t="s">
        <v>2954</v>
      </c>
      <c r="F1326" t="s">
        <v>4208</v>
      </c>
      <c r="G1326" s="2">
        <v>45625</v>
      </c>
      <c r="H1326" s="2">
        <v>45633</v>
      </c>
      <c r="I1326" t="s">
        <v>5766</v>
      </c>
      <c r="J1326" t="s">
        <v>5771</v>
      </c>
      <c r="K1326">
        <v>485052.48</v>
      </c>
      <c r="L1326" t="s">
        <v>5773</v>
      </c>
      <c r="M1326">
        <v>8</v>
      </c>
    </row>
    <row r="1327" spans="1:13" x14ac:dyDescent="0.25">
      <c r="A1327">
        <v>1326</v>
      </c>
      <c r="B1327" t="s">
        <v>1338</v>
      </c>
      <c r="C1327">
        <v>75</v>
      </c>
      <c r="D1327" t="s">
        <v>2947</v>
      </c>
      <c r="E1327" t="s">
        <v>2954</v>
      </c>
      <c r="F1327" t="s">
        <v>4209</v>
      </c>
      <c r="G1327" s="2">
        <v>45841</v>
      </c>
      <c r="H1327" s="2">
        <v>45855</v>
      </c>
      <c r="I1327" t="s">
        <v>5764</v>
      </c>
      <c r="J1327" t="s">
        <v>5768</v>
      </c>
      <c r="K1327">
        <v>358197.84</v>
      </c>
      <c r="L1327" t="s">
        <v>5775</v>
      </c>
      <c r="M1327">
        <v>14</v>
      </c>
    </row>
    <row r="1328" spans="1:13" x14ac:dyDescent="0.25">
      <c r="A1328">
        <v>1327</v>
      </c>
      <c r="B1328" t="s">
        <v>1339</v>
      </c>
      <c r="C1328">
        <v>85</v>
      </c>
      <c r="D1328" t="s">
        <v>2948</v>
      </c>
      <c r="E1328" t="s">
        <v>2949</v>
      </c>
      <c r="F1328" t="s">
        <v>4210</v>
      </c>
      <c r="G1328" s="2">
        <v>45644</v>
      </c>
      <c r="H1328" s="2">
        <v>45658</v>
      </c>
      <c r="I1328" t="s">
        <v>5763</v>
      </c>
      <c r="J1328" t="s">
        <v>5769</v>
      </c>
      <c r="K1328">
        <v>438689.71</v>
      </c>
      <c r="L1328" t="s">
        <v>5775</v>
      </c>
      <c r="M1328">
        <v>14</v>
      </c>
    </row>
    <row r="1329" spans="1:13" x14ac:dyDescent="0.25">
      <c r="A1329">
        <v>1328</v>
      </c>
      <c r="B1329" t="s">
        <v>1340</v>
      </c>
      <c r="C1329">
        <v>74</v>
      </c>
      <c r="D1329" t="s">
        <v>2947</v>
      </c>
      <c r="E1329" t="s">
        <v>2951</v>
      </c>
      <c r="F1329" t="s">
        <v>4211</v>
      </c>
      <c r="G1329" s="2">
        <v>45597</v>
      </c>
      <c r="H1329" s="2">
        <v>45603</v>
      </c>
      <c r="I1329" t="s">
        <v>5767</v>
      </c>
      <c r="J1329" t="s">
        <v>5768</v>
      </c>
      <c r="K1329">
        <v>251166.24</v>
      </c>
      <c r="L1329" t="s">
        <v>5773</v>
      </c>
      <c r="M1329">
        <v>6</v>
      </c>
    </row>
    <row r="1330" spans="1:13" x14ac:dyDescent="0.25">
      <c r="A1330">
        <v>1329</v>
      </c>
      <c r="B1330" t="s">
        <v>1341</v>
      </c>
      <c r="C1330">
        <v>9</v>
      </c>
      <c r="D1330" t="s">
        <v>2947</v>
      </c>
      <c r="E1330" t="s">
        <v>2950</v>
      </c>
      <c r="F1330" t="s">
        <v>4212</v>
      </c>
      <c r="G1330" s="2">
        <v>45739</v>
      </c>
      <c r="H1330" s="2">
        <v>45754</v>
      </c>
      <c r="I1330" t="s">
        <v>5763</v>
      </c>
      <c r="J1330" t="s">
        <v>5771</v>
      </c>
      <c r="K1330">
        <v>33355.64</v>
      </c>
      <c r="L1330" t="s">
        <v>5775</v>
      </c>
      <c r="M1330">
        <v>15</v>
      </c>
    </row>
    <row r="1331" spans="1:13" x14ac:dyDescent="0.25">
      <c r="A1331">
        <v>1330</v>
      </c>
      <c r="B1331" t="s">
        <v>1342</v>
      </c>
      <c r="C1331">
        <v>25</v>
      </c>
      <c r="D1331" t="s">
        <v>2947</v>
      </c>
      <c r="E1331" t="s">
        <v>2951</v>
      </c>
      <c r="F1331" t="s">
        <v>3617</v>
      </c>
      <c r="G1331" s="2">
        <v>45728</v>
      </c>
      <c r="H1331" s="2">
        <v>45739</v>
      </c>
      <c r="I1331" t="s">
        <v>5762</v>
      </c>
      <c r="J1331" t="s">
        <v>5771</v>
      </c>
      <c r="K1331">
        <v>229194.6</v>
      </c>
      <c r="L1331" t="s">
        <v>5775</v>
      </c>
      <c r="M1331">
        <v>11</v>
      </c>
    </row>
    <row r="1332" spans="1:13" x14ac:dyDescent="0.25">
      <c r="A1332">
        <v>1331</v>
      </c>
      <c r="B1332" t="s">
        <v>1343</v>
      </c>
      <c r="C1332">
        <v>64</v>
      </c>
      <c r="D1332" t="s">
        <v>2947</v>
      </c>
      <c r="E1332" t="s">
        <v>2955</v>
      </c>
      <c r="F1332" t="s">
        <v>4213</v>
      </c>
      <c r="G1332" s="2">
        <v>45648</v>
      </c>
      <c r="H1332" s="2">
        <v>45656</v>
      </c>
      <c r="I1332" t="s">
        <v>5761</v>
      </c>
      <c r="J1332" t="s">
        <v>5771</v>
      </c>
      <c r="K1332">
        <v>172350.72</v>
      </c>
      <c r="L1332" t="s">
        <v>5773</v>
      </c>
      <c r="M1332">
        <v>8</v>
      </c>
    </row>
    <row r="1333" spans="1:13" x14ac:dyDescent="0.25">
      <c r="A1333">
        <v>1332</v>
      </c>
      <c r="B1333" t="s">
        <v>1344</v>
      </c>
      <c r="C1333">
        <v>31</v>
      </c>
      <c r="D1333" t="s">
        <v>2948</v>
      </c>
      <c r="E1333" t="s">
        <v>2953</v>
      </c>
      <c r="F1333" t="s">
        <v>4214</v>
      </c>
      <c r="G1333" s="2">
        <v>45811</v>
      </c>
      <c r="H1333" s="2">
        <v>45813</v>
      </c>
      <c r="I1333" t="s">
        <v>5760</v>
      </c>
      <c r="J1333" t="s">
        <v>5770</v>
      </c>
      <c r="K1333">
        <v>427334.38</v>
      </c>
      <c r="L1333" t="s">
        <v>5775</v>
      </c>
      <c r="M1333">
        <v>2</v>
      </c>
    </row>
    <row r="1334" spans="1:13" x14ac:dyDescent="0.25">
      <c r="A1334">
        <v>1333</v>
      </c>
      <c r="B1334" t="s">
        <v>1345</v>
      </c>
      <c r="C1334">
        <v>63</v>
      </c>
      <c r="D1334" t="s">
        <v>2948</v>
      </c>
      <c r="E1334" t="s">
        <v>2952</v>
      </c>
      <c r="F1334" t="s">
        <v>4215</v>
      </c>
      <c r="G1334" s="2">
        <v>45602</v>
      </c>
      <c r="H1334" s="2">
        <v>45616</v>
      </c>
      <c r="I1334" t="s">
        <v>5767</v>
      </c>
      <c r="J1334" t="s">
        <v>5770</v>
      </c>
      <c r="K1334">
        <v>473423.59</v>
      </c>
      <c r="L1334" t="s">
        <v>5774</v>
      </c>
      <c r="M1334">
        <v>14</v>
      </c>
    </row>
    <row r="1335" spans="1:13" x14ac:dyDescent="0.25">
      <c r="A1335">
        <v>1334</v>
      </c>
      <c r="B1335" t="s">
        <v>1346</v>
      </c>
      <c r="C1335">
        <v>40</v>
      </c>
      <c r="D1335" t="s">
        <v>2947</v>
      </c>
      <c r="E1335" t="s">
        <v>2955</v>
      </c>
      <c r="F1335" t="s">
        <v>4216</v>
      </c>
      <c r="G1335" s="2">
        <v>45667</v>
      </c>
      <c r="H1335" s="2">
        <v>45679</v>
      </c>
      <c r="I1335" t="s">
        <v>5760</v>
      </c>
      <c r="J1335" t="s">
        <v>5769</v>
      </c>
      <c r="K1335">
        <v>452702.05</v>
      </c>
      <c r="L1335" t="s">
        <v>5773</v>
      </c>
      <c r="M1335">
        <v>12</v>
      </c>
    </row>
    <row r="1336" spans="1:13" x14ac:dyDescent="0.25">
      <c r="A1336">
        <v>1335</v>
      </c>
      <c r="B1336" t="s">
        <v>1347</v>
      </c>
      <c r="C1336">
        <v>89</v>
      </c>
      <c r="D1336" t="s">
        <v>2948</v>
      </c>
      <c r="E1336" t="s">
        <v>2953</v>
      </c>
      <c r="F1336" t="s">
        <v>4217</v>
      </c>
      <c r="G1336" s="2">
        <v>45647</v>
      </c>
      <c r="H1336" s="2">
        <v>45649</v>
      </c>
      <c r="I1336" t="s">
        <v>5760</v>
      </c>
      <c r="J1336" t="s">
        <v>5768</v>
      </c>
      <c r="K1336">
        <v>438648.88</v>
      </c>
      <c r="L1336" t="s">
        <v>5775</v>
      </c>
      <c r="M1336">
        <v>2</v>
      </c>
    </row>
    <row r="1337" spans="1:13" x14ac:dyDescent="0.25">
      <c r="A1337">
        <v>1336</v>
      </c>
      <c r="B1337" t="s">
        <v>1348</v>
      </c>
      <c r="C1337">
        <v>31</v>
      </c>
      <c r="D1337" t="s">
        <v>2948</v>
      </c>
      <c r="E1337" t="s">
        <v>2955</v>
      </c>
      <c r="F1337" t="s">
        <v>4218</v>
      </c>
      <c r="G1337" s="2">
        <v>45746</v>
      </c>
      <c r="H1337" s="2">
        <v>45758</v>
      </c>
      <c r="I1337" t="s">
        <v>5766</v>
      </c>
      <c r="J1337" t="s">
        <v>2949</v>
      </c>
      <c r="K1337">
        <v>371754.04</v>
      </c>
      <c r="L1337" t="s">
        <v>5775</v>
      </c>
      <c r="M1337">
        <v>12</v>
      </c>
    </row>
    <row r="1338" spans="1:13" x14ac:dyDescent="0.25">
      <c r="A1338">
        <v>1337</v>
      </c>
      <c r="B1338" t="s">
        <v>1349</v>
      </c>
      <c r="C1338">
        <v>46</v>
      </c>
      <c r="D1338" t="s">
        <v>2947</v>
      </c>
      <c r="E1338" t="s">
        <v>2950</v>
      </c>
      <c r="F1338" t="s">
        <v>4219</v>
      </c>
      <c r="G1338" s="2">
        <v>45712</v>
      </c>
      <c r="H1338" s="2">
        <v>45721</v>
      </c>
      <c r="I1338" t="s">
        <v>5761</v>
      </c>
      <c r="J1338" t="s">
        <v>5771</v>
      </c>
      <c r="K1338">
        <v>92724.44</v>
      </c>
      <c r="L1338" t="s">
        <v>5775</v>
      </c>
      <c r="M1338">
        <v>9</v>
      </c>
    </row>
    <row r="1339" spans="1:13" x14ac:dyDescent="0.25">
      <c r="A1339">
        <v>1338</v>
      </c>
      <c r="B1339" t="s">
        <v>1350</v>
      </c>
      <c r="C1339">
        <v>8</v>
      </c>
      <c r="D1339" t="s">
        <v>2947</v>
      </c>
      <c r="E1339" t="s">
        <v>2955</v>
      </c>
      <c r="F1339" t="s">
        <v>4220</v>
      </c>
      <c r="G1339" s="2">
        <v>45563</v>
      </c>
      <c r="H1339" s="2">
        <v>45571</v>
      </c>
      <c r="I1339" t="s">
        <v>5763</v>
      </c>
      <c r="J1339" t="s">
        <v>5770</v>
      </c>
      <c r="K1339">
        <v>218893.65</v>
      </c>
      <c r="L1339" t="s">
        <v>5775</v>
      </c>
      <c r="M1339">
        <v>8</v>
      </c>
    </row>
    <row r="1340" spans="1:13" x14ac:dyDescent="0.25">
      <c r="A1340">
        <v>1339</v>
      </c>
      <c r="B1340" t="s">
        <v>1351</v>
      </c>
      <c r="C1340">
        <v>27</v>
      </c>
      <c r="D1340" t="s">
        <v>2947</v>
      </c>
      <c r="E1340" t="s">
        <v>2950</v>
      </c>
      <c r="F1340" t="s">
        <v>4221</v>
      </c>
      <c r="G1340" s="2">
        <v>45758</v>
      </c>
      <c r="H1340" s="2">
        <v>45773</v>
      </c>
      <c r="I1340" t="s">
        <v>5762</v>
      </c>
      <c r="J1340" t="s">
        <v>5768</v>
      </c>
      <c r="K1340">
        <v>243961.18</v>
      </c>
      <c r="L1340" t="s">
        <v>5775</v>
      </c>
      <c r="M1340">
        <v>15</v>
      </c>
    </row>
    <row r="1341" spans="1:13" x14ac:dyDescent="0.25">
      <c r="A1341">
        <v>1340</v>
      </c>
      <c r="B1341" t="s">
        <v>1352</v>
      </c>
      <c r="C1341">
        <v>88</v>
      </c>
      <c r="D1341" t="s">
        <v>2947</v>
      </c>
      <c r="E1341" t="s">
        <v>2952</v>
      </c>
      <c r="F1341" t="s">
        <v>4222</v>
      </c>
      <c r="G1341" s="2">
        <v>45815</v>
      </c>
      <c r="H1341" s="2">
        <v>45821</v>
      </c>
      <c r="I1341" t="s">
        <v>5766</v>
      </c>
      <c r="J1341" t="s">
        <v>2949</v>
      </c>
      <c r="K1341">
        <v>442772.38</v>
      </c>
      <c r="L1341" t="s">
        <v>5774</v>
      </c>
      <c r="M1341">
        <v>6</v>
      </c>
    </row>
    <row r="1342" spans="1:13" x14ac:dyDescent="0.25">
      <c r="A1342">
        <v>1341</v>
      </c>
      <c r="B1342" t="s">
        <v>1353</v>
      </c>
      <c r="C1342">
        <v>3</v>
      </c>
      <c r="D1342" t="s">
        <v>2947</v>
      </c>
      <c r="E1342" t="s">
        <v>2951</v>
      </c>
      <c r="F1342" t="s">
        <v>4223</v>
      </c>
      <c r="G1342" s="2">
        <v>45896</v>
      </c>
      <c r="H1342" s="2">
        <v>45911</v>
      </c>
      <c r="I1342" t="s">
        <v>5760</v>
      </c>
      <c r="J1342" t="s">
        <v>5770</v>
      </c>
      <c r="K1342">
        <v>372853.67</v>
      </c>
      <c r="L1342" t="s">
        <v>5775</v>
      </c>
      <c r="M1342">
        <v>15</v>
      </c>
    </row>
    <row r="1343" spans="1:13" x14ac:dyDescent="0.25">
      <c r="A1343">
        <v>1342</v>
      </c>
      <c r="B1343" t="s">
        <v>1354</v>
      </c>
      <c r="C1343">
        <v>22</v>
      </c>
      <c r="D1343" t="s">
        <v>2948</v>
      </c>
      <c r="E1343" t="s">
        <v>2950</v>
      </c>
      <c r="F1343" t="s">
        <v>4224</v>
      </c>
      <c r="G1343" s="2">
        <v>45625</v>
      </c>
      <c r="H1343" s="2">
        <v>45640</v>
      </c>
      <c r="I1343" t="s">
        <v>5758</v>
      </c>
      <c r="J1343" t="s">
        <v>5772</v>
      </c>
      <c r="K1343">
        <v>410132.49</v>
      </c>
      <c r="L1343" t="s">
        <v>5775</v>
      </c>
      <c r="M1343">
        <v>15</v>
      </c>
    </row>
    <row r="1344" spans="1:13" x14ac:dyDescent="0.25">
      <c r="A1344">
        <v>1343</v>
      </c>
      <c r="B1344" t="s">
        <v>1355</v>
      </c>
      <c r="C1344">
        <v>40</v>
      </c>
      <c r="D1344" t="s">
        <v>2947</v>
      </c>
      <c r="E1344" t="s">
        <v>2950</v>
      </c>
      <c r="F1344" t="s">
        <v>4225</v>
      </c>
      <c r="G1344" s="2">
        <v>45882</v>
      </c>
      <c r="H1344" s="2">
        <v>45885</v>
      </c>
      <c r="I1344" t="s">
        <v>5765</v>
      </c>
      <c r="J1344" t="s">
        <v>5772</v>
      </c>
      <c r="K1344">
        <v>354699.38</v>
      </c>
      <c r="L1344" t="s">
        <v>5775</v>
      </c>
      <c r="M1344">
        <v>3</v>
      </c>
    </row>
    <row r="1345" spans="1:13" x14ac:dyDescent="0.25">
      <c r="A1345">
        <v>1344</v>
      </c>
      <c r="B1345" t="s">
        <v>1356</v>
      </c>
      <c r="C1345">
        <v>43</v>
      </c>
      <c r="D1345" t="s">
        <v>2948</v>
      </c>
      <c r="E1345" t="s">
        <v>2952</v>
      </c>
      <c r="F1345" t="s">
        <v>4226</v>
      </c>
      <c r="G1345" s="2">
        <v>45627</v>
      </c>
      <c r="H1345" s="2">
        <v>45628</v>
      </c>
      <c r="I1345" t="s">
        <v>5760</v>
      </c>
      <c r="J1345" t="s">
        <v>5769</v>
      </c>
      <c r="K1345">
        <v>424042.63</v>
      </c>
      <c r="L1345" t="s">
        <v>5774</v>
      </c>
      <c r="M1345">
        <v>1</v>
      </c>
    </row>
    <row r="1346" spans="1:13" x14ac:dyDescent="0.25">
      <c r="A1346">
        <v>1345</v>
      </c>
      <c r="B1346" t="s">
        <v>1357</v>
      </c>
      <c r="C1346">
        <v>80</v>
      </c>
      <c r="D1346" t="s">
        <v>2947</v>
      </c>
      <c r="E1346" t="s">
        <v>2949</v>
      </c>
      <c r="F1346" t="s">
        <v>4227</v>
      </c>
      <c r="G1346" s="2">
        <v>45845</v>
      </c>
      <c r="H1346" s="2">
        <v>45857</v>
      </c>
      <c r="I1346" t="s">
        <v>5760</v>
      </c>
      <c r="J1346" t="s">
        <v>5769</v>
      </c>
      <c r="K1346">
        <v>313597.56</v>
      </c>
      <c r="L1346" t="s">
        <v>5775</v>
      </c>
      <c r="M1346">
        <v>12</v>
      </c>
    </row>
    <row r="1347" spans="1:13" x14ac:dyDescent="0.25">
      <c r="A1347">
        <v>1346</v>
      </c>
      <c r="B1347" t="s">
        <v>1358</v>
      </c>
      <c r="C1347">
        <v>57</v>
      </c>
      <c r="D1347" t="s">
        <v>2947</v>
      </c>
      <c r="E1347" t="s">
        <v>2954</v>
      </c>
      <c r="F1347" t="s">
        <v>4228</v>
      </c>
      <c r="G1347" s="2">
        <v>45806</v>
      </c>
      <c r="H1347" s="2">
        <v>45809</v>
      </c>
      <c r="I1347" t="s">
        <v>5763</v>
      </c>
      <c r="J1347" t="s">
        <v>5769</v>
      </c>
      <c r="K1347">
        <v>353237.19</v>
      </c>
      <c r="L1347" t="s">
        <v>5774</v>
      </c>
      <c r="M1347">
        <v>3</v>
      </c>
    </row>
    <row r="1348" spans="1:13" x14ac:dyDescent="0.25">
      <c r="A1348">
        <v>1347</v>
      </c>
      <c r="B1348" t="s">
        <v>1359</v>
      </c>
      <c r="C1348">
        <v>5</v>
      </c>
      <c r="D1348" t="s">
        <v>2948</v>
      </c>
      <c r="E1348" t="s">
        <v>2955</v>
      </c>
      <c r="F1348" t="s">
        <v>4229</v>
      </c>
      <c r="G1348" s="2">
        <v>45656</v>
      </c>
      <c r="H1348" s="2">
        <v>45658</v>
      </c>
      <c r="I1348" t="s">
        <v>5761</v>
      </c>
      <c r="J1348" t="s">
        <v>2949</v>
      </c>
      <c r="K1348">
        <v>54578.92</v>
      </c>
      <c r="L1348" t="s">
        <v>5773</v>
      </c>
      <c r="M1348">
        <v>2</v>
      </c>
    </row>
    <row r="1349" spans="1:13" x14ac:dyDescent="0.25">
      <c r="A1349">
        <v>1348</v>
      </c>
      <c r="B1349" t="s">
        <v>1360</v>
      </c>
      <c r="C1349">
        <v>61</v>
      </c>
      <c r="D1349" t="s">
        <v>2947</v>
      </c>
      <c r="E1349" t="s">
        <v>2954</v>
      </c>
      <c r="F1349" t="s">
        <v>4230</v>
      </c>
      <c r="G1349" s="2">
        <v>45589</v>
      </c>
      <c r="H1349" s="2">
        <v>45602</v>
      </c>
      <c r="I1349" t="s">
        <v>5764</v>
      </c>
      <c r="J1349" t="s">
        <v>5769</v>
      </c>
      <c r="K1349">
        <v>469882.05</v>
      </c>
      <c r="L1349" t="s">
        <v>5774</v>
      </c>
      <c r="M1349">
        <v>13</v>
      </c>
    </row>
    <row r="1350" spans="1:13" x14ac:dyDescent="0.25">
      <c r="A1350">
        <v>1349</v>
      </c>
      <c r="B1350" t="s">
        <v>1361</v>
      </c>
      <c r="C1350">
        <v>58</v>
      </c>
      <c r="D1350" t="s">
        <v>2948</v>
      </c>
      <c r="E1350" t="s">
        <v>2951</v>
      </c>
      <c r="F1350" t="s">
        <v>4231</v>
      </c>
      <c r="G1350" s="2">
        <v>45893</v>
      </c>
      <c r="H1350" s="2">
        <v>45898</v>
      </c>
      <c r="I1350" t="s">
        <v>5766</v>
      </c>
      <c r="J1350" t="s">
        <v>5770</v>
      </c>
      <c r="K1350">
        <v>493178.7</v>
      </c>
      <c r="L1350" t="s">
        <v>5774</v>
      </c>
      <c r="M1350">
        <v>5</v>
      </c>
    </row>
    <row r="1351" spans="1:13" x14ac:dyDescent="0.25">
      <c r="A1351">
        <v>1350</v>
      </c>
      <c r="B1351" t="s">
        <v>1362</v>
      </c>
      <c r="C1351">
        <v>82</v>
      </c>
      <c r="D1351" t="s">
        <v>2948</v>
      </c>
      <c r="E1351" t="s">
        <v>2951</v>
      </c>
      <c r="F1351" t="s">
        <v>4232</v>
      </c>
      <c r="G1351" s="2">
        <v>45722</v>
      </c>
      <c r="H1351" s="2">
        <v>45734</v>
      </c>
      <c r="I1351" t="s">
        <v>5758</v>
      </c>
      <c r="J1351" t="s">
        <v>5770</v>
      </c>
      <c r="K1351">
        <v>418188.37</v>
      </c>
      <c r="L1351" t="s">
        <v>5773</v>
      </c>
      <c r="M1351">
        <v>12</v>
      </c>
    </row>
    <row r="1352" spans="1:13" x14ac:dyDescent="0.25">
      <c r="A1352">
        <v>1351</v>
      </c>
      <c r="B1352" t="s">
        <v>1363</v>
      </c>
      <c r="C1352">
        <v>34</v>
      </c>
      <c r="D1352" t="s">
        <v>2947</v>
      </c>
      <c r="E1352" t="s">
        <v>2954</v>
      </c>
      <c r="F1352" t="s">
        <v>4233</v>
      </c>
      <c r="G1352" s="2">
        <v>45615</v>
      </c>
      <c r="H1352" s="2">
        <v>45619</v>
      </c>
      <c r="I1352" t="s">
        <v>5767</v>
      </c>
      <c r="J1352" t="s">
        <v>5771</v>
      </c>
      <c r="K1352">
        <v>282939.42</v>
      </c>
      <c r="L1352" t="s">
        <v>5775</v>
      </c>
      <c r="M1352">
        <v>4</v>
      </c>
    </row>
    <row r="1353" spans="1:13" x14ac:dyDescent="0.25">
      <c r="A1353">
        <v>1352</v>
      </c>
      <c r="B1353" t="s">
        <v>1364</v>
      </c>
      <c r="C1353">
        <v>73</v>
      </c>
      <c r="D1353" t="s">
        <v>2947</v>
      </c>
      <c r="E1353" t="s">
        <v>2950</v>
      </c>
      <c r="F1353" t="s">
        <v>4234</v>
      </c>
      <c r="G1353" s="2">
        <v>45698</v>
      </c>
      <c r="H1353" s="2">
        <v>45706</v>
      </c>
      <c r="I1353" t="s">
        <v>5762</v>
      </c>
      <c r="J1353" t="s">
        <v>5771</v>
      </c>
      <c r="K1353">
        <v>169108.44</v>
      </c>
      <c r="L1353" t="s">
        <v>5773</v>
      </c>
      <c r="M1353">
        <v>8</v>
      </c>
    </row>
    <row r="1354" spans="1:13" x14ac:dyDescent="0.25">
      <c r="A1354">
        <v>1353</v>
      </c>
      <c r="B1354" t="s">
        <v>1365</v>
      </c>
      <c r="C1354">
        <v>47</v>
      </c>
      <c r="D1354" t="s">
        <v>2948</v>
      </c>
      <c r="E1354" t="s">
        <v>2951</v>
      </c>
      <c r="F1354" t="s">
        <v>4235</v>
      </c>
      <c r="G1354" s="2">
        <v>45875</v>
      </c>
      <c r="H1354" s="2">
        <v>45882</v>
      </c>
      <c r="I1354" t="s">
        <v>5766</v>
      </c>
      <c r="J1354" t="s">
        <v>2949</v>
      </c>
      <c r="K1354">
        <v>456240.02</v>
      </c>
      <c r="L1354" t="s">
        <v>5773</v>
      </c>
      <c r="M1354">
        <v>7</v>
      </c>
    </row>
    <row r="1355" spans="1:13" x14ac:dyDescent="0.25">
      <c r="A1355">
        <v>1354</v>
      </c>
      <c r="B1355" t="s">
        <v>1366</v>
      </c>
      <c r="C1355">
        <v>60</v>
      </c>
      <c r="D1355" t="s">
        <v>2948</v>
      </c>
      <c r="E1355" t="s">
        <v>2954</v>
      </c>
      <c r="F1355" t="s">
        <v>4236</v>
      </c>
      <c r="G1355" s="2">
        <v>45616</v>
      </c>
      <c r="H1355" s="2">
        <v>45629</v>
      </c>
      <c r="I1355" t="s">
        <v>5759</v>
      </c>
      <c r="J1355" t="s">
        <v>5772</v>
      </c>
      <c r="K1355">
        <v>297502.57</v>
      </c>
      <c r="L1355" t="s">
        <v>5774</v>
      </c>
      <c r="M1355">
        <v>13</v>
      </c>
    </row>
    <row r="1356" spans="1:13" x14ac:dyDescent="0.25">
      <c r="A1356">
        <v>1355</v>
      </c>
      <c r="B1356" t="s">
        <v>1367</v>
      </c>
      <c r="C1356">
        <v>85</v>
      </c>
      <c r="D1356" t="s">
        <v>2948</v>
      </c>
      <c r="E1356" t="s">
        <v>2949</v>
      </c>
      <c r="F1356" t="s">
        <v>1929</v>
      </c>
      <c r="G1356" s="2">
        <v>45571</v>
      </c>
      <c r="H1356" s="2">
        <v>45576</v>
      </c>
      <c r="I1356" t="s">
        <v>5767</v>
      </c>
      <c r="J1356" t="s">
        <v>5771</v>
      </c>
      <c r="K1356">
        <v>223290.26</v>
      </c>
      <c r="L1356" t="s">
        <v>5775</v>
      </c>
      <c r="M1356">
        <v>5</v>
      </c>
    </row>
    <row r="1357" spans="1:13" x14ac:dyDescent="0.25">
      <c r="A1357">
        <v>1356</v>
      </c>
      <c r="B1357" t="s">
        <v>1368</v>
      </c>
      <c r="C1357">
        <v>6</v>
      </c>
      <c r="D1357" t="s">
        <v>2947</v>
      </c>
      <c r="E1357" t="s">
        <v>2953</v>
      </c>
      <c r="F1357" t="s">
        <v>4237</v>
      </c>
      <c r="G1357" s="2">
        <v>45703</v>
      </c>
      <c r="H1357" s="2">
        <v>45716</v>
      </c>
      <c r="I1357" t="s">
        <v>5762</v>
      </c>
      <c r="J1357" t="s">
        <v>5772</v>
      </c>
      <c r="K1357">
        <v>489678.18</v>
      </c>
      <c r="L1357" t="s">
        <v>5775</v>
      </c>
      <c r="M1357">
        <v>13</v>
      </c>
    </row>
    <row r="1358" spans="1:13" x14ac:dyDescent="0.25">
      <c r="A1358">
        <v>1357</v>
      </c>
      <c r="B1358" t="s">
        <v>1369</v>
      </c>
      <c r="C1358">
        <v>20</v>
      </c>
      <c r="D1358" t="s">
        <v>2947</v>
      </c>
      <c r="E1358" t="s">
        <v>2953</v>
      </c>
      <c r="F1358" t="s">
        <v>4238</v>
      </c>
      <c r="G1358" s="2">
        <v>45748</v>
      </c>
      <c r="H1358" s="2">
        <v>45760</v>
      </c>
      <c r="I1358" t="s">
        <v>5764</v>
      </c>
      <c r="J1358" t="s">
        <v>2949</v>
      </c>
      <c r="K1358">
        <v>198450.16</v>
      </c>
      <c r="L1358" t="s">
        <v>5775</v>
      </c>
      <c r="M1358">
        <v>12</v>
      </c>
    </row>
    <row r="1359" spans="1:13" x14ac:dyDescent="0.25">
      <c r="A1359">
        <v>1358</v>
      </c>
      <c r="B1359" t="s">
        <v>1370</v>
      </c>
      <c r="C1359">
        <v>11</v>
      </c>
      <c r="D1359" t="s">
        <v>2948</v>
      </c>
      <c r="E1359" t="s">
        <v>2950</v>
      </c>
      <c r="F1359" t="s">
        <v>4239</v>
      </c>
      <c r="G1359" s="2">
        <v>45571</v>
      </c>
      <c r="H1359" s="2">
        <v>45573</v>
      </c>
      <c r="I1359" t="s">
        <v>5763</v>
      </c>
      <c r="J1359" t="s">
        <v>5769</v>
      </c>
      <c r="K1359">
        <v>398312.79</v>
      </c>
      <c r="L1359" t="s">
        <v>5773</v>
      </c>
      <c r="M1359">
        <v>2</v>
      </c>
    </row>
    <row r="1360" spans="1:13" x14ac:dyDescent="0.25">
      <c r="A1360">
        <v>1359</v>
      </c>
      <c r="B1360" t="s">
        <v>1371</v>
      </c>
      <c r="C1360">
        <v>64</v>
      </c>
      <c r="D1360" t="s">
        <v>2947</v>
      </c>
      <c r="E1360" t="s">
        <v>2951</v>
      </c>
      <c r="F1360" t="s">
        <v>4240</v>
      </c>
      <c r="G1360" s="2">
        <v>45846</v>
      </c>
      <c r="H1360" s="2">
        <v>45859</v>
      </c>
      <c r="I1360" t="s">
        <v>5759</v>
      </c>
      <c r="J1360" t="s">
        <v>2949</v>
      </c>
      <c r="K1360">
        <v>146071.01</v>
      </c>
      <c r="L1360" t="s">
        <v>5773</v>
      </c>
      <c r="M1360">
        <v>13</v>
      </c>
    </row>
    <row r="1361" spans="1:13" x14ac:dyDescent="0.25">
      <c r="A1361">
        <v>1360</v>
      </c>
      <c r="B1361" t="s">
        <v>1372</v>
      </c>
      <c r="C1361">
        <v>28</v>
      </c>
      <c r="D1361" t="s">
        <v>2947</v>
      </c>
      <c r="E1361" t="s">
        <v>2950</v>
      </c>
      <c r="F1361" t="s">
        <v>4241</v>
      </c>
      <c r="G1361" s="2">
        <v>45730</v>
      </c>
      <c r="H1361" s="2">
        <v>45736</v>
      </c>
      <c r="I1361" t="s">
        <v>5763</v>
      </c>
      <c r="J1361" t="s">
        <v>5768</v>
      </c>
      <c r="K1361">
        <v>402783.91</v>
      </c>
      <c r="L1361" t="s">
        <v>5775</v>
      </c>
      <c r="M1361">
        <v>6</v>
      </c>
    </row>
    <row r="1362" spans="1:13" x14ac:dyDescent="0.25">
      <c r="A1362">
        <v>1361</v>
      </c>
      <c r="B1362" t="s">
        <v>1373</v>
      </c>
      <c r="C1362">
        <v>71</v>
      </c>
      <c r="D1362" t="s">
        <v>2948</v>
      </c>
      <c r="E1362" t="s">
        <v>2955</v>
      </c>
      <c r="F1362" t="s">
        <v>4242</v>
      </c>
      <c r="G1362" s="2">
        <v>45851</v>
      </c>
      <c r="H1362" s="2">
        <v>45859</v>
      </c>
      <c r="I1362" t="s">
        <v>5760</v>
      </c>
      <c r="J1362" t="s">
        <v>5769</v>
      </c>
      <c r="K1362">
        <v>77393.210000000006</v>
      </c>
      <c r="L1362" t="s">
        <v>5775</v>
      </c>
      <c r="M1362">
        <v>8</v>
      </c>
    </row>
    <row r="1363" spans="1:13" x14ac:dyDescent="0.25">
      <c r="A1363">
        <v>1362</v>
      </c>
      <c r="B1363" t="s">
        <v>1374</v>
      </c>
      <c r="C1363">
        <v>48</v>
      </c>
      <c r="D1363" t="s">
        <v>2948</v>
      </c>
      <c r="E1363" t="s">
        <v>2954</v>
      </c>
      <c r="F1363" t="s">
        <v>4243</v>
      </c>
      <c r="G1363" s="2">
        <v>45862</v>
      </c>
      <c r="H1363" s="2">
        <v>45864</v>
      </c>
      <c r="I1363" t="s">
        <v>5762</v>
      </c>
      <c r="J1363" t="s">
        <v>2949</v>
      </c>
      <c r="K1363">
        <v>215651.73</v>
      </c>
      <c r="L1363" t="s">
        <v>5773</v>
      </c>
      <c r="M1363">
        <v>2</v>
      </c>
    </row>
    <row r="1364" spans="1:13" x14ac:dyDescent="0.25">
      <c r="A1364">
        <v>1363</v>
      </c>
      <c r="B1364" t="s">
        <v>1375</v>
      </c>
      <c r="C1364">
        <v>44</v>
      </c>
      <c r="D1364" t="s">
        <v>2947</v>
      </c>
      <c r="E1364" t="s">
        <v>2949</v>
      </c>
      <c r="F1364" t="s">
        <v>4244</v>
      </c>
      <c r="G1364" s="2">
        <v>45557</v>
      </c>
      <c r="H1364" s="2">
        <v>45559</v>
      </c>
      <c r="I1364" t="s">
        <v>5762</v>
      </c>
      <c r="J1364" t="s">
        <v>5772</v>
      </c>
      <c r="K1364">
        <v>488693.98</v>
      </c>
      <c r="L1364" t="s">
        <v>5774</v>
      </c>
      <c r="M1364">
        <v>2</v>
      </c>
    </row>
    <row r="1365" spans="1:13" x14ac:dyDescent="0.25">
      <c r="A1365">
        <v>1364</v>
      </c>
      <c r="B1365" t="s">
        <v>1376</v>
      </c>
      <c r="C1365">
        <v>44</v>
      </c>
      <c r="D1365" t="s">
        <v>2948</v>
      </c>
      <c r="E1365" t="s">
        <v>2955</v>
      </c>
      <c r="F1365" t="s">
        <v>3470</v>
      </c>
      <c r="G1365" s="2">
        <v>45899</v>
      </c>
      <c r="H1365" s="2">
        <v>45911</v>
      </c>
      <c r="I1365" t="s">
        <v>5763</v>
      </c>
      <c r="J1365" t="s">
        <v>5769</v>
      </c>
      <c r="K1365">
        <v>95146.68</v>
      </c>
      <c r="L1365" t="s">
        <v>5773</v>
      </c>
      <c r="M1365">
        <v>12</v>
      </c>
    </row>
    <row r="1366" spans="1:13" x14ac:dyDescent="0.25">
      <c r="A1366">
        <v>1365</v>
      </c>
      <c r="B1366" t="s">
        <v>1377</v>
      </c>
      <c r="C1366">
        <v>36</v>
      </c>
      <c r="D1366" t="s">
        <v>2948</v>
      </c>
      <c r="E1366" t="s">
        <v>2951</v>
      </c>
      <c r="F1366" t="s">
        <v>4245</v>
      </c>
      <c r="G1366" s="2">
        <v>45624</v>
      </c>
      <c r="H1366" s="2">
        <v>45632</v>
      </c>
      <c r="I1366" t="s">
        <v>5758</v>
      </c>
      <c r="J1366" t="s">
        <v>5768</v>
      </c>
      <c r="K1366">
        <v>288457.43</v>
      </c>
      <c r="L1366" t="s">
        <v>5774</v>
      </c>
      <c r="M1366">
        <v>8</v>
      </c>
    </row>
    <row r="1367" spans="1:13" x14ac:dyDescent="0.25">
      <c r="A1367">
        <v>1366</v>
      </c>
      <c r="B1367" t="s">
        <v>1378</v>
      </c>
      <c r="C1367">
        <v>78</v>
      </c>
      <c r="D1367" t="s">
        <v>2948</v>
      </c>
      <c r="E1367" t="s">
        <v>2952</v>
      </c>
      <c r="F1367" t="s">
        <v>4246</v>
      </c>
      <c r="G1367" s="2">
        <v>45638</v>
      </c>
      <c r="H1367" s="2">
        <v>45642</v>
      </c>
      <c r="I1367" t="s">
        <v>5758</v>
      </c>
      <c r="J1367" t="s">
        <v>5770</v>
      </c>
      <c r="K1367">
        <v>484524.27</v>
      </c>
      <c r="L1367" t="s">
        <v>5775</v>
      </c>
      <c r="M1367">
        <v>4</v>
      </c>
    </row>
    <row r="1368" spans="1:13" x14ac:dyDescent="0.25">
      <c r="A1368">
        <v>1367</v>
      </c>
      <c r="B1368" t="s">
        <v>1379</v>
      </c>
      <c r="C1368">
        <v>86</v>
      </c>
      <c r="D1368" t="s">
        <v>2947</v>
      </c>
      <c r="E1368" t="s">
        <v>2951</v>
      </c>
      <c r="F1368" t="s">
        <v>4247</v>
      </c>
      <c r="G1368" s="2">
        <v>45657</v>
      </c>
      <c r="H1368" s="2">
        <v>45659</v>
      </c>
      <c r="I1368" t="s">
        <v>5762</v>
      </c>
      <c r="J1368" t="s">
        <v>2949</v>
      </c>
      <c r="K1368">
        <v>53908.26</v>
      </c>
      <c r="L1368" t="s">
        <v>5775</v>
      </c>
      <c r="M1368">
        <v>2</v>
      </c>
    </row>
    <row r="1369" spans="1:13" x14ac:dyDescent="0.25">
      <c r="A1369">
        <v>1368</v>
      </c>
      <c r="B1369" t="s">
        <v>1380</v>
      </c>
      <c r="C1369">
        <v>76</v>
      </c>
      <c r="D1369" t="s">
        <v>2947</v>
      </c>
      <c r="E1369" t="s">
        <v>2950</v>
      </c>
      <c r="F1369" t="s">
        <v>4248</v>
      </c>
      <c r="G1369" s="2">
        <v>45627</v>
      </c>
      <c r="H1369" s="2">
        <v>45639</v>
      </c>
      <c r="I1369" t="s">
        <v>5758</v>
      </c>
      <c r="J1369" t="s">
        <v>5768</v>
      </c>
      <c r="K1369">
        <v>275294.99</v>
      </c>
      <c r="L1369" t="s">
        <v>5775</v>
      </c>
      <c r="M1369">
        <v>12</v>
      </c>
    </row>
    <row r="1370" spans="1:13" x14ac:dyDescent="0.25">
      <c r="A1370">
        <v>1369</v>
      </c>
      <c r="B1370" t="s">
        <v>1381</v>
      </c>
      <c r="C1370">
        <v>72</v>
      </c>
      <c r="D1370" t="s">
        <v>2947</v>
      </c>
      <c r="E1370" t="s">
        <v>2954</v>
      </c>
      <c r="F1370" t="s">
        <v>4249</v>
      </c>
      <c r="G1370" s="2">
        <v>45902</v>
      </c>
      <c r="H1370" s="2">
        <v>45913</v>
      </c>
      <c r="I1370" t="s">
        <v>5760</v>
      </c>
      <c r="J1370" t="s">
        <v>5770</v>
      </c>
      <c r="K1370">
        <v>151649.98000000001</v>
      </c>
      <c r="L1370" t="s">
        <v>5775</v>
      </c>
      <c r="M1370">
        <v>11</v>
      </c>
    </row>
    <row r="1371" spans="1:13" x14ac:dyDescent="0.25">
      <c r="A1371">
        <v>1370</v>
      </c>
      <c r="B1371" t="s">
        <v>1382</v>
      </c>
      <c r="C1371">
        <v>46</v>
      </c>
      <c r="D1371" t="s">
        <v>2947</v>
      </c>
      <c r="E1371" t="s">
        <v>2952</v>
      </c>
      <c r="F1371" t="s">
        <v>4250</v>
      </c>
      <c r="G1371" s="2">
        <v>45626</v>
      </c>
      <c r="H1371" s="2">
        <v>45627</v>
      </c>
      <c r="I1371" t="s">
        <v>5760</v>
      </c>
      <c r="J1371" t="s">
        <v>5770</v>
      </c>
      <c r="K1371">
        <v>346390.89</v>
      </c>
      <c r="L1371" t="s">
        <v>5775</v>
      </c>
      <c r="M1371">
        <v>1</v>
      </c>
    </row>
    <row r="1372" spans="1:13" x14ac:dyDescent="0.25">
      <c r="A1372">
        <v>1371</v>
      </c>
      <c r="B1372" t="s">
        <v>1383</v>
      </c>
      <c r="C1372">
        <v>88</v>
      </c>
      <c r="D1372" t="s">
        <v>2948</v>
      </c>
      <c r="E1372" t="s">
        <v>2951</v>
      </c>
      <c r="F1372" t="s">
        <v>4251</v>
      </c>
      <c r="G1372" s="2">
        <v>45794</v>
      </c>
      <c r="H1372" s="2">
        <v>45796</v>
      </c>
      <c r="I1372" t="s">
        <v>5759</v>
      </c>
      <c r="J1372" t="s">
        <v>5768</v>
      </c>
      <c r="K1372">
        <v>238952.88</v>
      </c>
      <c r="L1372" t="s">
        <v>5774</v>
      </c>
      <c r="M1372">
        <v>2</v>
      </c>
    </row>
    <row r="1373" spans="1:13" x14ac:dyDescent="0.25">
      <c r="A1373">
        <v>1372</v>
      </c>
      <c r="B1373" t="s">
        <v>1384</v>
      </c>
      <c r="C1373">
        <v>28</v>
      </c>
      <c r="D1373" t="s">
        <v>2947</v>
      </c>
      <c r="E1373" t="s">
        <v>2949</v>
      </c>
      <c r="F1373" t="s">
        <v>4252</v>
      </c>
      <c r="G1373" s="2">
        <v>45556</v>
      </c>
      <c r="H1373" s="2">
        <v>45560</v>
      </c>
      <c r="I1373" t="s">
        <v>5765</v>
      </c>
      <c r="J1373" t="s">
        <v>5771</v>
      </c>
      <c r="K1373">
        <v>190404.58</v>
      </c>
      <c r="L1373" t="s">
        <v>5775</v>
      </c>
      <c r="M1373">
        <v>4</v>
      </c>
    </row>
    <row r="1374" spans="1:13" x14ac:dyDescent="0.25">
      <c r="A1374">
        <v>1373</v>
      </c>
      <c r="B1374" t="s">
        <v>1385</v>
      </c>
      <c r="C1374">
        <v>50</v>
      </c>
      <c r="D1374" t="s">
        <v>2948</v>
      </c>
      <c r="E1374" t="s">
        <v>2950</v>
      </c>
      <c r="F1374" t="s">
        <v>4253</v>
      </c>
      <c r="G1374" s="2">
        <v>45824</v>
      </c>
      <c r="H1374" s="2">
        <v>45828</v>
      </c>
      <c r="I1374" t="s">
        <v>5764</v>
      </c>
      <c r="J1374" t="s">
        <v>5770</v>
      </c>
      <c r="K1374">
        <v>157914.68</v>
      </c>
      <c r="L1374" t="s">
        <v>5775</v>
      </c>
      <c r="M1374">
        <v>4</v>
      </c>
    </row>
    <row r="1375" spans="1:13" x14ac:dyDescent="0.25">
      <c r="A1375">
        <v>1374</v>
      </c>
      <c r="B1375" t="s">
        <v>1386</v>
      </c>
      <c r="C1375">
        <v>63</v>
      </c>
      <c r="D1375" t="s">
        <v>2948</v>
      </c>
      <c r="E1375" t="s">
        <v>2950</v>
      </c>
      <c r="F1375" t="s">
        <v>4254</v>
      </c>
      <c r="G1375" s="2">
        <v>45717</v>
      </c>
      <c r="H1375" s="2">
        <v>45725</v>
      </c>
      <c r="I1375" t="s">
        <v>5765</v>
      </c>
      <c r="J1375" t="s">
        <v>5772</v>
      </c>
      <c r="K1375">
        <v>130272.19</v>
      </c>
      <c r="L1375" t="s">
        <v>5775</v>
      </c>
      <c r="M1375">
        <v>8</v>
      </c>
    </row>
    <row r="1376" spans="1:13" x14ac:dyDescent="0.25">
      <c r="A1376">
        <v>1375</v>
      </c>
      <c r="B1376" t="s">
        <v>1387</v>
      </c>
      <c r="C1376">
        <v>25</v>
      </c>
      <c r="D1376" t="s">
        <v>2947</v>
      </c>
      <c r="E1376" t="s">
        <v>2952</v>
      </c>
      <c r="F1376" t="s">
        <v>4255</v>
      </c>
      <c r="G1376" s="2">
        <v>45766</v>
      </c>
      <c r="H1376" s="2">
        <v>45768</v>
      </c>
      <c r="I1376" t="s">
        <v>5766</v>
      </c>
      <c r="J1376" t="s">
        <v>2949</v>
      </c>
      <c r="K1376">
        <v>313694.67</v>
      </c>
      <c r="L1376" t="s">
        <v>5774</v>
      </c>
      <c r="M1376">
        <v>2</v>
      </c>
    </row>
    <row r="1377" spans="1:13" x14ac:dyDescent="0.25">
      <c r="A1377">
        <v>1376</v>
      </c>
      <c r="B1377" t="s">
        <v>1388</v>
      </c>
      <c r="C1377">
        <v>3</v>
      </c>
      <c r="D1377" t="s">
        <v>2948</v>
      </c>
      <c r="E1377" t="s">
        <v>2953</v>
      </c>
      <c r="F1377" t="s">
        <v>4256</v>
      </c>
      <c r="G1377" s="2">
        <v>45554</v>
      </c>
      <c r="H1377" s="2">
        <v>45562</v>
      </c>
      <c r="I1377" t="s">
        <v>5765</v>
      </c>
      <c r="J1377" t="s">
        <v>5770</v>
      </c>
      <c r="K1377">
        <v>493619.59</v>
      </c>
      <c r="L1377" t="s">
        <v>5773</v>
      </c>
      <c r="M1377">
        <v>8</v>
      </c>
    </row>
    <row r="1378" spans="1:13" x14ac:dyDescent="0.25">
      <c r="A1378">
        <v>1377</v>
      </c>
      <c r="B1378" t="s">
        <v>1389</v>
      </c>
      <c r="C1378">
        <v>89</v>
      </c>
      <c r="D1378" t="s">
        <v>2947</v>
      </c>
      <c r="E1378" t="s">
        <v>2951</v>
      </c>
      <c r="F1378" t="s">
        <v>4257</v>
      </c>
      <c r="G1378" s="2">
        <v>45791</v>
      </c>
      <c r="H1378" s="2">
        <v>45806</v>
      </c>
      <c r="I1378" t="s">
        <v>5759</v>
      </c>
      <c r="J1378" t="s">
        <v>2949</v>
      </c>
      <c r="K1378">
        <v>265760.74</v>
      </c>
      <c r="L1378" t="s">
        <v>5775</v>
      </c>
      <c r="M1378">
        <v>15</v>
      </c>
    </row>
    <row r="1379" spans="1:13" x14ac:dyDescent="0.25">
      <c r="A1379">
        <v>1378</v>
      </c>
      <c r="B1379" t="s">
        <v>1390</v>
      </c>
      <c r="C1379">
        <v>19</v>
      </c>
      <c r="D1379" t="s">
        <v>2948</v>
      </c>
      <c r="E1379" t="s">
        <v>2953</v>
      </c>
      <c r="F1379" t="s">
        <v>4258</v>
      </c>
      <c r="G1379" s="2">
        <v>45808</v>
      </c>
      <c r="H1379" s="2">
        <v>45817</v>
      </c>
      <c r="I1379" t="s">
        <v>5765</v>
      </c>
      <c r="J1379" t="s">
        <v>5770</v>
      </c>
      <c r="K1379">
        <v>133387.69</v>
      </c>
      <c r="L1379" t="s">
        <v>5773</v>
      </c>
      <c r="M1379">
        <v>9</v>
      </c>
    </row>
    <row r="1380" spans="1:13" x14ac:dyDescent="0.25">
      <c r="A1380">
        <v>1379</v>
      </c>
      <c r="B1380" t="s">
        <v>1391</v>
      </c>
      <c r="C1380">
        <v>77</v>
      </c>
      <c r="D1380" t="s">
        <v>2947</v>
      </c>
      <c r="E1380" t="s">
        <v>2950</v>
      </c>
      <c r="F1380" t="s">
        <v>4259</v>
      </c>
      <c r="G1380" s="2">
        <v>45758</v>
      </c>
      <c r="H1380" s="2">
        <v>45765</v>
      </c>
      <c r="I1380" t="s">
        <v>5761</v>
      </c>
      <c r="J1380" t="s">
        <v>5769</v>
      </c>
      <c r="K1380">
        <v>75184.27</v>
      </c>
      <c r="L1380" t="s">
        <v>5775</v>
      </c>
      <c r="M1380">
        <v>7</v>
      </c>
    </row>
    <row r="1381" spans="1:13" x14ac:dyDescent="0.25">
      <c r="A1381">
        <v>1380</v>
      </c>
      <c r="B1381" t="s">
        <v>1392</v>
      </c>
      <c r="C1381">
        <v>76</v>
      </c>
      <c r="D1381" t="s">
        <v>2948</v>
      </c>
      <c r="E1381" t="s">
        <v>2952</v>
      </c>
      <c r="F1381" t="s">
        <v>4260</v>
      </c>
      <c r="G1381" s="2">
        <v>45782</v>
      </c>
      <c r="H1381" s="2">
        <v>45791</v>
      </c>
      <c r="I1381" t="s">
        <v>5763</v>
      </c>
      <c r="J1381" t="s">
        <v>5771</v>
      </c>
      <c r="K1381">
        <v>274795.43</v>
      </c>
      <c r="L1381" t="s">
        <v>5773</v>
      </c>
      <c r="M1381">
        <v>9</v>
      </c>
    </row>
    <row r="1382" spans="1:13" x14ac:dyDescent="0.25">
      <c r="A1382">
        <v>1381</v>
      </c>
      <c r="B1382" t="s">
        <v>1393</v>
      </c>
      <c r="C1382">
        <v>20</v>
      </c>
      <c r="D1382" t="s">
        <v>2947</v>
      </c>
      <c r="E1382" t="s">
        <v>2952</v>
      </c>
      <c r="F1382" t="s">
        <v>4261</v>
      </c>
      <c r="G1382" s="2">
        <v>45898</v>
      </c>
      <c r="H1382" s="2">
        <v>45903</v>
      </c>
      <c r="I1382" t="s">
        <v>5759</v>
      </c>
      <c r="J1382" t="s">
        <v>2949</v>
      </c>
      <c r="K1382">
        <v>415527.83</v>
      </c>
      <c r="L1382" t="s">
        <v>5775</v>
      </c>
      <c r="M1382">
        <v>5</v>
      </c>
    </row>
    <row r="1383" spans="1:13" x14ac:dyDescent="0.25">
      <c r="A1383">
        <v>1382</v>
      </c>
      <c r="B1383" t="s">
        <v>1394</v>
      </c>
      <c r="C1383">
        <v>89</v>
      </c>
      <c r="D1383" t="s">
        <v>2948</v>
      </c>
      <c r="E1383" t="s">
        <v>2955</v>
      </c>
      <c r="F1383" t="s">
        <v>4262</v>
      </c>
      <c r="G1383" s="2">
        <v>45905</v>
      </c>
      <c r="H1383" s="2">
        <v>45915</v>
      </c>
      <c r="I1383" t="s">
        <v>5766</v>
      </c>
      <c r="J1383" t="s">
        <v>5772</v>
      </c>
      <c r="K1383">
        <v>336635.26</v>
      </c>
      <c r="L1383" t="s">
        <v>5775</v>
      </c>
      <c r="M1383">
        <v>10</v>
      </c>
    </row>
    <row r="1384" spans="1:13" x14ac:dyDescent="0.25">
      <c r="A1384">
        <v>1383</v>
      </c>
      <c r="B1384" t="s">
        <v>1395</v>
      </c>
      <c r="C1384">
        <v>9</v>
      </c>
      <c r="D1384" t="s">
        <v>2948</v>
      </c>
      <c r="E1384" t="s">
        <v>2951</v>
      </c>
      <c r="F1384" t="s">
        <v>4263</v>
      </c>
      <c r="G1384" s="2">
        <v>45747</v>
      </c>
      <c r="H1384" s="2">
        <v>45760</v>
      </c>
      <c r="I1384" t="s">
        <v>5766</v>
      </c>
      <c r="J1384" t="s">
        <v>5768</v>
      </c>
      <c r="K1384">
        <v>465882.32</v>
      </c>
      <c r="L1384" t="s">
        <v>5775</v>
      </c>
      <c r="M1384">
        <v>13</v>
      </c>
    </row>
    <row r="1385" spans="1:13" x14ac:dyDescent="0.25">
      <c r="A1385">
        <v>1384</v>
      </c>
      <c r="B1385" t="s">
        <v>1396</v>
      </c>
      <c r="C1385">
        <v>8</v>
      </c>
      <c r="D1385" t="s">
        <v>2948</v>
      </c>
      <c r="E1385" t="s">
        <v>2950</v>
      </c>
      <c r="F1385" t="s">
        <v>4264</v>
      </c>
      <c r="G1385" s="2">
        <v>45735</v>
      </c>
      <c r="H1385" s="2">
        <v>45739</v>
      </c>
      <c r="I1385" t="s">
        <v>5759</v>
      </c>
      <c r="J1385" t="s">
        <v>5772</v>
      </c>
      <c r="K1385">
        <v>138973.87</v>
      </c>
      <c r="L1385" t="s">
        <v>5774</v>
      </c>
      <c r="M1385">
        <v>4</v>
      </c>
    </row>
    <row r="1386" spans="1:13" x14ac:dyDescent="0.25">
      <c r="A1386">
        <v>1385</v>
      </c>
      <c r="B1386" t="s">
        <v>1397</v>
      </c>
      <c r="C1386">
        <v>13</v>
      </c>
      <c r="D1386" t="s">
        <v>2947</v>
      </c>
      <c r="E1386" t="s">
        <v>2953</v>
      </c>
      <c r="F1386" t="s">
        <v>4265</v>
      </c>
      <c r="G1386" s="2">
        <v>45861</v>
      </c>
      <c r="H1386" s="2">
        <v>45872</v>
      </c>
      <c r="I1386" t="s">
        <v>5760</v>
      </c>
      <c r="J1386" t="s">
        <v>5770</v>
      </c>
      <c r="K1386">
        <v>265354.21999999997</v>
      </c>
      <c r="L1386" t="s">
        <v>5773</v>
      </c>
      <c r="M1386">
        <v>11</v>
      </c>
    </row>
    <row r="1387" spans="1:13" x14ac:dyDescent="0.25">
      <c r="A1387">
        <v>1386</v>
      </c>
      <c r="B1387" t="s">
        <v>1398</v>
      </c>
      <c r="C1387">
        <v>58</v>
      </c>
      <c r="D1387" t="s">
        <v>2947</v>
      </c>
      <c r="E1387" t="s">
        <v>2951</v>
      </c>
      <c r="F1387" t="s">
        <v>4266</v>
      </c>
      <c r="G1387" s="2">
        <v>45611</v>
      </c>
      <c r="H1387" s="2">
        <v>45618</v>
      </c>
      <c r="I1387" t="s">
        <v>5762</v>
      </c>
      <c r="J1387" t="s">
        <v>2949</v>
      </c>
      <c r="K1387">
        <v>465931.7</v>
      </c>
      <c r="L1387" t="s">
        <v>5773</v>
      </c>
      <c r="M1387">
        <v>7</v>
      </c>
    </row>
    <row r="1388" spans="1:13" x14ac:dyDescent="0.25">
      <c r="A1388">
        <v>1387</v>
      </c>
      <c r="B1388" t="s">
        <v>1399</v>
      </c>
      <c r="C1388">
        <v>78</v>
      </c>
      <c r="D1388" t="s">
        <v>2948</v>
      </c>
      <c r="E1388" t="s">
        <v>2951</v>
      </c>
      <c r="F1388" t="s">
        <v>4267</v>
      </c>
      <c r="G1388" s="2">
        <v>45845</v>
      </c>
      <c r="H1388" s="2">
        <v>45847</v>
      </c>
      <c r="I1388" t="s">
        <v>5764</v>
      </c>
      <c r="J1388" t="s">
        <v>5770</v>
      </c>
      <c r="K1388">
        <v>37245.46</v>
      </c>
      <c r="L1388" t="s">
        <v>5775</v>
      </c>
      <c r="M1388">
        <v>2</v>
      </c>
    </row>
    <row r="1389" spans="1:13" x14ac:dyDescent="0.25">
      <c r="A1389">
        <v>1388</v>
      </c>
      <c r="B1389" t="s">
        <v>1400</v>
      </c>
      <c r="C1389">
        <v>37</v>
      </c>
      <c r="D1389" t="s">
        <v>2947</v>
      </c>
      <c r="E1389" t="s">
        <v>2954</v>
      </c>
      <c r="F1389" t="s">
        <v>4268</v>
      </c>
      <c r="G1389" s="2">
        <v>45772</v>
      </c>
      <c r="H1389" s="2">
        <v>45775</v>
      </c>
      <c r="I1389" t="s">
        <v>5761</v>
      </c>
      <c r="J1389" t="s">
        <v>5769</v>
      </c>
      <c r="K1389">
        <v>227808.45</v>
      </c>
      <c r="L1389" t="s">
        <v>5773</v>
      </c>
      <c r="M1389">
        <v>3</v>
      </c>
    </row>
    <row r="1390" spans="1:13" x14ac:dyDescent="0.25">
      <c r="A1390">
        <v>1389</v>
      </c>
      <c r="B1390" t="s">
        <v>1401</v>
      </c>
      <c r="C1390">
        <v>69</v>
      </c>
      <c r="D1390" t="s">
        <v>2947</v>
      </c>
      <c r="E1390" t="s">
        <v>2955</v>
      </c>
      <c r="F1390" t="s">
        <v>4269</v>
      </c>
      <c r="G1390" s="2">
        <v>45755</v>
      </c>
      <c r="H1390" s="2">
        <v>45757</v>
      </c>
      <c r="I1390" t="s">
        <v>5766</v>
      </c>
      <c r="J1390" t="s">
        <v>5771</v>
      </c>
      <c r="K1390">
        <v>223806.29</v>
      </c>
      <c r="L1390" t="s">
        <v>5774</v>
      </c>
      <c r="M1390">
        <v>2</v>
      </c>
    </row>
    <row r="1391" spans="1:13" x14ac:dyDescent="0.25">
      <c r="A1391">
        <v>1390</v>
      </c>
      <c r="B1391" t="s">
        <v>1402</v>
      </c>
      <c r="C1391">
        <v>47</v>
      </c>
      <c r="D1391" t="s">
        <v>2948</v>
      </c>
      <c r="E1391" t="s">
        <v>2949</v>
      </c>
      <c r="F1391" t="s">
        <v>4270</v>
      </c>
      <c r="G1391" s="2">
        <v>45566</v>
      </c>
      <c r="H1391" s="2">
        <v>45579</v>
      </c>
      <c r="I1391" t="s">
        <v>5764</v>
      </c>
      <c r="J1391" t="s">
        <v>5769</v>
      </c>
      <c r="K1391">
        <v>308177.09000000003</v>
      </c>
      <c r="L1391" t="s">
        <v>5773</v>
      </c>
      <c r="M1391">
        <v>13</v>
      </c>
    </row>
    <row r="1392" spans="1:13" x14ac:dyDescent="0.25">
      <c r="A1392">
        <v>1391</v>
      </c>
      <c r="B1392" t="s">
        <v>1403</v>
      </c>
      <c r="C1392">
        <v>36</v>
      </c>
      <c r="D1392" t="s">
        <v>2948</v>
      </c>
      <c r="E1392" t="s">
        <v>2951</v>
      </c>
      <c r="F1392" t="s">
        <v>4271</v>
      </c>
      <c r="G1392" s="2">
        <v>45761</v>
      </c>
      <c r="H1392" s="2">
        <v>45771</v>
      </c>
      <c r="I1392" t="s">
        <v>5758</v>
      </c>
      <c r="J1392" t="s">
        <v>5771</v>
      </c>
      <c r="K1392">
        <v>199794.73</v>
      </c>
      <c r="L1392" t="s">
        <v>5774</v>
      </c>
      <c r="M1392">
        <v>10</v>
      </c>
    </row>
    <row r="1393" spans="1:13" x14ac:dyDescent="0.25">
      <c r="A1393">
        <v>1392</v>
      </c>
      <c r="B1393" t="s">
        <v>1404</v>
      </c>
      <c r="C1393">
        <v>7</v>
      </c>
      <c r="D1393" t="s">
        <v>2948</v>
      </c>
      <c r="E1393" t="s">
        <v>2954</v>
      </c>
      <c r="F1393" t="s">
        <v>4272</v>
      </c>
      <c r="G1393" s="2">
        <v>45766</v>
      </c>
      <c r="H1393" s="2">
        <v>45777</v>
      </c>
      <c r="I1393" t="s">
        <v>5763</v>
      </c>
      <c r="J1393" t="s">
        <v>5772</v>
      </c>
      <c r="K1393">
        <v>169243.07</v>
      </c>
      <c r="L1393" t="s">
        <v>5773</v>
      </c>
      <c r="M1393">
        <v>11</v>
      </c>
    </row>
    <row r="1394" spans="1:13" x14ac:dyDescent="0.25">
      <c r="A1394">
        <v>1393</v>
      </c>
      <c r="B1394" t="s">
        <v>1405</v>
      </c>
      <c r="C1394">
        <v>60</v>
      </c>
      <c r="D1394" t="s">
        <v>2948</v>
      </c>
      <c r="E1394" t="s">
        <v>2950</v>
      </c>
      <c r="F1394" t="s">
        <v>3446</v>
      </c>
      <c r="G1394" s="2">
        <v>45562</v>
      </c>
      <c r="H1394" s="2">
        <v>45563</v>
      </c>
      <c r="I1394" t="s">
        <v>5761</v>
      </c>
      <c r="J1394" t="s">
        <v>5770</v>
      </c>
      <c r="K1394">
        <v>78760.98</v>
      </c>
      <c r="L1394" t="s">
        <v>5774</v>
      </c>
      <c r="M1394">
        <v>1</v>
      </c>
    </row>
    <row r="1395" spans="1:13" x14ac:dyDescent="0.25">
      <c r="A1395">
        <v>1394</v>
      </c>
      <c r="B1395" t="s">
        <v>1406</v>
      </c>
      <c r="C1395">
        <v>58</v>
      </c>
      <c r="D1395" t="s">
        <v>2948</v>
      </c>
      <c r="E1395" t="s">
        <v>2953</v>
      </c>
      <c r="F1395" t="s">
        <v>4273</v>
      </c>
      <c r="G1395" s="2">
        <v>45873</v>
      </c>
      <c r="H1395" s="2">
        <v>45882</v>
      </c>
      <c r="I1395" t="s">
        <v>5761</v>
      </c>
      <c r="J1395" t="s">
        <v>2949</v>
      </c>
      <c r="K1395">
        <v>303251.38</v>
      </c>
      <c r="L1395" t="s">
        <v>5774</v>
      </c>
      <c r="M1395">
        <v>9</v>
      </c>
    </row>
    <row r="1396" spans="1:13" x14ac:dyDescent="0.25">
      <c r="A1396">
        <v>1395</v>
      </c>
      <c r="B1396" t="s">
        <v>1407</v>
      </c>
      <c r="C1396">
        <v>29</v>
      </c>
      <c r="D1396" t="s">
        <v>2948</v>
      </c>
      <c r="E1396" t="s">
        <v>2950</v>
      </c>
      <c r="F1396" t="s">
        <v>4274</v>
      </c>
      <c r="G1396" s="2">
        <v>45819</v>
      </c>
      <c r="H1396" s="2">
        <v>45825</v>
      </c>
      <c r="I1396" t="s">
        <v>5764</v>
      </c>
      <c r="J1396" t="s">
        <v>5771</v>
      </c>
      <c r="K1396">
        <v>127566.18</v>
      </c>
      <c r="L1396" t="s">
        <v>5775</v>
      </c>
      <c r="M1396">
        <v>6</v>
      </c>
    </row>
    <row r="1397" spans="1:13" x14ac:dyDescent="0.25">
      <c r="A1397">
        <v>1396</v>
      </c>
      <c r="B1397" t="s">
        <v>1408</v>
      </c>
      <c r="C1397">
        <v>80</v>
      </c>
      <c r="D1397" t="s">
        <v>2947</v>
      </c>
      <c r="E1397" t="s">
        <v>2953</v>
      </c>
      <c r="F1397" t="s">
        <v>3193</v>
      </c>
      <c r="G1397" s="2">
        <v>45654</v>
      </c>
      <c r="H1397" s="2">
        <v>45656</v>
      </c>
      <c r="I1397" t="s">
        <v>5761</v>
      </c>
      <c r="J1397" t="s">
        <v>2949</v>
      </c>
      <c r="K1397">
        <v>488847.21</v>
      </c>
      <c r="L1397" t="s">
        <v>5775</v>
      </c>
      <c r="M1397">
        <v>2</v>
      </c>
    </row>
    <row r="1398" spans="1:13" x14ac:dyDescent="0.25">
      <c r="A1398">
        <v>1397</v>
      </c>
      <c r="B1398" t="s">
        <v>1409</v>
      </c>
      <c r="C1398">
        <v>82</v>
      </c>
      <c r="D1398" t="s">
        <v>2947</v>
      </c>
      <c r="E1398" t="s">
        <v>2951</v>
      </c>
      <c r="F1398" t="s">
        <v>4275</v>
      </c>
      <c r="G1398" s="2">
        <v>45890</v>
      </c>
      <c r="H1398" s="2">
        <v>45896</v>
      </c>
      <c r="I1398" t="s">
        <v>5760</v>
      </c>
      <c r="J1398" t="s">
        <v>5770</v>
      </c>
      <c r="K1398">
        <v>281822.82</v>
      </c>
      <c r="L1398" t="s">
        <v>5773</v>
      </c>
      <c r="M1398">
        <v>6</v>
      </c>
    </row>
    <row r="1399" spans="1:13" x14ac:dyDescent="0.25">
      <c r="A1399">
        <v>1398</v>
      </c>
      <c r="B1399" t="s">
        <v>1410</v>
      </c>
      <c r="C1399">
        <v>6</v>
      </c>
      <c r="D1399" t="s">
        <v>2947</v>
      </c>
      <c r="E1399" t="s">
        <v>2955</v>
      </c>
      <c r="F1399" t="s">
        <v>4276</v>
      </c>
      <c r="G1399" s="2">
        <v>45715</v>
      </c>
      <c r="H1399" s="2">
        <v>45721</v>
      </c>
      <c r="I1399" t="s">
        <v>5761</v>
      </c>
      <c r="J1399" t="s">
        <v>5769</v>
      </c>
      <c r="K1399">
        <v>160459.49</v>
      </c>
      <c r="L1399" t="s">
        <v>5775</v>
      </c>
      <c r="M1399">
        <v>6</v>
      </c>
    </row>
    <row r="1400" spans="1:13" x14ac:dyDescent="0.25">
      <c r="A1400">
        <v>1399</v>
      </c>
      <c r="B1400" t="s">
        <v>1411</v>
      </c>
      <c r="C1400">
        <v>57</v>
      </c>
      <c r="D1400" t="s">
        <v>2948</v>
      </c>
      <c r="E1400" t="s">
        <v>2953</v>
      </c>
      <c r="F1400" t="s">
        <v>4277</v>
      </c>
      <c r="G1400" s="2">
        <v>45755</v>
      </c>
      <c r="H1400" s="2">
        <v>45760</v>
      </c>
      <c r="I1400" t="s">
        <v>5763</v>
      </c>
      <c r="J1400" t="s">
        <v>5772</v>
      </c>
      <c r="K1400">
        <v>139913.49</v>
      </c>
      <c r="L1400" t="s">
        <v>5775</v>
      </c>
      <c r="M1400">
        <v>5</v>
      </c>
    </row>
    <row r="1401" spans="1:13" x14ac:dyDescent="0.25">
      <c r="A1401">
        <v>1400</v>
      </c>
      <c r="B1401" t="s">
        <v>1412</v>
      </c>
      <c r="C1401">
        <v>45</v>
      </c>
      <c r="D1401" t="s">
        <v>2947</v>
      </c>
      <c r="E1401" t="s">
        <v>2950</v>
      </c>
      <c r="F1401" t="s">
        <v>4278</v>
      </c>
      <c r="G1401" s="2">
        <v>45900</v>
      </c>
      <c r="H1401" s="2">
        <v>45903</v>
      </c>
      <c r="I1401" t="s">
        <v>5764</v>
      </c>
      <c r="J1401" t="s">
        <v>2949</v>
      </c>
      <c r="K1401">
        <v>11946.26</v>
      </c>
      <c r="L1401" t="s">
        <v>5775</v>
      </c>
      <c r="M1401">
        <v>3</v>
      </c>
    </row>
    <row r="1402" spans="1:13" x14ac:dyDescent="0.25">
      <c r="A1402">
        <v>1401</v>
      </c>
      <c r="B1402" t="s">
        <v>1413</v>
      </c>
      <c r="C1402">
        <v>17</v>
      </c>
      <c r="D1402" t="s">
        <v>2947</v>
      </c>
      <c r="E1402" t="s">
        <v>2952</v>
      </c>
      <c r="F1402" t="s">
        <v>4279</v>
      </c>
      <c r="G1402" s="2">
        <v>45639</v>
      </c>
      <c r="H1402" s="2">
        <v>45645</v>
      </c>
      <c r="I1402" t="s">
        <v>5764</v>
      </c>
      <c r="J1402" t="s">
        <v>2949</v>
      </c>
      <c r="K1402">
        <v>74301.009999999995</v>
      </c>
      <c r="L1402" t="s">
        <v>5774</v>
      </c>
      <c r="M1402">
        <v>6</v>
      </c>
    </row>
    <row r="1403" spans="1:13" x14ac:dyDescent="0.25">
      <c r="A1403">
        <v>1402</v>
      </c>
      <c r="B1403" t="s">
        <v>1414</v>
      </c>
      <c r="C1403">
        <v>65</v>
      </c>
      <c r="D1403" t="s">
        <v>2947</v>
      </c>
      <c r="E1403" t="s">
        <v>2953</v>
      </c>
      <c r="F1403" t="s">
        <v>4280</v>
      </c>
      <c r="G1403" s="2">
        <v>45658</v>
      </c>
      <c r="H1403" s="2">
        <v>45667</v>
      </c>
      <c r="I1403" t="s">
        <v>5762</v>
      </c>
      <c r="J1403" t="s">
        <v>2949</v>
      </c>
      <c r="K1403">
        <v>32422.14</v>
      </c>
      <c r="L1403" t="s">
        <v>5775</v>
      </c>
      <c r="M1403">
        <v>9</v>
      </c>
    </row>
    <row r="1404" spans="1:13" x14ac:dyDescent="0.25">
      <c r="A1404">
        <v>1403</v>
      </c>
      <c r="B1404" t="s">
        <v>1415</v>
      </c>
      <c r="C1404">
        <v>4</v>
      </c>
      <c r="D1404" t="s">
        <v>2947</v>
      </c>
      <c r="E1404" t="s">
        <v>2952</v>
      </c>
      <c r="F1404" t="s">
        <v>4281</v>
      </c>
      <c r="G1404" s="2">
        <v>45863</v>
      </c>
      <c r="H1404" s="2">
        <v>45865</v>
      </c>
      <c r="I1404" t="s">
        <v>5763</v>
      </c>
      <c r="J1404" t="s">
        <v>5769</v>
      </c>
      <c r="K1404">
        <v>492594.93</v>
      </c>
      <c r="L1404" t="s">
        <v>5773</v>
      </c>
      <c r="M1404">
        <v>2</v>
      </c>
    </row>
    <row r="1405" spans="1:13" x14ac:dyDescent="0.25">
      <c r="A1405">
        <v>1404</v>
      </c>
      <c r="B1405" t="s">
        <v>1416</v>
      </c>
      <c r="C1405">
        <v>37</v>
      </c>
      <c r="D1405" t="s">
        <v>2947</v>
      </c>
      <c r="E1405" t="s">
        <v>2955</v>
      </c>
      <c r="F1405" t="s">
        <v>4282</v>
      </c>
      <c r="G1405" s="2">
        <v>45650</v>
      </c>
      <c r="H1405" s="2">
        <v>45662</v>
      </c>
      <c r="I1405" t="s">
        <v>5763</v>
      </c>
      <c r="J1405" t="s">
        <v>5769</v>
      </c>
      <c r="K1405">
        <v>429096.34</v>
      </c>
      <c r="L1405" t="s">
        <v>5774</v>
      </c>
      <c r="M1405">
        <v>12</v>
      </c>
    </row>
    <row r="1406" spans="1:13" x14ac:dyDescent="0.25">
      <c r="A1406">
        <v>1405</v>
      </c>
      <c r="B1406" t="s">
        <v>1417</v>
      </c>
      <c r="C1406">
        <v>39</v>
      </c>
      <c r="D1406" t="s">
        <v>2948</v>
      </c>
      <c r="E1406" t="s">
        <v>2951</v>
      </c>
      <c r="F1406" t="s">
        <v>4283</v>
      </c>
      <c r="G1406" s="2">
        <v>45606</v>
      </c>
      <c r="H1406" s="2">
        <v>45617</v>
      </c>
      <c r="I1406" t="s">
        <v>5766</v>
      </c>
      <c r="J1406" t="s">
        <v>2949</v>
      </c>
      <c r="K1406">
        <v>313485.42</v>
      </c>
      <c r="L1406" t="s">
        <v>5775</v>
      </c>
      <c r="M1406">
        <v>11</v>
      </c>
    </row>
    <row r="1407" spans="1:13" x14ac:dyDescent="0.25">
      <c r="A1407">
        <v>1406</v>
      </c>
      <c r="B1407" t="s">
        <v>1418</v>
      </c>
      <c r="C1407">
        <v>43</v>
      </c>
      <c r="D1407" t="s">
        <v>2947</v>
      </c>
      <c r="E1407" t="s">
        <v>2952</v>
      </c>
      <c r="F1407" t="s">
        <v>4284</v>
      </c>
      <c r="G1407" s="2">
        <v>45867</v>
      </c>
      <c r="H1407" s="2">
        <v>45872</v>
      </c>
      <c r="I1407" t="s">
        <v>5759</v>
      </c>
      <c r="J1407" t="s">
        <v>5772</v>
      </c>
      <c r="K1407">
        <v>230643.64</v>
      </c>
      <c r="L1407" t="s">
        <v>5775</v>
      </c>
      <c r="M1407">
        <v>5</v>
      </c>
    </row>
    <row r="1408" spans="1:13" x14ac:dyDescent="0.25">
      <c r="A1408">
        <v>1407</v>
      </c>
      <c r="B1408" t="s">
        <v>1419</v>
      </c>
      <c r="C1408">
        <v>58</v>
      </c>
      <c r="D1408" t="s">
        <v>2948</v>
      </c>
      <c r="E1408" t="s">
        <v>2951</v>
      </c>
      <c r="F1408" t="s">
        <v>4285</v>
      </c>
      <c r="G1408" s="2">
        <v>45594</v>
      </c>
      <c r="H1408" s="2">
        <v>45595</v>
      </c>
      <c r="I1408" t="s">
        <v>5758</v>
      </c>
      <c r="J1408" t="s">
        <v>5769</v>
      </c>
      <c r="K1408">
        <v>159118.32999999999</v>
      </c>
      <c r="L1408" t="s">
        <v>5773</v>
      </c>
      <c r="M1408">
        <v>1</v>
      </c>
    </row>
    <row r="1409" spans="1:13" x14ac:dyDescent="0.25">
      <c r="A1409">
        <v>1408</v>
      </c>
      <c r="B1409" t="s">
        <v>1420</v>
      </c>
      <c r="C1409">
        <v>9</v>
      </c>
      <c r="D1409" t="s">
        <v>2948</v>
      </c>
      <c r="E1409" t="s">
        <v>2951</v>
      </c>
      <c r="F1409" t="s">
        <v>4286</v>
      </c>
      <c r="G1409" s="2">
        <v>45789</v>
      </c>
      <c r="H1409" s="2">
        <v>45791</v>
      </c>
      <c r="I1409" t="s">
        <v>5760</v>
      </c>
      <c r="J1409" t="s">
        <v>2949</v>
      </c>
      <c r="K1409">
        <v>411293.69</v>
      </c>
      <c r="L1409" t="s">
        <v>5773</v>
      </c>
      <c r="M1409">
        <v>2</v>
      </c>
    </row>
    <row r="1410" spans="1:13" x14ac:dyDescent="0.25">
      <c r="A1410">
        <v>1409</v>
      </c>
      <c r="B1410" t="s">
        <v>1421</v>
      </c>
      <c r="C1410">
        <v>17</v>
      </c>
      <c r="D1410" t="s">
        <v>2947</v>
      </c>
      <c r="E1410" t="s">
        <v>2953</v>
      </c>
      <c r="F1410" t="s">
        <v>4287</v>
      </c>
      <c r="G1410" s="2">
        <v>45772</v>
      </c>
      <c r="H1410" s="2">
        <v>45778</v>
      </c>
      <c r="I1410" t="s">
        <v>5759</v>
      </c>
      <c r="J1410" t="s">
        <v>5769</v>
      </c>
      <c r="K1410">
        <v>47846.79</v>
      </c>
      <c r="L1410" t="s">
        <v>5774</v>
      </c>
      <c r="M1410">
        <v>6</v>
      </c>
    </row>
    <row r="1411" spans="1:13" x14ac:dyDescent="0.25">
      <c r="A1411">
        <v>1410</v>
      </c>
      <c r="B1411" t="s">
        <v>1422</v>
      </c>
      <c r="C1411">
        <v>80</v>
      </c>
      <c r="D1411" t="s">
        <v>2948</v>
      </c>
      <c r="E1411" t="s">
        <v>2955</v>
      </c>
      <c r="F1411" t="s">
        <v>4288</v>
      </c>
      <c r="G1411" s="2">
        <v>45899</v>
      </c>
      <c r="H1411" s="2">
        <v>45901</v>
      </c>
      <c r="I1411" t="s">
        <v>5763</v>
      </c>
      <c r="J1411" t="s">
        <v>5770</v>
      </c>
      <c r="K1411">
        <v>111388.16</v>
      </c>
      <c r="L1411" t="s">
        <v>5774</v>
      </c>
      <c r="M1411">
        <v>2</v>
      </c>
    </row>
    <row r="1412" spans="1:13" x14ac:dyDescent="0.25">
      <c r="A1412">
        <v>1411</v>
      </c>
      <c r="B1412" t="s">
        <v>1423</v>
      </c>
      <c r="C1412">
        <v>46</v>
      </c>
      <c r="D1412" t="s">
        <v>2947</v>
      </c>
      <c r="E1412" t="s">
        <v>2952</v>
      </c>
      <c r="F1412" t="s">
        <v>4289</v>
      </c>
      <c r="G1412" s="2">
        <v>45910</v>
      </c>
      <c r="H1412" s="2">
        <v>45916</v>
      </c>
      <c r="I1412" t="s">
        <v>5767</v>
      </c>
      <c r="J1412" t="s">
        <v>5771</v>
      </c>
      <c r="K1412">
        <v>268945.32</v>
      </c>
      <c r="L1412" t="s">
        <v>5773</v>
      </c>
      <c r="M1412">
        <v>6</v>
      </c>
    </row>
    <row r="1413" spans="1:13" x14ac:dyDescent="0.25">
      <c r="A1413">
        <v>1412</v>
      </c>
      <c r="B1413" t="s">
        <v>1424</v>
      </c>
      <c r="C1413">
        <v>36</v>
      </c>
      <c r="D1413" t="s">
        <v>2948</v>
      </c>
      <c r="E1413" t="s">
        <v>2952</v>
      </c>
      <c r="F1413" t="s">
        <v>4290</v>
      </c>
      <c r="G1413" s="2">
        <v>45691</v>
      </c>
      <c r="H1413" s="2">
        <v>45697</v>
      </c>
      <c r="I1413" t="s">
        <v>5765</v>
      </c>
      <c r="J1413" t="s">
        <v>5768</v>
      </c>
      <c r="K1413">
        <v>367779.98</v>
      </c>
      <c r="L1413" t="s">
        <v>5774</v>
      </c>
      <c r="M1413">
        <v>6</v>
      </c>
    </row>
    <row r="1414" spans="1:13" x14ac:dyDescent="0.25">
      <c r="A1414">
        <v>1413</v>
      </c>
      <c r="B1414" t="s">
        <v>1425</v>
      </c>
      <c r="C1414">
        <v>23</v>
      </c>
      <c r="D1414" t="s">
        <v>2947</v>
      </c>
      <c r="E1414" t="s">
        <v>2955</v>
      </c>
      <c r="F1414" t="s">
        <v>4291</v>
      </c>
      <c r="G1414" s="2">
        <v>45729</v>
      </c>
      <c r="H1414" s="2">
        <v>45736</v>
      </c>
      <c r="I1414" t="s">
        <v>5767</v>
      </c>
      <c r="J1414" t="s">
        <v>5771</v>
      </c>
      <c r="K1414">
        <v>482330.64</v>
      </c>
      <c r="L1414" t="s">
        <v>5775</v>
      </c>
      <c r="M1414">
        <v>7</v>
      </c>
    </row>
    <row r="1415" spans="1:13" x14ac:dyDescent="0.25">
      <c r="A1415">
        <v>1414</v>
      </c>
      <c r="B1415" t="s">
        <v>1426</v>
      </c>
      <c r="C1415">
        <v>66</v>
      </c>
      <c r="D1415" t="s">
        <v>2948</v>
      </c>
      <c r="E1415" t="s">
        <v>2952</v>
      </c>
      <c r="F1415" t="s">
        <v>4292</v>
      </c>
      <c r="G1415" s="2">
        <v>45697</v>
      </c>
      <c r="H1415" s="2">
        <v>45710</v>
      </c>
      <c r="I1415" t="s">
        <v>5761</v>
      </c>
      <c r="J1415" t="s">
        <v>5769</v>
      </c>
      <c r="K1415">
        <v>151023.6</v>
      </c>
      <c r="L1415" t="s">
        <v>5773</v>
      </c>
      <c r="M1415">
        <v>13</v>
      </c>
    </row>
    <row r="1416" spans="1:13" x14ac:dyDescent="0.25">
      <c r="A1416">
        <v>1415</v>
      </c>
      <c r="B1416" t="s">
        <v>1427</v>
      </c>
      <c r="C1416">
        <v>70</v>
      </c>
      <c r="D1416" t="s">
        <v>2947</v>
      </c>
      <c r="E1416" t="s">
        <v>2949</v>
      </c>
      <c r="F1416" t="s">
        <v>3489</v>
      </c>
      <c r="G1416" s="2">
        <v>45696</v>
      </c>
      <c r="H1416" s="2">
        <v>45699</v>
      </c>
      <c r="I1416" t="s">
        <v>5760</v>
      </c>
      <c r="J1416" t="s">
        <v>5772</v>
      </c>
      <c r="K1416">
        <v>357328.11</v>
      </c>
      <c r="L1416" t="s">
        <v>5775</v>
      </c>
      <c r="M1416">
        <v>3</v>
      </c>
    </row>
    <row r="1417" spans="1:13" x14ac:dyDescent="0.25">
      <c r="A1417">
        <v>1416</v>
      </c>
      <c r="B1417" t="s">
        <v>1428</v>
      </c>
      <c r="C1417">
        <v>61</v>
      </c>
      <c r="D1417" t="s">
        <v>2947</v>
      </c>
      <c r="E1417" t="s">
        <v>2951</v>
      </c>
      <c r="F1417" t="s">
        <v>4293</v>
      </c>
      <c r="G1417" s="2">
        <v>45758</v>
      </c>
      <c r="H1417" s="2">
        <v>45759</v>
      </c>
      <c r="I1417" t="s">
        <v>5760</v>
      </c>
      <c r="J1417" t="s">
        <v>5770</v>
      </c>
      <c r="K1417">
        <v>11088.02</v>
      </c>
      <c r="L1417" t="s">
        <v>5775</v>
      </c>
      <c r="M1417">
        <v>1</v>
      </c>
    </row>
    <row r="1418" spans="1:13" x14ac:dyDescent="0.25">
      <c r="A1418">
        <v>1417</v>
      </c>
      <c r="B1418" t="s">
        <v>1429</v>
      </c>
      <c r="C1418">
        <v>49</v>
      </c>
      <c r="D1418" t="s">
        <v>2948</v>
      </c>
      <c r="E1418" t="s">
        <v>2952</v>
      </c>
      <c r="F1418" t="s">
        <v>4294</v>
      </c>
      <c r="G1418" s="2">
        <v>45721</v>
      </c>
      <c r="H1418" s="2">
        <v>45727</v>
      </c>
      <c r="I1418" t="s">
        <v>5762</v>
      </c>
      <c r="J1418" t="s">
        <v>5772</v>
      </c>
      <c r="K1418">
        <v>132837.28</v>
      </c>
      <c r="L1418" t="s">
        <v>5774</v>
      </c>
      <c r="M1418">
        <v>6</v>
      </c>
    </row>
    <row r="1419" spans="1:13" x14ac:dyDescent="0.25">
      <c r="A1419">
        <v>1418</v>
      </c>
      <c r="B1419" t="s">
        <v>1430</v>
      </c>
      <c r="C1419">
        <v>60</v>
      </c>
      <c r="D1419" t="s">
        <v>2948</v>
      </c>
      <c r="E1419" t="s">
        <v>2951</v>
      </c>
      <c r="F1419" t="s">
        <v>4295</v>
      </c>
      <c r="G1419" s="2">
        <v>45779</v>
      </c>
      <c r="H1419" s="2">
        <v>45793</v>
      </c>
      <c r="I1419" t="s">
        <v>5760</v>
      </c>
      <c r="J1419" t="s">
        <v>2949</v>
      </c>
      <c r="K1419">
        <v>248120.24</v>
      </c>
      <c r="L1419" t="s">
        <v>5774</v>
      </c>
      <c r="M1419">
        <v>14</v>
      </c>
    </row>
    <row r="1420" spans="1:13" x14ac:dyDescent="0.25">
      <c r="A1420">
        <v>1419</v>
      </c>
      <c r="B1420" t="s">
        <v>1431</v>
      </c>
      <c r="C1420">
        <v>84</v>
      </c>
      <c r="D1420" t="s">
        <v>2948</v>
      </c>
      <c r="E1420" t="s">
        <v>2949</v>
      </c>
      <c r="F1420" t="s">
        <v>4296</v>
      </c>
      <c r="G1420" s="2">
        <v>45888</v>
      </c>
      <c r="H1420" s="2">
        <v>45899</v>
      </c>
      <c r="I1420" t="s">
        <v>5760</v>
      </c>
      <c r="J1420" t="s">
        <v>5772</v>
      </c>
      <c r="K1420">
        <v>119316.38</v>
      </c>
      <c r="L1420" t="s">
        <v>5773</v>
      </c>
      <c r="M1420">
        <v>11</v>
      </c>
    </row>
    <row r="1421" spans="1:13" x14ac:dyDescent="0.25">
      <c r="A1421">
        <v>1420</v>
      </c>
      <c r="B1421" t="s">
        <v>1432</v>
      </c>
      <c r="C1421">
        <v>72</v>
      </c>
      <c r="D1421" t="s">
        <v>2948</v>
      </c>
      <c r="E1421" t="s">
        <v>2951</v>
      </c>
      <c r="F1421" t="s">
        <v>989</v>
      </c>
      <c r="G1421" s="2">
        <v>45647</v>
      </c>
      <c r="H1421" s="2">
        <v>45652</v>
      </c>
      <c r="I1421" t="s">
        <v>5767</v>
      </c>
      <c r="J1421" t="s">
        <v>5770</v>
      </c>
      <c r="K1421">
        <v>239011.39</v>
      </c>
      <c r="L1421" t="s">
        <v>5773</v>
      </c>
      <c r="M1421">
        <v>5</v>
      </c>
    </row>
    <row r="1422" spans="1:13" x14ac:dyDescent="0.25">
      <c r="A1422">
        <v>1421</v>
      </c>
      <c r="B1422" t="s">
        <v>1433</v>
      </c>
      <c r="C1422">
        <v>59</v>
      </c>
      <c r="D1422" t="s">
        <v>2948</v>
      </c>
      <c r="E1422" t="s">
        <v>2952</v>
      </c>
      <c r="F1422" t="s">
        <v>4297</v>
      </c>
      <c r="G1422" s="2">
        <v>45896</v>
      </c>
      <c r="H1422" s="2">
        <v>45911</v>
      </c>
      <c r="I1422" t="s">
        <v>5758</v>
      </c>
      <c r="J1422" t="s">
        <v>5772</v>
      </c>
      <c r="K1422">
        <v>135915.19</v>
      </c>
      <c r="L1422" t="s">
        <v>5775</v>
      </c>
      <c r="M1422">
        <v>15</v>
      </c>
    </row>
    <row r="1423" spans="1:13" x14ac:dyDescent="0.25">
      <c r="A1423">
        <v>1422</v>
      </c>
      <c r="B1423" t="s">
        <v>1434</v>
      </c>
      <c r="C1423">
        <v>35</v>
      </c>
      <c r="D1423" t="s">
        <v>2947</v>
      </c>
      <c r="E1423" t="s">
        <v>2954</v>
      </c>
      <c r="F1423" t="s">
        <v>4298</v>
      </c>
      <c r="G1423" s="2">
        <v>45746</v>
      </c>
      <c r="H1423" s="2">
        <v>45747</v>
      </c>
      <c r="I1423" t="s">
        <v>5758</v>
      </c>
      <c r="J1423" t="s">
        <v>5770</v>
      </c>
      <c r="K1423">
        <v>315179.21000000002</v>
      </c>
      <c r="L1423" t="s">
        <v>5773</v>
      </c>
      <c r="M1423">
        <v>1</v>
      </c>
    </row>
    <row r="1424" spans="1:13" x14ac:dyDescent="0.25">
      <c r="A1424">
        <v>1423</v>
      </c>
      <c r="B1424" t="s">
        <v>1435</v>
      </c>
      <c r="C1424">
        <v>40</v>
      </c>
      <c r="D1424" t="s">
        <v>2947</v>
      </c>
      <c r="E1424" t="s">
        <v>2955</v>
      </c>
      <c r="F1424" t="s">
        <v>4299</v>
      </c>
      <c r="G1424" s="2">
        <v>45867</v>
      </c>
      <c r="H1424" s="2">
        <v>45881</v>
      </c>
      <c r="I1424" t="s">
        <v>5764</v>
      </c>
      <c r="J1424" t="s">
        <v>2949</v>
      </c>
      <c r="K1424">
        <v>325806.99</v>
      </c>
      <c r="L1424" t="s">
        <v>5774</v>
      </c>
      <c r="M1424">
        <v>14</v>
      </c>
    </row>
    <row r="1425" spans="1:13" x14ac:dyDescent="0.25">
      <c r="A1425">
        <v>1424</v>
      </c>
      <c r="B1425" t="s">
        <v>1436</v>
      </c>
      <c r="C1425">
        <v>14</v>
      </c>
      <c r="D1425" t="s">
        <v>2947</v>
      </c>
      <c r="E1425" t="s">
        <v>2950</v>
      </c>
      <c r="F1425" t="s">
        <v>4300</v>
      </c>
      <c r="G1425" s="2">
        <v>45741</v>
      </c>
      <c r="H1425" s="2">
        <v>45745</v>
      </c>
      <c r="I1425" t="s">
        <v>5758</v>
      </c>
      <c r="J1425" t="s">
        <v>5770</v>
      </c>
      <c r="K1425">
        <v>312384.28000000003</v>
      </c>
      <c r="L1425" t="s">
        <v>5774</v>
      </c>
      <c r="M1425">
        <v>4</v>
      </c>
    </row>
    <row r="1426" spans="1:13" x14ac:dyDescent="0.25">
      <c r="A1426">
        <v>1425</v>
      </c>
      <c r="B1426" t="s">
        <v>1437</v>
      </c>
      <c r="C1426">
        <v>57</v>
      </c>
      <c r="D1426" t="s">
        <v>2948</v>
      </c>
      <c r="E1426" t="s">
        <v>2950</v>
      </c>
      <c r="F1426" t="s">
        <v>4301</v>
      </c>
      <c r="G1426" s="2">
        <v>45734</v>
      </c>
      <c r="H1426" s="2">
        <v>45745</v>
      </c>
      <c r="I1426" t="s">
        <v>5764</v>
      </c>
      <c r="J1426" t="s">
        <v>5768</v>
      </c>
      <c r="K1426">
        <v>15500.44</v>
      </c>
      <c r="L1426" t="s">
        <v>5773</v>
      </c>
      <c r="M1426">
        <v>11</v>
      </c>
    </row>
    <row r="1427" spans="1:13" x14ac:dyDescent="0.25">
      <c r="A1427">
        <v>1426</v>
      </c>
      <c r="B1427" t="s">
        <v>1438</v>
      </c>
      <c r="C1427">
        <v>87</v>
      </c>
      <c r="D1427" t="s">
        <v>2947</v>
      </c>
      <c r="E1427" t="s">
        <v>2954</v>
      </c>
      <c r="F1427" t="s">
        <v>4302</v>
      </c>
      <c r="G1427" s="2">
        <v>45675</v>
      </c>
      <c r="H1427" s="2">
        <v>45686</v>
      </c>
      <c r="I1427" t="s">
        <v>5765</v>
      </c>
      <c r="J1427" t="s">
        <v>5769</v>
      </c>
      <c r="K1427">
        <v>164768.82</v>
      </c>
      <c r="L1427" t="s">
        <v>5774</v>
      </c>
      <c r="M1427">
        <v>11</v>
      </c>
    </row>
    <row r="1428" spans="1:13" x14ac:dyDescent="0.25">
      <c r="A1428">
        <v>1427</v>
      </c>
      <c r="B1428" t="s">
        <v>1439</v>
      </c>
      <c r="C1428">
        <v>22</v>
      </c>
      <c r="D1428" t="s">
        <v>2947</v>
      </c>
      <c r="E1428" t="s">
        <v>2953</v>
      </c>
      <c r="F1428" t="s">
        <v>2071</v>
      </c>
      <c r="G1428" s="2">
        <v>45837</v>
      </c>
      <c r="H1428" s="2">
        <v>45843</v>
      </c>
      <c r="I1428" t="s">
        <v>5765</v>
      </c>
      <c r="J1428" t="s">
        <v>5771</v>
      </c>
      <c r="K1428">
        <v>246801.37</v>
      </c>
      <c r="L1428" t="s">
        <v>5773</v>
      </c>
      <c r="M1428">
        <v>6</v>
      </c>
    </row>
    <row r="1429" spans="1:13" x14ac:dyDescent="0.25">
      <c r="A1429">
        <v>1428</v>
      </c>
      <c r="B1429" t="s">
        <v>1440</v>
      </c>
      <c r="C1429">
        <v>47</v>
      </c>
      <c r="D1429" t="s">
        <v>2948</v>
      </c>
      <c r="E1429" t="s">
        <v>2953</v>
      </c>
      <c r="F1429" t="s">
        <v>4303</v>
      </c>
      <c r="G1429" s="2">
        <v>45824</v>
      </c>
      <c r="H1429" s="2">
        <v>45833</v>
      </c>
      <c r="I1429" t="s">
        <v>5762</v>
      </c>
      <c r="J1429" t="s">
        <v>2949</v>
      </c>
      <c r="K1429">
        <v>140073.94</v>
      </c>
      <c r="L1429" t="s">
        <v>5775</v>
      </c>
      <c r="M1429">
        <v>9</v>
      </c>
    </row>
    <row r="1430" spans="1:13" x14ac:dyDescent="0.25">
      <c r="A1430">
        <v>1429</v>
      </c>
      <c r="B1430" t="s">
        <v>1441</v>
      </c>
      <c r="C1430">
        <v>9</v>
      </c>
      <c r="D1430" t="s">
        <v>2948</v>
      </c>
      <c r="E1430" t="s">
        <v>2953</v>
      </c>
      <c r="F1430" t="s">
        <v>1954</v>
      </c>
      <c r="G1430" s="2">
        <v>45589</v>
      </c>
      <c r="H1430" s="2">
        <v>45593</v>
      </c>
      <c r="I1430" t="s">
        <v>5763</v>
      </c>
      <c r="J1430" t="s">
        <v>5772</v>
      </c>
      <c r="K1430">
        <v>249457.82</v>
      </c>
      <c r="L1430" t="s">
        <v>5775</v>
      </c>
      <c r="M1430">
        <v>4</v>
      </c>
    </row>
    <row r="1431" spans="1:13" x14ac:dyDescent="0.25">
      <c r="A1431">
        <v>1430</v>
      </c>
      <c r="B1431" t="s">
        <v>1442</v>
      </c>
      <c r="C1431">
        <v>59</v>
      </c>
      <c r="D1431" t="s">
        <v>2948</v>
      </c>
      <c r="E1431" t="s">
        <v>2951</v>
      </c>
      <c r="F1431" t="s">
        <v>4304</v>
      </c>
      <c r="G1431" s="2">
        <v>45660</v>
      </c>
      <c r="H1431" s="2">
        <v>45664</v>
      </c>
      <c r="I1431" t="s">
        <v>5758</v>
      </c>
      <c r="J1431" t="s">
        <v>2949</v>
      </c>
      <c r="K1431">
        <v>338639.04</v>
      </c>
      <c r="L1431" t="s">
        <v>5775</v>
      </c>
      <c r="M1431">
        <v>4</v>
      </c>
    </row>
    <row r="1432" spans="1:13" x14ac:dyDescent="0.25">
      <c r="A1432">
        <v>1431</v>
      </c>
      <c r="B1432" t="s">
        <v>1443</v>
      </c>
      <c r="C1432">
        <v>4</v>
      </c>
      <c r="D1432" t="s">
        <v>2947</v>
      </c>
      <c r="E1432" t="s">
        <v>2955</v>
      </c>
      <c r="F1432" t="s">
        <v>4305</v>
      </c>
      <c r="G1432" s="2">
        <v>45837</v>
      </c>
      <c r="H1432" s="2">
        <v>45848</v>
      </c>
      <c r="I1432" t="s">
        <v>5766</v>
      </c>
      <c r="J1432" t="s">
        <v>5772</v>
      </c>
      <c r="K1432">
        <v>289736.56</v>
      </c>
      <c r="L1432" t="s">
        <v>5774</v>
      </c>
      <c r="M1432">
        <v>11</v>
      </c>
    </row>
    <row r="1433" spans="1:13" x14ac:dyDescent="0.25">
      <c r="A1433">
        <v>1432</v>
      </c>
      <c r="B1433" t="s">
        <v>1444</v>
      </c>
      <c r="C1433">
        <v>61</v>
      </c>
      <c r="D1433" t="s">
        <v>2948</v>
      </c>
      <c r="E1433" t="s">
        <v>2954</v>
      </c>
      <c r="F1433" t="s">
        <v>4306</v>
      </c>
      <c r="G1433" s="2">
        <v>45858</v>
      </c>
      <c r="H1433" s="2">
        <v>45862</v>
      </c>
      <c r="I1433" t="s">
        <v>5767</v>
      </c>
      <c r="J1433" t="s">
        <v>5768</v>
      </c>
      <c r="K1433">
        <v>227670.24</v>
      </c>
      <c r="L1433" t="s">
        <v>5774</v>
      </c>
      <c r="M1433">
        <v>4</v>
      </c>
    </row>
    <row r="1434" spans="1:13" x14ac:dyDescent="0.25">
      <c r="A1434">
        <v>1433</v>
      </c>
      <c r="B1434" t="s">
        <v>1445</v>
      </c>
      <c r="C1434">
        <v>39</v>
      </c>
      <c r="D1434" t="s">
        <v>2947</v>
      </c>
      <c r="E1434" t="s">
        <v>2950</v>
      </c>
      <c r="F1434" t="s">
        <v>4307</v>
      </c>
      <c r="G1434" s="2">
        <v>45744</v>
      </c>
      <c r="H1434" s="2">
        <v>45752</v>
      </c>
      <c r="I1434" t="s">
        <v>5763</v>
      </c>
      <c r="J1434" t="s">
        <v>5770</v>
      </c>
      <c r="K1434">
        <v>415557.13</v>
      </c>
      <c r="L1434" t="s">
        <v>5774</v>
      </c>
      <c r="M1434">
        <v>8</v>
      </c>
    </row>
    <row r="1435" spans="1:13" x14ac:dyDescent="0.25">
      <c r="A1435">
        <v>1434</v>
      </c>
      <c r="B1435" t="s">
        <v>1446</v>
      </c>
      <c r="C1435">
        <v>48</v>
      </c>
      <c r="D1435" t="s">
        <v>2948</v>
      </c>
      <c r="E1435" t="s">
        <v>2950</v>
      </c>
      <c r="F1435" t="s">
        <v>4308</v>
      </c>
      <c r="G1435" s="2">
        <v>45851</v>
      </c>
      <c r="H1435" s="2">
        <v>45858</v>
      </c>
      <c r="I1435" t="s">
        <v>5766</v>
      </c>
      <c r="J1435" t="s">
        <v>5768</v>
      </c>
      <c r="K1435">
        <v>33508.94</v>
      </c>
      <c r="L1435" t="s">
        <v>5774</v>
      </c>
      <c r="M1435">
        <v>7</v>
      </c>
    </row>
    <row r="1436" spans="1:13" x14ac:dyDescent="0.25">
      <c r="A1436">
        <v>1435</v>
      </c>
      <c r="B1436" t="s">
        <v>1447</v>
      </c>
      <c r="C1436">
        <v>42</v>
      </c>
      <c r="D1436" t="s">
        <v>2947</v>
      </c>
      <c r="E1436" t="s">
        <v>2952</v>
      </c>
      <c r="F1436" t="s">
        <v>4309</v>
      </c>
      <c r="G1436" s="2">
        <v>45658</v>
      </c>
      <c r="H1436" s="2">
        <v>45666</v>
      </c>
      <c r="I1436" t="s">
        <v>5761</v>
      </c>
      <c r="J1436" t="s">
        <v>5769</v>
      </c>
      <c r="K1436">
        <v>197576.85</v>
      </c>
      <c r="L1436" t="s">
        <v>5773</v>
      </c>
      <c r="M1436">
        <v>8</v>
      </c>
    </row>
    <row r="1437" spans="1:13" x14ac:dyDescent="0.25">
      <c r="A1437">
        <v>1436</v>
      </c>
      <c r="B1437" t="s">
        <v>1448</v>
      </c>
      <c r="C1437">
        <v>75</v>
      </c>
      <c r="D1437" t="s">
        <v>2947</v>
      </c>
      <c r="E1437" t="s">
        <v>2949</v>
      </c>
      <c r="F1437" t="s">
        <v>4310</v>
      </c>
      <c r="G1437" s="2">
        <v>45751</v>
      </c>
      <c r="H1437" s="2">
        <v>45765</v>
      </c>
      <c r="I1437" t="s">
        <v>5765</v>
      </c>
      <c r="J1437" t="s">
        <v>5769</v>
      </c>
      <c r="K1437">
        <v>167772.44</v>
      </c>
      <c r="L1437" t="s">
        <v>5774</v>
      </c>
      <c r="M1437">
        <v>14</v>
      </c>
    </row>
    <row r="1438" spans="1:13" x14ac:dyDescent="0.25">
      <c r="A1438">
        <v>1437</v>
      </c>
      <c r="B1438" t="s">
        <v>1449</v>
      </c>
      <c r="C1438">
        <v>66</v>
      </c>
      <c r="D1438" t="s">
        <v>2948</v>
      </c>
      <c r="E1438" t="s">
        <v>2953</v>
      </c>
      <c r="F1438" t="s">
        <v>4311</v>
      </c>
      <c r="G1438" s="2">
        <v>45730</v>
      </c>
      <c r="H1438" s="2">
        <v>45731</v>
      </c>
      <c r="I1438" t="s">
        <v>5764</v>
      </c>
      <c r="J1438" t="s">
        <v>5768</v>
      </c>
      <c r="K1438">
        <v>185240.56</v>
      </c>
      <c r="L1438" t="s">
        <v>5773</v>
      </c>
      <c r="M1438">
        <v>1</v>
      </c>
    </row>
    <row r="1439" spans="1:13" x14ac:dyDescent="0.25">
      <c r="A1439">
        <v>1438</v>
      </c>
      <c r="B1439" t="s">
        <v>1450</v>
      </c>
      <c r="C1439">
        <v>31</v>
      </c>
      <c r="D1439" t="s">
        <v>2947</v>
      </c>
      <c r="E1439" t="s">
        <v>2953</v>
      </c>
      <c r="F1439" t="s">
        <v>4312</v>
      </c>
      <c r="G1439" s="2">
        <v>45601</v>
      </c>
      <c r="H1439" s="2">
        <v>45607</v>
      </c>
      <c r="I1439" t="s">
        <v>5765</v>
      </c>
      <c r="J1439" t="s">
        <v>5768</v>
      </c>
      <c r="K1439">
        <v>487960.49</v>
      </c>
      <c r="L1439" t="s">
        <v>5775</v>
      </c>
      <c r="M1439">
        <v>6</v>
      </c>
    </row>
    <row r="1440" spans="1:13" x14ac:dyDescent="0.25">
      <c r="A1440">
        <v>1439</v>
      </c>
      <c r="B1440" t="s">
        <v>1451</v>
      </c>
      <c r="C1440">
        <v>86</v>
      </c>
      <c r="D1440" t="s">
        <v>2948</v>
      </c>
      <c r="E1440" t="s">
        <v>2953</v>
      </c>
      <c r="F1440" t="s">
        <v>4313</v>
      </c>
      <c r="G1440" s="2">
        <v>45893</v>
      </c>
      <c r="H1440" s="2">
        <v>45903</v>
      </c>
      <c r="I1440" t="s">
        <v>5764</v>
      </c>
      <c r="J1440" t="s">
        <v>5772</v>
      </c>
      <c r="K1440">
        <v>376600.41</v>
      </c>
      <c r="L1440" t="s">
        <v>5774</v>
      </c>
      <c r="M1440">
        <v>10</v>
      </c>
    </row>
    <row r="1441" spans="1:13" x14ac:dyDescent="0.25">
      <c r="A1441">
        <v>1440</v>
      </c>
      <c r="B1441" t="s">
        <v>1452</v>
      </c>
      <c r="C1441">
        <v>69</v>
      </c>
      <c r="D1441" t="s">
        <v>2948</v>
      </c>
      <c r="E1441" t="s">
        <v>2949</v>
      </c>
      <c r="F1441" t="s">
        <v>4314</v>
      </c>
      <c r="G1441" s="2">
        <v>45750</v>
      </c>
      <c r="H1441" s="2">
        <v>45754</v>
      </c>
      <c r="I1441" t="s">
        <v>5760</v>
      </c>
      <c r="J1441" t="s">
        <v>5771</v>
      </c>
      <c r="K1441">
        <v>103870.29</v>
      </c>
      <c r="L1441" t="s">
        <v>5774</v>
      </c>
      <c r="M1441">
        <v>4</v>
      </c>
    </row>
    <row r="1442" spans="1:13" x14ac:dyDescent="0.25">
      <c r="A1442">
        <v>1441</v>
      </c>
      <c r="B1442" t="s">
        <v>1453</v>
      </c>
      <c r="C1442">
        <v>30</v>
      </c>
      <c r="D1442" t="s">
        <v>2948</v>
      </c>
      <c r="E1442" t="s">
        <v>2951</v>
      </c>
      <c r="F1442" t="s">
        <v>4315</v>
      </c>
      <c r="G1442" s="2">
        <v>45817</v>
      </c>
      <c r="H1442" s="2">
        <v>45824</v>
      </c>
      <c r="I1442" t="s">
        <v>5763</v>
      </c>
      <c r="J1442" t="s">
        <v>5770</v>
      </c>
      <c r="K1442">
        <v>95517.53</v>
      </c>
      <c r="L1442" t="s">
        <v>5773</v>
      </c>
      <c r="M1442">
        <v>7</v>
      </c>
    </row>
    <row r="1443" spans="1:13" x14ac:dyDescent="0.25">
      <c r="A1443">
        <v>1442</v>
      </c>
      <c r="B1443" t="s">
        <v>1454</v>
      </c>
      <c r="C1443">
        <v>42</v>
      </c>
      <c r="D1443" t="s">
        <v>2948</v>
      </c>
      <c r="E1443" t="s">
        <v>2949</v>
      </c>
      <c r="F1443" t="s">
        <v>4316</v>
      </c>
      <c r="G1443" s="2">
        <v>45714</v>
      </c>
      <c r="H1443" s="2">
        <v>45716</v>
      </c>
      <c r="I1443" t="s">
        <v>5760</v>
      </c>
      <c r="J1443" t="s">
        <v>5768</v>
      </c>
      <c r="K1443">
        <v>98902.399999999994</v>
      </c>
      <c r="L1443" t="s">
        <v>5774</v>
      </c>
      <c r="M1443">
        <v>2</v>
      </c>
    </row>
    <row r="1444" spans="1:13" x14ac:dyDescent="0.25">
      <c r="A1444">
        <v>1443</v>
      </c>
      <c r="B1444" t="s">
        <v>1455</v>
      </c>
      <c r="C1444">
        <v>89</v>
      </c>
      <c r="D1444" t="s">
        <v>2947</v>
      </c>
      <c r="E1444" t="s">
        <v>2954</v>
      </c>
      <c r="F1444" t="s">
        <v>4317</v>
      </c>
      <c r="G1444" s="2">
        <v>45733</v>
      </c>
      <c r="H1444" s="2">
        <v>45744</v>
      </c>
      <c r="I1444" t="s">
        <v>5767</v>
      </c>
      <c r="J1444" t="s">
        <v>5771</v>
      </c>
      <c r="K1444">
        <v>208364.81</v>
      </c>
      <c r="L1444" t="s">
        <v>5774</v>
      </c>
      <c r="M1444">
        <v>11</v>
      </c>
    </row>
    <row r="1445" spans="1:13" x14ac:dyDescent="0.25">
      <c r="A1445">
        <v>1444</v>
      </c>
      <c r="B1445" t="s">
        <v>1456</v>
      </c>
      <c r="C1445">
        <v>54</v>
      </c>
      <c r="D1445" t="s">
        <v>2948</v>
      </c>
      <c r="E1445" t="s">
        <v>2951</v>
      </c>
      <c r="F1445" t="s">
        <v>4318</v>
      </c>
      <c r="G1445" s="2">
        <v>45880</v>
      </c>
      <c r="H1445" s="2">
        <v>45884</v>
      </c>
      <c r="I1445" t="s">
        <v>5758</v>
      </c>
      <c r="J1445" t="s">
        <v>5771</v>
      </c>
      <c r="K1445">
        <v>484759.62</v>
      </c>
      <c r="L1445" t="s">
        <v>5773</v>
      </c>
      <c r="M1445">
        <v>4</v>
      </c>
    </row>
    <row r="1446" spans="1:13" x14ac:dyDescent="0.25">
      <c r="A1446">
        <v>1445</v>
      </c>
      <c r="B1446" t="s">
        <v>1457</v>
      </c>
      <c r="C1446">
        <v>47</v>
      </c>
      <c r="D1446" t="s">
        <v>2947</v>
      </c>
      <c r="E1446" t="s">
        <v>2952</v>
      </c>
      <c r="F1446" t="s">
        <v>4319</v>
      </c>
      <c r="G1446" s="2">
        <v>45706</v>
      </c>
      <c r="H1446" s="2">
        <v>45712</v>
      </c>
      <c r="I1446" t="s">
        <v>5763</v>
      </c>
      <c r="J1446" t="s">
        <v>5772</v>
      </c>
      <c r="K1446">
        <v>322445.5</v>
      </c>
      <c r="L1446" t="s">
        <v>5774</v>
      </c>
      <c r="M1446">
        <v>6</v>
      </c>
    </row>
    <row r="1447" spans="1:13" x14ac:dyDescent="0.25">
      <c r="A1447">
        <v>1446</v>
      </c>
      <c r="B1447" t="s">
        <v>1458</v>
      </c>
      <c r="C1447">
        <v>65</v>
      </c>
      <c r="D1447" t="s">
        <v>2947</v>
      </c>
      <c r="E1447" t="s">
        <v>2952</v>
      </c>
      <c r="F1447" t="s">
        <v>4320</v>
      </c>
      <c r="G1447" s="2">
        <v>45611</v>
      </c>
      <c r="H1447" s="2">
        <v>45616</v>
      </c>
      <c r="I1447" t="s">
        <v>5759</v>
      </c>
      <c r="J1447" t="s">
        <v>5768</v>
      </c>
      <c r="K1447">
        <v>182445.62</v>
      </c>
      <c r="L1447" t="s">
        <v>5775</v>
      </c>
      <c r="M1447">
        <v>5</v>
      </c>
    </row>
    <row r="1448" spans="1:13" x14ac:dyDescent="0.25">
      <c r="A1448">
        <v>1447</v>
      </c>
      <c r="B1448" t="s">
        <v>1459</v>
      </c>
      <c r="C1448">
        <v>21</v>
      </c>
      <c r="D1448" t="s">
        <v>2948</v>
      </c>
      <c r="E1448" t="s">
        <v>2949</v>
      </c>
      <c r="F1448" t="s">
        <v>4321</v>
      </c>
      <c r="G1448" s="2">
        <v>45772</v>
      </c>
      <c r="H1448" s="2">
        <v>45783</v>
      </c>
      <c r="I1448" t="s">
        <v>5764</v>
      </c>
      <c r="J1448" t="s">
        <v>5772</v>
      </c>
      <c r="K1448">
        <v>119530.37</v>
      </c>
      <c r="L1448" t="s">
        <v>5774</v>
      </c>
      <c r="M1448">
        <v>11</v>
      </c>
    </row>
    <row r="1449" spans="1:13" x14ac:dyDescent="0.25">
      <c r="A1449">
        <v>1448</v>
      </c>
      <c r="B1449" t="s">
        <v>1460</v>
      </c>
      <c r="C1449">
        <v>6</v>
      </c>
      <c r="D1449" t="s">
        <v>2948</v>
      </c>
      <c r="E1449" t="s">
        <v>2953</v>
      </c>
      <c r="F1449" t="s">
        <v>4322</v>
      </c>
      <c r="G1449" s="2">
        <v>45748</v>
      </c>
      <c r="H1449" s="2">
        <v>45754</v>
      </c>
      <c r="I1449" t="s">
        <v>5758</v>
      </c>
      <c r="J1449" t="s">
        <v>2949</v>
      </c>
      <c r="K1449">
        <v>59961.07</v>
      </c>
      <c r="L1449" t="s">
        <v>5773</v>
      </c>
      <c r="M1449">
        <v>6</v>
      </c>
    </row>
    <row r="1450" spans="1:13" x14ac:dyDescent="0.25">
      <c r="A1450">
        <v>1449</v>
      </c>
      <c r="B1450" t="s">
        <v>1461</v>
      </c>
      <c r="C1450">
        <v>9</v>
      </c>
      <c r="D1450" t="s">
        <v>2947</v>
      </c>
      <c r="E1450" t="s">
        <v>2950</v>
      </c>
      <c r="F1450" t="s">
        <v>4323</v>
      </c>
      <c r="G1450" s="2">
        <v>45582</v>
      </c>
      <c r="H1450" s="2">
        <v>45583</v>
      </c>
      <c r="I1450" t="s">
        <v>5767</v>
      </c>
      <c r="J1450" t="s">
        <v>5771</v>
      </c>
      <c r="K1450">
        <v>125234.82</v>
      </c>
      <c r="L1450" t="s">
        <v>5775</v>
      </c>
      <c r="M1450">
        <v>1</v>
      </c>
    </row>
    <row r="1451" spans="1:13" x14ac:dyDescent="0.25">
      <c r="A1451">
        <v>1450</v>
      </c>
      <c r="B1451" t="s">
        <v>1462</v>
      </c>
      <c r="C1451">
        <v>30</v>
      </c>
      <c r="D1451" t="s">
        <v>2948</v>
      </c>
      <c r="E1451" t="s">
        <v>2953</v>
      </c>
      <c r="F1451" t="s">
        <v>4324</v>
      </c>
      <c r="G1451" s="2">
        <v>45714</v>
      </c>
      <c r="H1451" s="2">
        <v>45722</v>
      </c>
      <c r="I1451" t="s">
        <v>5762</v>
      </c>
      <c r="J1451" t="s">
        <v>5772</v>
      </c>
      <c r="K1451">
        <v>428979.71</v>
      </c>
      <c r="L1451" t="s">
        <v>5775</v>
      </c>
      <c r="M1451">
        <v>8</v>
      </c>
    </row>
    <row r="1452" spans="1:13" x14ac:dyDescent="0.25">
      <c r="A1452">
        <v>1451</v>
      </c>
      <c r="B1452" t="s">
        <v>1463</v>
      </c>
      <c r="C1452">
        <v>15</v>
      </c>
      <c r="D1452" t="s">
        <v>2948</v>
      </c>
      <c r="E1452" t="s">
        <v>2950</v>
      </c>
      <c r="F1452" t="s">
        <v>4325</v>
      </c>
      <c r="G1452" s="2">
        <v>45885</v>
      </c>
      <c r="H1452" s="2">
        <v>45896</v>
      </c>
      <c r="I1452" t="s">
        <v>5761</v>
      </c>
      <c r="J1452" t="s">
        <v>5772</v>
      </c>
      <c r="K1452">
        <v>84024.14</v>
      </c>
      <c r="L1452" t="s">
        <v>5773</v>
      </c>
      <c r="M1452">
        <v>11</v>
      </c>
    </row>
    <row r="1453" spans="1:13" x14ac:dyDescent="0.25">
      <c r="A1453">
        <v>1452</v>
      </c>
      <c r="B1453" t="s">
        <v>1464</v>
      </c>
      <c r="C1453">
        <v>23</v>
      </c>
      <c r="D1453" t="s">
        <v>2948</v>
      </c>
      <c r="E1453" t="s">
        <v>2949</v>
      </c>
      <c r="F1453" t="s">
        <v>4326</v>
      </c>
      <c r="G1453" s="2">
        <v>45642</v>
      </c>
      <c r="H1453" s="2">
        <v>45644</v>
      </c>
      <c r="I1453" t="s">
        <v>5764</v>
      </c>
      <c r="J1453" t="s">
        <v>5769</v>
      </c>
      <c r="K1453">
        <v>238210.61</v>
      </c>
      <c r="L1453" t="s">
        <v>5774</v>
      </c>
      <c r="M1453">
        <v>2</v>
      </c>
    </row>
    <row r="1454" spans="1:13" x14ac:dyDescent="0.25">
      <c r="A1454">
        <v>1453</v>
      </c>
      <c r="B1454" t="s">
        <v>1465</v>
      </c>
      <c r="C1454">
        <v>77</v>
      </c>
      <c r="D1454" t="s">
        <v>2947</v>
      </c>
      <c r="E1454" t="s">
        <v>2951</v>
      </c>
      <c r="F1454" t="s">
        <v>4327</v>
      </c>
      <c r="G1454" s="2">
        <v>45756</v>
      </c>
      <c r="H1454" s="2">
        <v>45761</v>
      </c>
      <c r="I1454" t="s">
        <v>5767</v>
      </c>
      <c r="J1454" t="s">
        <v>5771</v>
      </c>
      <c r="K1454">
        <v>120566.14</v>
      </c>
      <c r="L1454" t="s">
        <v>5773</v>
      </c>
      <c r="M1454">
        <v>5</v>
      </c>
    </row>
    <row r="1455" spans="1:13" x14ac:dyDescent="0.25">
      <c r="A1455">
        <v>1454</v>
      </c>
      <c r="B1455" t="s">
        <v>1466</v>
      </c>
      <c r="C1455">
        <v>8</v>
      </c>
      <c r="D1455" t="s">
        <v>2948</v>
      </c>
      <c r="E1455" t="s">
        <v>2949</v>
      </c>
      <c r="F1455" t="s">
        <v>4328</v>
      </c>
      <c r="G1455" s="2">
        <v>45621</v>
      </c>
      <c r="H1455" s="2">
        <v>45624</v>
      </c>
      <c r="I1455" t="s">
        <v>5760</v>
      </c>
      <c r="J1455" t="s">
        <v>5769</v>
      </c>
      <c r="K1455">
        <v>456971.67</v>
      </c>
      <c r="L1455" t="s">
        <v>5775</v>
      </c>
      <c r="M1455">
        <v>3</v>
      </c>
    </row>
    <row r="1456" spans="1:13" x14ac:dyDescent="0.25">
      <c r="A1456">
        <v>1455</v>
      </c>
      <c r="B1456" t="s">
        <v>1467</v>
      </c>
      <c r="C1456">
        <v>10</v>
      </c>
      <c r="D1456" t="s">
        <v>2948</v>
      </c>
      <c r="E1456" t="s">
        <v>2950</v>
      </c>
      <c r="F1456" t="s">
        <v>4329</v>
      </c>
      <c r="G1456" s="2">
        <v>45632</v>
      </c>
      <c r="H1456" s="2">
        <v>45637</v>
      </c>
      <c r="I1456" t="s">
        <v>5764</v>
      </c>
      <c r="J1456" t="s">
        <v>2949</v>
      </c>
      <c r="K1456">
        <v>422803.07</v>
      </c>
      <c r="L1456" t="s">
        <v>5773</v>
      </c>
      <c r="M1456">
        <v>5</v>
      </c>
    </row>
    <row r="1457" spans="1:13" x14ac:dyDescent="0.25">
      <c r="A1457">
        <v>1456</v>
      </c>
      <c r="B1457" t="s">
        <v>1468</v>
      </c>
      <c r="C1457">
        <v>78</v>
      </c>
      <c r="D1457" t="s">
        <v>2948</v>
      </c>
      <c r="E1457" t="s">
        <v>2953</v>
      </c>
      <c r="F1457" t="s">
        <v>4330</v>
      </c>
      <c r="G1457" s="2">
        <v>45890</v>
      </c>
      <c r="H1457" s="2">
        <v>45891</v>
      </c>
      <c r="I1457" t="s">
        <v>5759</v>
      </c>
      <c r="J1457" t="s">
        <v>2949</v>
      </c>
      <c r="K1457">
        <v>181538.8</v>
      </c>
      <c r="L1457" t="s">
        <v>5774</v>
      </c>
      <c r="M1457">
        <v>1</v>
      </c>
    </row>
    <row r="1458" spans="1:13" x14ac:dyDescent="0.25">
      <c r="A1458">
        <v>1457</v>
      </c>
      <c r="B1458" t="s">
        <v>1469</v>
      </c>
      <c r="C1458">
        <v>83</v>
      </c>
      <c r="D1458" t="s">
        <v>2947</v>
      </c>
      <c r="E1458" t="s">
        <v>2951</v>
      </c>
      <c r="F1458" t="s">
        <v>4331</v>
      </c>
      <c r="G1458" s="2">
        <v>45604</v>
      </c>
      <c r="H1458" s="2">
        <v>45615</v>
      </c>
      <c r="I1458" t="s">
        <v>5759</v>
      </c>
      <c r="J1458" t="s">
        <v>5770</v>
      </c>
      <c r="K1458">
        <v>10215.74</v>
      </c>
      <c r="L1458" t="s">
        <v>5774</v>
      </c>
      <c r="M1458">
        <v>11</v>
      </c>
    </row>
    <row r="1459" spans="1:13" x14ac:dyDescent="0.25">
      <c r="A1459">
        <v>1458</v>
      </c>
      <c r="B1459" t="s">
        <v>1470</v>
      </c>
      <c r="C1459">
        <v>43</v>
      </c>
      <c r="D1459" t="s">
        <v>2947</v>
      </c>
      <c r="E1459" t="s">
        <v>2950</v>
      </c>
      <c r="F1459" t="s">
        <v>4332</v>
      </c>
      <c r="G1459" s="2">
        <v>45806</v>
      </c>
      <c r="H1459" s="2">
        <v>45808</v>
      </c>
      <c r="I1459" t="s">
        <v>5765</v>
      </c>
      <c r="J1459" t="s">
        <v>5769</v>
      </c>
      <c r="K1459">
        <v>6951.79</v>
      </c>
      <c r="L1459" t="s">
        <v>5773</v>
      </c>
      <c r="M1459">
        <v>2</v>
      </c>
    </row>
    <row r="1460" spans="1:13" x14ac:dyDescent="0.25">
      <c r="A1460">
        <v>1459</v>
      </c>
      <c r="B1460" t="s">
        <v>1471</v>
      </c>
      <c r="C1460">
        <v>36</v>
      </c>
      <c r="D1460" t="s">
        <v>2947</v>
      </c>
      <c r="E1460" t="s">
        <v>2950</v>
      </c>
      <c r="F1460" t="s">
        <v>2322</v>
      </c>
      <c r="G1460" s="2">
        <v>45877</v>
      </c>
      <c r="H1460" s="2">
        <v>45889</v>
      </c>
      <c r="I1460" t="s">
        <v>5761</v>
      </c>
      <c r="J1460" t="s">
        <v>5771</v>
      </c>
      <c r="K1460">
        <v>258899.18</v>
      </c>
      <c r="L1460" t="s">
        <v>5773</v>
      </c>
      <c r="M1460">
        <v>12</v>
      </c>
    </row>
    <row r="1461" spans="1:13" x14ac:dyDescent="0.25">
      <c r="A1461">
        <v>1460</v>
      </c>
      <c r="B1461" t="s">
        <v>1472</v>
      </c>
      <c r="C1461">
        <v>7</v>
      </c>
      <c r="D1461" t="s">
        <v>2947</v>
      </c>
      <c r="E1461" t="s">
        <v>2954</v>
      </c>
      <c r="F1461" t="s">
        <v>4333</v>
      </c>
      <c r="G1461" s="2">
        <v>45687</v>
      </c>
      <c r="H1461" s="2">
        <v>45697</v>
      </c>
      <c r="I1461" t="s">
        <v>5761</v>
      </c>
      <c r="J1461" t="s">
        <v>5769</v>
      </c>
      <c r="K1461">
        <v>383942.47</v>
      </c>
      <c r="L1461" t="s">
        <v>5774</v>
      </c>
      <c r="M1461">
        <v>10</v>
      </c>
    </row>
    <row r="1462" spans="1:13" x14ac:dyDescent="0.25">
      <c r="A1462">
        <v>1461</v>
      </c>
      <c r="B1462" t="s">
        <v>1473</v>
      </c>
      <c r="C1462">
        <v>34</v>
      </c>
      <c r="D1462" t="s">
        <v>2947</v>
      </c>
      <c r="E1462" t="s">
        <v>2950</v>
      </c>
      <c r="F1462" t="s">
        <v>4334</v>
      </c>
      <c r="G1462" s="2">
        <v>45662</v>
      </c>
      <c r="H1462" s="2">
        <v>45669</v>
      </c>
      <c r="I1462" t="s">
        <v>5758</v>
      </c>
      <c r="J1462" t="s">
        <v>5770</v>
      </c>
      <c r="K1462">
        <v>112917.37</v>
      </c>
      <c r="L1462" t="s">
        <v>5775</v>
      </c>
      <c r="M1462">
        <v>7</v>
      </c>
    </row>
    <row r="1463" spans="1:13" x14ac:dyDescent="0.25">
      <c r="A1463">
        <v>1462</v>
      </c>
      <c r="B1463" t="s">
        <v>1474</v>
      </c>
      <c r="C1463">
        <v>39</v>
      </c>
      <c r="D1463" t="s">
        <v>2948</v>
      </c>
      <c r="E1463" t="s">
        <v>2954</v>
      </c>
      <c r="F1463" t="s">
        <v>4335</v>
      </c>
      <c r="G1463" s="2">
        <v>45802</v>
      </c>
      <c r="H1463" s="2">
        <v>45808</v>
      </c>
      <c r="I1463" t="s">
        <v>5761</v>
      </c>
      <c r="J1463" t="s">
        <v>5772</v>
      </c>
      <c r="K1463">
        <v>437377.61</v>
      </c>
      <c r="L1463" t="s">
        <v>5774</v>
      </c>
      <c r="M1463">
        <v>6</v>
      </c>
    </row>
    <row r="1464" spans="1:13" x14ac:dyDescent="0.25">
      <c r="A1464">
        <v>1463</v>
      </c>
      <c r="B1464" t="s">
        <v>1475</v>
      </c>
      <c r="C1464">
        <v>48</v>
      </c>
      <c r="D1464" t="s">
        <v>2948</v>
      </c>
      <c r="E1464" t="s">
        <v>2949</v>
      </c>
      <c r="F1464" t="s">
        <v>4336</v>
      </c>
      <c r="G1464" s="2">
        <v>45875</v>
      </c>
      <c r="H1464" s="2">
        <v>45877</v>
      </c>
      <c r="I1464" t="s">
        <v>5759</v>
      </c>
      <c r="J1464" t="s">
        <v>5770</v>
      </c>
      <c r="K1464">
        <v>413662.85</v>
      </c>
      <c r="L1464" t="s">
        <v>5775</v>
      </c>
      <c r="M1464">
        <v>2</v>
      </c>
    </row>
    <row r="1465" spans="1:13" x14ac:dyDescent="0.25">
      <c r="A1465">
        <v>1464</v>
      </c>
      <c r="B1465" t="s">
        <v>1476</v>
      </c>
      <c r="C1465">
        <v>38</v>
      </c>
      <c r="D1465" t="s">
        <v>2948</v>
      </c>
      <c r="E1465" t="s">
        <v>2954</v>
      </c>
      <c r="F1465" t="s">
        <v>4337</v>
      </c>
      <c r="G1465" s="2">
        <v>45718</v>
      </c>
      <c r="H1465" s="2">
        <v>45727</v>
      </c>
      <c r="I1465" t="s">
        <v>5762</v>
      </c>
      <c r="J1465" t="s">
        <v>5772</v>
      </c>
      <c r="K1465">
        <v>479032.77</v>
      </c>
      <c r="L1465" t="s">
        <v>5775</v>
      </c>
      <c r="M1465">
        <v>9</v>
      </c>
    </row>
    <row r="1466" spans="1:13" x14ac:dyDescent="0.25">
      <c r="A1466">
        <v>1465</v>
      </c>
      <c r="B1466" t="s">
        <v>1477</v>
      </c>
      <c r="C1466">
        <v>33</v>
      </c>
      <c r="D1466" t="s">
        <v>2948</v>
      </c>
      <c r="E1466" t="s">
        <v>2953</v>
      </c>
      <c r="F1466" t="s">
        <v>4338</v>
      </c>
      <c r="G1466" s="2">
        <v>45748</v>
      </c>
      <c r="H1466" s="2">
        <v>45753</v>
      </c>
      <c r="I1466" t="s">
        <v>5758</v>
      </c>
      <c r="J1466" t="s">
        <v>5771</v>
      </c>
      <c r="K1466">
        <v>430938.51</v>
      </c>
      <c r="L1466" t="s">
        <v>5774</v>
      </c>
      <c r="M1466">
        <v>5</v>
      </c>
    </row>
    <row r="1467" spans="1:13" x14ac:dyDescent="0.25">
      <c r="A1467">
        <v>1466</v>
      </c>
      <c r="B1467" t="s">
        <v>1478</v>
      </c>
      <c r="C1467">
        <v>8</v>
      </c>
      <c r="D1467" t="s">
        <v>2947</v>
      </c>
      <c r="E1467" t="s">
        <v>2950</v>
      </c>
      <c r="F1467" t="s">
        <v>4339</v>
      </c>
      <c r="G1467" s="2">
        <v>45822</v>
      </c>
      <c r="H1467" s="2">
        <v>45835</v>
      </c>
      <c r="I1467" t="s">
        <v>5763</v>
      </c>
      <c r="J1467" t="s">
        <v>5771</v>
      </c>
      <c r="K1467">
        <v>317294.48</v>
      </c>
      <c r="L1467" t="s">
        <v>5774</v>
      </c>
      <c r="M1467">
        <v>13</v>
      </c>
    </row>
    <row r="1468" spans="1:13" x14ac:dyDescent="0.25">
      <c r="A1468">
        <v>1467</v>
      </c>
      <c r="B1468" t="s">
        <v>1479</v>
      </c>
      <c r="C1468">
        <v>62</v>
      </c>
      <c r="D1468" t="s">
        <v>2947</v>
      </c>
      <c r="E1468" t="s">
        <v>2955</v>
      </c>
      <c r="F1468" t="s">
        <v>4340</v>
      </c>
      <c r="G1468" s="2">
        <v>45614</v>
      </c>
      <c r="H1468" s="2">
        <v>45616</v>
      </c>
      <c r="I1468" t="s">
        <v>5764</v>
      </c>
      <c r="J1468" t="s">
        <v>5770</v>
      </c>
      <c r="K1468">
        <v>428635.22</v>
      </c>
      <c r="L1468" t="s">
        <v>5773</v>
      </c>
      <c r="M1468">
        <v>2</v>
      </c>
    </row>
    <row r="1469" spans="1:13" x14ac:dyDescent="0.25">
      <c r="A1469">
        <v>1468</v>
      </c>
      <c r="B1469" t="s">
        <v>1480</v>
      </c>
      <c r="C1469">
        <v>63</v>
      </c>
      <c r="D1469" t="s">
        <v>2947</v>
      </c>
      <c r="E1469" t="s">
        <v>2952</v>
      </c>
      <c r="F1469" t="s">
        <v>4341</v>
      </c>
      <c r="G1469" s="2">
        <v>45756</v>
      </c>
      <c r="H1469" s="2">
        <v>45771</v>
      </c>
      <c r="I1469" t="s">
        <v>5765</v>
      </c>
      <c r="J1469" t="s">
        <v>5771</v>
      </c>
      <c r="K1469">
        <v>317143.93</v>
      </c>
      <c r="L1469" t="s">
        <v>5774</v>
      </c>
      <c r="M1469">
        <v>15</v>
      </c>
    </row>
    <row r="1470" spans="1:13" x14ac:dyDescent="0.25">
      <c r="A1470">
        <v>1469</v>
      </c>
      <c r="B1470" t="s">
        <v>1481</v>
      </c>
      <c r="C1470">
        <v>39</v>
      </c>
      <c r="D1470" t="s">
        <v>2948</v>
      </c>
      <c r="E1470" t="s">
        <v>2950</v>
      </c>
      <c r="F1470" t="s">
        <v>4342</v>
      </c>
      <c r="G1470" s="2">
        <v>45589</v>
      </c>
      <c r="H1470" s="2">
        <v>45601</v>
      </c>
      <c r="I1470" t="s">
        <v>5764</v>
      </c>
      <c r="J1470" t="s">
        <v>5772</v>
      </c>
      <c r="K1470">
        <v>413024.32</v>
      </c>
      <c r="L1470" t="s">
        <v>5773</v>
      </c>
      <c r="M1470">
        <v>12</v>
      </c>
    </row>
    <row r="1471" spans="1:13" x14ac:dyDescent="0.25">
      <c r="A1471">
        <v>1470</v>
      </c>
      <c r="B1471" t="s">
        <v>1482</v>
      </c>
      <c r="C1471">
        <v>44</v>
      </c>
      <c r="D1471" t="s">
        <v>2948</v>
      </c>
      <c r="E1471" t="s">
        <v>2955</v>
      </c>
      <c r="F1471" t="s">
        <v>4343</v>
      </c>
      <c r="G1471" s="2">
        <v>45690</v>
      </c>
      <c r="H1471" s="2">
        <v>45697</v>
      </c>
      <c r="I1471" t="s">
        <v>5765</v>
      </c>
      <c r="J1471" t="s">
        <v>2949</v>
      </c>
      <c r="K1471">
        <v>170385.73</v>
      </c>
      <c r="L1471" t="s">
        <v>5773</v>
      </c>
      <c r="M1471">
        <v>7</v>
      </c>
    </row>
    <row r="1472" spans="1:13" x14ac:dyDescent="0.25">
      <c r="A1472">
        <v>1471</v>
      </c>
      <c r="B1472" t="s">
        <v>1483</v>
      </c>
      <c r="C1472">
        <v>10</v>
      </c>
      <c r="D1472" t="s">
        <v>2947</v>
      </c>
      <c r="E1472" t="s">
        <v>2951</v>
      </c>
      <c r="F1472" t="s">
        <v>4344</v>
      </c>
      <c r="G1472" s="2">
        <v>45653</v>
      </c>
      <c r="H1472" s="2">
        <v>45668</v>
      </c>
      <c r="I1472" t="s">
        <v>5759</v>
      </c>
      <c r="J1472" t="s">
        <v>5768</v>
      </c>
      <c r="K1472">
        <v>130782.28</v>
      </c>
      <c r="L1472" t="s">
        <v>5775</v>
      </c>
      <c r="M1472">
        <v>15</v>
      </c>
    </row>
    <row r="1473" spans="1:13" x14ac:dyDescent="0.25">
      <c r="A1473">
        <v>1472</v>
      </c>
      <c r="B1473" t="s">
        <v>1484</v>
      </c>
      <c r="C1473">
        <v>20</v>
      </c>
      <c r="D1473" t="s">
        <v>2947</v>
      </c>
      <c r="E1473" t="s">
        <v>2951</v>
      </c>
      <c r="F1473" t="s">
        <v>4345</v>
      </c>
      <c r="G1473" s="2">
        <v>45688</v>
      </c>
      <c r="H1473" s="2">
        <v>45700</v>
      </c>
      <c r="I1473" t="s">
        <v>5762</v>
      </c>
      <c r="J1473" t="s">
        <v>2949</v>
      </c>
      <c r="K1473">
        <v>216236.84</v>
      </c>
      <c r="L1473" t="s">
        <v>5775</v>
      </c>
      <c r="M1473">
        <v>12</v>
      </c>
    </row>
    <row r="1474" spans="1:13" x14ac:dyDescent="0.25">
      <c r="A1474">
        <v>1473</v>
      </c>
      <c r="B1474" t="s">
        <v>1485</v>
      </c>
      <c r="C1474">
        <v>9</v>
      </c>
      <c r="D1474" t="s">
        <v>2948</v>
      </c>
      <c r="E1474" t="s">
        <v>2954</v>
      </c>
      <c r="F1474" t="s">
        <v>3785</v>
      </c>
      <c r="G1474" s="2">
        <v>45645</v>
      </c>
      <c r="H1474" s="2">
        <v>45652</v>
      </c>
      <c r="I1474" t="s">
        <v>5760</v>
      </c>
      <c r="J1474" t="s">
        <v>5769</v>
      </c>
      <c r="K1474">
        <v>21042.66</v>
      </c>
      <c r="L1474" t="s">
        <v>5775</v>
      </c>
      <c r="M1474">
        <v>7</v>
      </c>
    </row>
    <row r="1475" spans="1:13" x14ac:dyDescent="0.25">
      <c r="A1475">
        <v>1474</v>
      </c>
      <c r="B1475" t="s">
        <v>1486</v>
      </c>
      <c r="C1475">
        <v>58</v>
      </c>
      <c r="D1475" t="s">
        <v>2947</v>
      </c>
      <c r="E1475" t="s">
        <v>2949</v>
      </c>
      <c r="F1475" t="s">
        <v>4346</v>
      </c>
      <c r="G1475" s="2">
        <v>45638</v>
      </c>
      <c r="H1475" s="2">
        <v>45651</v>
      </c>
      <c r="I1475" t="s">
        <v>5765</v>
      </c>
      <c r="J1475" t="s">
        <v>5768</v>
      </c>
      <c r="K1475">
        <v>79895.78</v>
      </c>
      <c r="L1475" t="s">
        <v>5773</v>
      </c>
      <c r="M1475">
        <v>13</v>
      </c>
    </row>
    <row r="1476" spans="1:13" x14ac:dyDescent="0.25">
      <c r="A1476">
        <v>1475</v>
      </c>
      <c r="B1476" t="s">
        <v>1487</v>
      </c>
      <c r="C1476">
        <v>27</v>
      </c>
      <c r="D1476" t="s">
        <v>2947</v>
      </c>
      <c r="E1476" t="s">
        <v>2951</v>
      </c>
      <c r="F1476" t="s">
        <v>3021</v>
      </c>
      <c r="G1476" s="2">
        <v>45881</v>
      </c>
      <c r="H1476" s="2">
        <v>45894</v>
      </c>
      <c r="I1476" t="s">
        <v>5759</v>
      </c>
      <c r="J1476" t="s">
        <v>5769</v>
      </c>
      <c r="K1476">
        <v>238181.21</v>
      </c>
      <c r="L1476" t="s">
        <v>5774</v>
      </c>
      <c r="M1476">
        <v>13</v>
      </c>
    </row>
    <row r="1477" spans="1:13" x14ac:dyDescent="0.25">
      <c r="A1477">
        <v>1476</v>
      </c>
      <c r="B1477" t="s">
        <v>1488</v>
      </c>
      <c r="C1477">
        <v>62</v>
      </c>
      <c r="D1477" t="s">
        <v>2947</v>
      </c>
      <c r="E1477" t="s">
        <v>2952</v>
      </c>
      <c r="F1477" t="s">
        <v>4347</v>
      </c>
      <c r="G1477" s="2">
        <v>45689</v>
      </c>
      <c r="H1477" s="2">
        <v>45701</v>
      </c>
      <c r="I1477" t="s">
        <v>5760</v>
      </c>
      <c r="J1477" t="s">
        <v>5769</v>
      </c>
      <c r="K1477">
        <v>225185.27</v>
      </c>
      <c r="L1477" t="s">
        <v>5775</v>
      </c>
      <c r="M1477">
        <v>12</v>
      </c>
    </row>
    <row r="1478" spans="1:13" x14ac:dyDescent="0.25">
      <c r="A1478">
        <v>1477</v>
      </c>
      <c r="B1478" t="s">
        <v>1489</v>
      </c>
      <c r="C1478">
        <v>11</v>
      </c>
      <c r="D1478" t="s">
        <v>2948</v>
      </c>
      <c r="E1478" t="s">
        <v>2955</v>
      </c>
      <c r="F1478" t="s">
        <v>4348</v>
      </c>
      <c r="G1478" s="2">
        <v>45797</v>
      </c>
      <c r="H1478" s="2">
        <v>45799</v>
      </c>
      <c r="I1478" t="s">
        <v>5763</v>
      </c>
      <c r="J1478" t="s">
        <v>5770</v>
      </c>
      <c r="K1478">
        <v>191623.31</v>
      </c>
      <c r="L1478" t="s">
        <v>5773</v>
      </c>
      <c r="M1478">
        <v>2</v>
      </c>
    </row>
    <row r="1479" spans="1:13" x14ac:dyDescent="0.25">
      <c r="A1479">
        <v>1478</v>
      </c>
      <c r="B1479" t="s">
        <v>1490</v>
      </c>
      <c r="C1479">
        <v>64</v>
      </c>
      <c r="D1479" t="s">
        <v>2947</v>
      </c>
      <c r="E1479" t="s">
        <v>2951</v>
      </c>
      <c r="F1479" t="s">
        <v>4349</v>
      </c>
      <c r="G1479" s="2">
        <v>45582</v>
      </c>
      <c r="H1479" s="2">
        <v>45587</v>
      </c>
      <c r="I1479" t="s">
        <v>5761</v>
      </c>
      <c r="J1479" t="s">
        <v>5768</v>
      </c>
      <c r="K1479">
        <v>430252.32</v>
      </c>
      <c r="L1479" t="s">
        <v>5773</v>
      </c>
      <c r="M1479">
        <v>5</v>
      </c>
    </row>
    <row r="1480" spans="1:13" x14ac:dyDescent="0.25">
      <c r="A1480">
        <v>1479</v>
      </c>
      <c r="B1480" t="s">
        <v>1491</v>
      </c>
      <c r="C1480">
        <v>59</v>
      </c>
      <c r="D1480" t="s">
        <v>2948</v>
      </c>
      <c r="E1480" t="s">
        <v>2955</v>
      </c>
      <c r="F1480" t="s">
        <v>4350</v>
      </c>
      <c r="G1480" s="2">
        <v>45725</v>
      </c>
      <c r="H1480" s="2">
        <v>45740</v>
      </c>
      <c r="I1480" t="s">
        <v>5764</v>
      </c>
      <c r="J1480" t="s">
        <v>5772</v>
      </c>
      <c r="K1480">
        <v>377452.15</v>
      </c>
      <c r="L1480" t="s">
        <v>5773</v>
      </c>
      <c r="M1480">
        <v>15</v>
      </c>
    </row>
    <row r="1481" spans="1:13" x14ac:dyDescent="0.25">
      <c r="A1481">
        <v>1480</v>
      </c>
      <c r="B1481" t="s">
        <v>1492</v>
      </c>
      <c r="C1481">
        <v>4</v>
      </c>
      <c r="D1481" t="s">
        <v>2947</v>
      </c>
      <c r="E1481" t="s">
        <v>2950</v>
      </c>
      <c r="F1481" t="s">
        <v>4351</v>
      </c>
      <c r="G1481" s="2">
        <v>45774</v>
      </c>
      <c r="H1481" s="2">
        <v>45786</v>
      </c>
      <c r="I1481" t="s">
        <v>5764</v>
      </c>
      <c r="J1481" t="s">
        <v>2949</v>
      </c>
      <c r="K1481">
        <v>165099.37</v>
      </c>
      <c r="L1481" t="s">
        <v>5774</v>
      </c>
      <c r="M1481">
        <v>12</v>
      </c>
    </row>
    <row r="1482" spans="1:13" x14ac:dyDescent="0.25">
      <c r="A1482">
        <v>1481</v>
      </c>
      <c r="B1482" t="s">
        <v>1493</v>
      </c>
      <c r="C1482">
        <v>90</v>
      </c>
      <c r="D1482" t="s">
        <v>2948</v>
      </c>
      <c r="E1482" t="s">
        <v>2949</v>
      </c>
      <c r="F1482" t="s">
        <v>4352</v>
      </c>
      <c r="G1482" s="2">
        <v>45866</v>
      </c>
      <c r="H1482" s="2">
        <v>45873</v>
      </c>
      <c r="I1482" t="s">
        <v>5767</v>
      </c>
      <c r="J1482" t="s">
        <v>5769</v>
      </c>
      <c r="K1482">
        <v>270480.3</v>
      </c>
      <c r="L1482" t="s">
        <v>5774</v>
      </c>
      <c r="M1482">
        <v>7</v>
      </c>
    </row>
    <row r="1483" spans="1:13" x14ac:dyDescent="0.25">
      <c r="A1483">
        <v>1482</v>
      </c>
      <c r="B1483" t="s">
        <v>1494</v>
      </c>
      <c r="C1483">
        <v>47</v>
      </c>
      <c r="D1483" t="s">
        <v>2947</v>
      </c>
      <c r="E1483" t="s">
        <v>2955</v>
      </c>
      <c r="F1483" t="s">
        <v>4353</v>
      </c>
      <c r="G1483" s="2">
        <v>45883</v>
      </c>
      <c r="H1483" s="2">
        <v>45894</v>
      </c>
      <c r="I1483" t="s">
        <v>5758</v>
      </c>
      <c r="J1483" t="s">
        <v>2949</v>
      </c>
      <c r="K1483">
        <v>20095.099999999999</v>
      </c>
      <c r="L1483" t="s">
        <v>5775</v>
      </c>
      <c r="M1483">
        <v>11</v>
      </c>
    </row>
    <row r="1484" spans="1:13" x14ac:dyDescent="0.25">
      <c r="A1484">
        <v>1483</v>
      </c>
      <c r="B1484" t="s">
        <v>1495</v>
      </c>
      <c r="C1484">
        <v>89</v>
      </c>
      <c r="D1484" t="s">
        <v>2947</v>
      </c>
      <c r="E1484" t="s">
        <v>2949</v>
      </c>
      <c r="F1484" t="s">
        <v>4354</v>
      </c>
      <c r="G1484" s="2">
        <v>45596</v>
      </c>
      <c r="H1484" s="2">
        <v>45608</v>
      </c>
      <c r="I1484" t="s">
        <v>5761</v>
      </c>
      <c r="J1484" t="s">
        <v>5771</v>
      </c>
      <c r="K1484">
        <v>89754.98</v>
      </c>
      <c r="L1484" t="s">
        <v>5775</v>
      </c>
      <c r="M1484">
        <v>12</v>
      </c>
    </row>
    <row r="1485" spans="1:13" x14ac:dyDescent="0.25">
      <c r="A1485">
        <v>1484</v>
      </c>
      <c r="B1485" t="s">
        <v>1496</v>
      </c>
      <c r="C1485">
        <v>50</v>
      </c>
      <c r="D1485" t="s">
        <v>2947</v>
      </c>
      <c r="E1485" t="s">
        <v>2954</v>
      </c>
      <c r="F1485" t="s">
        <v>4355</v>
      </c>
      <c r="G1485" s="2">
        <v>45856</v>
      </c>
      <c r="H1485" s="2">
        <v>45860</v>
      </c>
      <c r="I1485" t="s">
        <v>5767</v>
      </c>
      <c r="J1485" t="s">
        <v>5770</v>
      </c>
      <c r="K1485">
        <v>297063.25</v>
      </c>
      <c r="L1485" t="s">
        <v>5775</v>
      </c>
      <c r="M1485">
        <v>4</v>
      </c>
    </row>
    <row r="1486" spans="1:13" x14ac:dyDescent="0.25">
      <c r="A1486">
        <v>1485</v>
      </c>
      <c r="B1486" t="s">
        <v>1497</v>
      </c>
      <c r="C1486">
        <v>13</v>
      </c>
      <c r="D1486" t="s">
        <v>2947</v>
      </c>
      <c r="E1486" t="s">
        <v>2954</v>
      </c>
      <c r="F1486" t="s">
        <v>4356</v>
      </c>
      <c r="G1486" s="2">
        <v>45818</v>
      </c>
      <c r="H1486" s="2">
        <v>45825</v>
      </c>
      <c r="I1486" t="s">
        <v>5762</v>
      </c>
      <c r="J1486" t="s">
        <v>5769</v>
      </c>
      <c r="K1486">
        <v>79067.460000000006</v>
      </c>
      <c r="L1486" t="s">
        <v>5774</v>
      </c>
      <c r="M1486">
        <v>7</v>
      </c>
    </row>
    <row r="1487" spans="1:13" x14ac:dyDescent="0.25">
      <c r="A1487">
        <v>1486</v>
      </c>
      <c r="B1487" t="s">
        <v>1498</v>
      </c>
      <c r="C1487">
        <v>32</v>
      </c>
      <c r="D1487" t="s">
        <v>2948</v>
      </c>
      <c r="E1487" t="s">
        <v>2949</v>
      </c>
      <c r="F1487" t="s">
        <v>342</v>
      </c>
      <c r="G1487" s="2">
        <v>45617</v>
      </c>
      <c r="H1487" s="2">
        <v>45622</v>
      </c>
      <c r="I1487" t="s">
        <v>5758</v>
      </c>
      <c r="J1487" t="s">
        <v>5771</v>
      </c>
      <c r="K1487">
        <v>6881.51</v>
      </c>
      <c r="L1487" t="s">
        <v>5774</v>
      </c>
      <c r="M1487">
        <v>5</v>
      </c>
    </row>
    <row r="1488" spans="1:13" x14ac:dyDescent="0.25">
      <c r="A1488">
        <v>1487</v>
      </c>
      <c r="B1488" t="s">
        <v>1499</v>
      </c>
      <c r="C1488">
        <v>42</v>
      </c>
      <c r="D1488" t="s">
        <v>2947</v>
      </c>
      <c r="E1488" t="s">
        <v>2951</v>
      </c>
      <c r="F1488" t="s">
        <v>4357</v>
      </c>
      <c r="G1488" s="2">
        <v>45560</v>
      </c>
      <c r="H1488" s="2">
        <v>45564</v>
      </c>
      <c r="I1488" t="s">
        <v>5759</v>
      </c>
      <c r="J1488" t="s">
        <v>5769</v>
      </c>
      <c r="K1488">
        <v>5472.46</v>
      </c>
      <c r="L1488" t="s">
        <v>5773</v>
      </c>
      <c r="M1488">
        <v>4</v>
      </c>
    </row>
    <row r="1489" spans="1:13" x14ac:dyDescent="0.25">
      <c r="A1489">
        <v>1488</v>
      </c>
      <c r="B1489" t="s">
        <v>1500</v>
      </c>
      <c r="C1489">
        <v>64</v>
      </c>
      <c r="D1489" t="s">
        <v>2947</v>
      </c>
      <c r="E1489" t="s">
        <v>2953</v>
      </c>
      <c r="F1489" t="s">
        <v>4358</v>
      </c>
      <c r="G1489" s="2">
        <v>45733</v>
      </c>
      <c r="H1489" s="2">
        <v>45736</v>
      </c>
      <c r="I1489" t="s">
        <v>5763</v>
      </c>
      <c r="J1489" t="s">
        <v>5772</v>
      </c>
      <c r="K1489">
        <v>282493.64</v>
      </c>
      <c r="L1489" t="s">
        <v>5773</v>
      </c>
      <c r="M1489">
        <v>3</v>
      </c>
    </row>
    <row r="1490" spans="1:13" x14ac:dyDescent="0.25">
      <c r="A1490">
        <v>1489</v>
      </c>
      <c r="B1490" t="s">
        <v>1501</v>
      </c>
      <c r="C1490">
        <v>2</v>
      </c>
      <c r="D1490" t="s">
        <v>2947</v>
      </c>
      <c r="E1490" t="s">
        <v>2952</v>
      </c>
      <c r="F1490" t="s">
        <v>4359</v>
      </c>
      <c r="G1490" s="2">
        <v>45741</v>
      </c>
      <c r="H1490" s="2">
        <v>45754</v>
      </c>
      <c r="I1490" t="s">
        <v>5758</v>
      </c>
      <c r="J1490" t="s">
        <v>2949</v>
      </c>
      <c r="K1490">
        <v>88384.98</v>
      </c>
      <c r="L1490" t="s">
        <v>5774</v>
      </c>
      <c r="M1490">
        <v>13</v>
      </c>
    </row>
    <row r="1491" spans="1:13" x14ac:dyDescent="0.25">
      <c r="A1491">
        <v>1490</v>
      </c>
      <c r="B1491" t="s">
        <v>1502</v>
      </c>
      <c r="C1491">
        <v>68</v>
      </c>
      <c r="D1491" t="s">
        <v>2948</v>
      </c>
      <c r="E1491" t="s">
        <v>2954</v>
      </c>
      <c r="F1491" t="s">
        <v>4360</v>
      </c>
      <c r="G1491" s="2">
        <v>45750</v>
      </c>
      <c r="H1491" s="2">
        <v>45763</v>
      </c>
      <c r="I1491" t="s">
        <v>5762</v>
      </c>
      <c r="J1491" t="s">
        <v>5770</v>
      </c>
      <c r="K1491">
        <v>5372.09</v>
      </c>
      <c r="L1491" t="s">
        <v>5774</v>
      </c>
      <c r="M1491">
        <v>13</v>
      </c>
    </row>
    <row r="1492" spans="1:13" x14ac:dyDescent="0.25">
      <c r="A1492">
        <v>1491</v>
      </c>
      <c r="B1492" t="s">
        <v>1503</v>
      </c>
      <c r="C1492">
        <v>89</v>
      </c>
      <c r="D1492" t="s">
        <v>2948</v>
      </c>
      <c r="E1492" t="s">
        <v>2955</v>
      </c>
      <c r="F1492" t="s">
        <v>4361</v>
      </c>
      <c r="G1492" s="2">
        <v>45740</v>
      </c>
      <c r="H1492" s="2">
        <v>45754</v>
      </c>
      <c r="I1492" t="s">
        <v>5761</v>
      </c>
      <c r="J1492" t="s">
        <v>5770</v>
      </c>
      <c r="K1492">
        <v>332074.64</v>
      </c>
      <c r="L1492" t="s">
        <v>5773</v>
      </c>
      <c r="M1492">
        <v>14</v>
      </c>
    </row>
    <row r="1493" spans="1:13" x14ac:dyDescent="0.25">
      <c r="A1493">
        <v>1492</v>
      </c>
      <c r="B1493" t="s">
        <v>1504</v>
      </c>
      <c r="C1493">
        <v>31</v>
      </c>
      <c r="D1493" t="s">
        <v>2948</v>
      </c>
      <c r="E1493" t="s">
        <v>2953</v>
      </c>
      <c r="F1493" t="s">
        <v>4362</v>
      </c>
      <c r="G1493" s="2">
        <v>45748</v>
      </c>
      <c r="H1493" s="2">
        <v>45750</v>
      </c>
      <c r="I1493" t="s">
        <v>5766</v>
      </c>
      <c r="J1493" t="s">
        <v>5768</v>
      </c>
      <c r="K1493">
        <v>121458.52</v>
      </c>
      <c r="L1493" t="s">
        <v>5774</v>
      </c>
      <c r="M1493">
        <v>2</v>
      </c>
    </row>
    <row r="1494" spans="1:13" x14ac:dyDescent="0.25">
      <c r="A1494">
        <v>1493</v>
      </c>
      <c r="B1494" t="s">
        <v>1505</v>
      </c>
      <c r="C1494">
        <v>5</v>
      </c>
      <c r="D1494" t="s">
        <v>2948</v>
      </c>
      <c r="E1494" t="s">
        <v>2951</v>
      </c>
      <c r="F1494" t="s">
        <v>4363</v>
      </c>
      <c r="G1494" s="2">
        <v>45904</v>
      </c>
      <c r="H1494" s="2">
        <v>45913</v>
      </c>
      <c r="I1494" t="s">
        <v>5758</v>
      </c>
      <c r="J1494" t="s">
        <v>5770</v>
      </c>
      <c r="K1494">
        <v>267540.65999999997</v>
      </c>
      <c r="L1494" t="s">
        <v>5775</v>
      </c>
      <c r="M1494">
        <v>9</v>
      </c>
    </row>
    <row r="1495" spans="1:13" x14ac:dyDescent="0.25">
      <c r="A1495">
        <v>1494</v>
      </c>
      <c r="B1495" t="s">
        <v>1506</v>
      </c>
      <c r="C1495">
        <v>70</v>
      </c>
      <c r="D1495" t="s">
        <v>2947</v>
      </c>
      <c r="E1495" t="s">
        <v>2950</v>
      </c>
      <c r="F1495" t="s">
        <v>4364</v>
      </c>
      <c r="G1495" s="2">
        <v>45649</v>
      </c>
      <c r="H1495" s="2">
        <v>45651</v>
      </c>
      <c r="I1495" t="s">
        <v>5760</v>
      </c>
      <c r="J1495" t="s">
        <v>2949</v>
      </c>
      <c r="K1495">
        <v>476503.26</v>
      </c>
      <c r="L1495" t="s">
        <v>5774</v>
      </c>
      <c r="M1495">
        <v>2</v>
      </c>
    </row>
    <row r="1496" spans="1:13" x14ac:dyDescent="0.25">
      <c r="A1496">
        <v>1495</v>
      </c>
      <c r="B1496" t="s">
        <v>1507</v>
      </c>
      <c r="C1496">
        <v>61</v>
      </c>
      <c r="D1496" t="s">
        <v>2948</v>
      </c>
      <c r="E1496" t="s">
        <v>2955</v>
      </c>
      <c r="F1496" t="s">
        <v>4365</v>
      </c>
      <c r="G1496" s="2">
        <v>45589</v>
      </c>
      <c r="H1496" s="2">
        <v>45591</v>
      </c>
      <c r="I1496" t="s">
        <v>5758</v>
      </c>
      <c r="J1496" t="s">
        <v>2949</v>
      </c>
      <c r="K1496">
        <v>429306.05</v>
      </c>
      <c r="L1496" t="s">
        <v>5775</v>
      </c>
      <c r="M1496">
        <v>2</v>
      </c>
    </row>
    <row r="1497" spans="1:13" x14ac:dyDescent="0.25">
      <c r="A1497">
        <v>1496</v>
      </c>
      <c r="B1497" t="s">
        <v>1508</v>
      </c>
      <c r="C1497">
        <v>40</v>
      </c>
      <c r="D1497" t="s">
        <v>2948</v>
      </c>
      <c r="E1497" t="s">
        <v>2955</v>
      </c>
      <c r="F1497" t="s">
        <v>4366</v>
      </c>
      <c r="G1497" s="2">
        <v>45893</v>
      </c>
      <c r="H1497" s="2">
        <v>45901</v>
      </c>
      <c r="I1497" t="s">
        <v>5767</v>
      </c>
      <c r="J1497" t="s">
        <v>5769</v>
      </c>
      <c r="K1497">
        <v>86722.18</v>
      </c>
      <c r="L1497" t="s">
        <v>5774</v>
      </c>
      <c r="M1497">
        <v>8</v>
      </c>
    </row>
    <row r="1498" spans="1:13" x14ac:dyDescent="0.25">
      <c r="A1498">
        <v>1497</v>
      </c>
      <c r="B1498" t="s">
        <v>1509</v>
      </c>
      <c r="C1498">
        <v>27</v>
      </c>
      <c r="D1498" t="s">
        <v>2948</v>
      </c>
      <c r="E1498" t="s">
        <v>2949</v>
      </c>
      <c r="F1498" t="s">
        <v>136</v>
      </c>
      <c r="G1498" s="2">
        <v>45905</v>
      </c>
      <c r="H1498" s="2">
        <v>45908</v>
      </c>
      <c r="I1498" t="s">
        <v>5763</v>
      </c>
      <c r="J1498" t="s">
        <v>2949</v>
      </c>
      <c r="K1498">
        <v>244576.01</v>
      </c>
      <c r="L1498" t="s">
        <v>5773</v>
      </c>
      <c r="M1498">
        <v>3</v>
      </c>
    </row>
    <row r="1499" spans="1:13" x14ac:dyDescent="0.25">
      <c r="A1499">
        <v>1498</v>
      </c>
      <c r="B1499" t="s">
        <v>1510</v>
      </c>
      <c r="C1499">
        <v>18</v>
      </c>
      <c r="D1499" t="s">
        <v>2947</v>
      </c>
      <c r="E1499" t="s">
        <v>2953</v>
      </c>
      <c r="F1499" t="s">
        <v>4367</v>
      </c>
      <c r="G1499" s="2">
        <v>45651</v>
      </c>
      <c r="H1499" s="2">
        <v>45654</v>
      </c>
      <c r="I1499" t="s">
        <v>5759</v>
      </c>
      <c r="J1499" t="s">
        <v>5771</v>
      </c>
      <c r="K1499">
        <v>116639.71</v>
      </c>
      <c r="L1499" t="s">
        <v>5775</v>
      </c>
      <c r="M1499">
        <v>3</v>
      </c>
    </row>
    <row r="1500" spans="1:13" x14ac:dyDescent="0.25">
      <c r="A1500">
        <v>1499</v>
      </c>
      <c r="B1500" t="s">
        <v>1511</v>
      </c>
      <c r="C1500">
        <v>33</v>
      </c>
      <c r="D1500" t="s">
        <v>2947</v>
      </c>
      <c r="E1500" t="s">
        <v>2955</v>
      </c>
      <c r="F1500" t="s">
        <v>4368</v>
      </c>
      <c r="G1500" s="2">
        <v>45614</v>
      </c>
      <c r="H1500" s="2">
        <v>45629</v>
      </c>
      <c r="I1500" t="s">
        <v>5758</v>
      </c>
      <c r="J1500" t="s">
        <v>5769</v>
      </c>
      <c r="K1500">
        <v>258774.94</v>
      </c>
      <c r="L1500" t="s">
        <v>5773</v>
      </c>
      <c r="M1500">
        <v>15</v>
      </c>
    </row>
    <row r="1501" spans="1:13" x14ac:dyDescent="0.25">
      <c r="A1501">
        <v>1500</v>
      </c>
      <c r="B1501" t="s">
        <v>1512</v>
      </c>
      <c r="C1501">
        <v>39</v>
      </c>
      <c r="D1501" t="s">
        <v>2947</v>
      </c>
      <c r="E1501" t="s">
        <v>2954</v>
      </c>
      <c r="F1501" t="s">
        <v>4369</v>
      </c>
      <c r="G1501" s="2">
        <v>45616</v>
      </c>
      <c r="H1501" s="2">
        <v>45630</v>
      </c>
      <c r="I1501" t="s">
        <v>5766</v>
      </c>
      <c r="J1501" t="s">
        <v>5772</v>
      </c>
      <c r="K1501">
        <v>413410.94</v>
      </c>
      <c r="L1501" t="s">
        <v>5774</v>
      </c>
      <c r="M1501">
        <v>14</v>
      </c>
    </row>
    <row r="1502" spans="1:13" x14ac:dyDescent="0.25">
      <c r="A1502">
        <v>1501</v>
      </c>
      <c r="B1502" t="s">
        <v>1513</v>
      </c>
      <c r="C1502">
        <v>21</v>
      </c>
      <c r="D1502" t="s">
        <v>2947</v>
      </c>
      <c r="E1502" t="s">
        <v>2955</v>
      </c>
      <c r="F1502" t="s">
        <v>4370</v>
      </c>
      <c r="G1502" s="2">
        <v>45667</v>
      </c>
      <c r="H1502" s="2">
        <v>45669</v>
      </c>
      <c r="I1502" t="s">
        <v>5762</v>
      </c>
      <c r="J1502" t="s">
        <v>5769</v>
      </c>
      <c r="K1502">
        <v>157470.95000000001</v>
      </c>
      <c r="L1502" t="s">
        <v>5773</v>
      </c>
      <c r="M1502">
        <v>2</v>
      </c>
    </row>
    <row r="1503" spans="1:13" x14ac:dyDescent="0.25">
      <c r="A1503">
        <v>1502</v>
      </c>
      <c r="B1503" t="s">
        <v>1514</v>
      </c>
      <c r="C1503">
        <v>54</v>
      </c>
      <c r="D1503" t="s">
        <v>2947</v>
      </c>
      <c r="E1503" t="s">
        <v>2955</v>
      </c>
      <c r="F1503" t="s">
        <v>4371</v>
      </c>
      <c r="G1503" s="2">
        <v>45590</v>
      </c>
      <c r="H1503" s="2">
        <v>45602</v>
      </c>
      <c r="I1503" t="s">
        <v>5767</v>
      </c>
      <c r="J1503" t="s">
        <v>5771</v>
      </c>
      <c r="K1503">
        <v>117065.7</v>
      </c>
      <c r="L1503" t="s">
        <v>5775</v>
      </c>
      <c r="M1503">
        <v>12</v>
      </c>
    </row>
    <row r="1504" spans="1:13" x14ac:dyDescent="0.25">
      <c r="A1504">
        <v>1503</v>
      </c>
      <c r="B1504" t="s">
        <v>1515</v>
      </c>
      <c r="C1504">
        <v>85</v>
      </c>
      <c r="D1504" t="s">
        <v>2948</v>
      </c>
      <c r="E1504" t="s">
        <v>2950</v>
      </c>
      <c r="F1504" t="s">
        <v>4372</v>
      </c>
      <c r="G1504" s="2">
        <v>45744</v>
      </c>
      <c r="H1504" s="2">
        <v>45747</v>
      </c>
      <c r="I1504" t="s">
        <v>5764</v>
      </c>
      <c r="J1504" t="s">
        <v>5772</v>
      </c>
      <c r="K1504">
        <v>78154.48</v>
      </c>
      <c r="L1504" t="s">
        <v>5773</v>
      </c>
      <c r="M1504">
        <v>3</v>
      </c>
    </row>
    <row r="1505" spans="1:13" x14ac:dyDescent="0.25">
      <c r="A1505">
        <v>1504</v>
      </c>
      <c r="B1505" t="s">
        <v>1516</v>
      </c>
      <c r="C1505">
        <v>12</v>
      </c>
      <c r="D1505" t="s">
        <v>2947</v>
      </c>
      <c r="E1505" t="s">
        <v>2954</v>
      </c>
      <c r="F1505" t="s">
        <v>4373</v>
      </c>
      <c r="G1505" s="2">
        <v>45849</v>
      </c>
      <c r="H1505" s="2">
        <v>45850</v>
      </c>
      <c r="I1505" t="s">
        <v>5767</v>
      </c>
      <c r="J1505" t="s">
        <v>5770</v>
      </c>
      <c r="K1505">
        <v>169113.73</v>
      </c>
      <c r="L1505" t="s">
        <v>5774</v>
      </c>
      <c r="M1505">
        <v>1</v>
      </c>
    </row>
    <row r="1506" spans="1:13" x14ac:dyDescent="0.25">
      <c r="A1506">
        <v>1505</v>
      </c>
      <c r="B1506" t="s">
        <v>1517</v>
      </c>
      <c r="C1506">
        <v>75</v>
      </c>
      <c r="D1506" t="s">
        <v>2948</v>
      </c>
      <c r="E1506" t="s">
        <v>2954</v>
      </c>
      <c r="F1506" t="s">
        <v>4374</v>
      </c>
      <c r="G1506" s="2">
        <v>45738</v>
      </c>
      <c r="H1506" s="2">
        <v>45740</v>
      </c>
      <c r="I1506" t="s">
        <v>5759</v>
      </c>
      <c r="J1506" t="s">
        <v>5771</v>
      </c>
      <c r="K1506">
        <v>132655.23000000001</v>
      </c>
      <c r="L1506" t="s">
        <v>5773</v>
      </c>
      <c r="M1506">
        <v>2</v>
      </c>
    </row>
    <row r="1507" spans="1:13" x14ac:dyDescent="0.25">
      <c r="A1507">
        <v>1506</v>
      </c>
      <c r="B1507" t="s">
        <v>1518</v>
      </c>
      <c r="C1507">
        <v>6</v>
      </c>
      <c r="D1507" t="s">
        <v>2947</v>
      </c>
      <c r="E1507" t="s">
        <v>2950</v>
      </c>
      <c r="F1507" t="s">
        <v>4375</v>
      </c>
      <c r="G1507" s="2">
        <v>45833</v>
      </c>
      <c r="H1507" s="2">
        <v>45845</v>
      </c>
      <c r="I1507" t="s">
        <v>5765</v>
      </c>
      <c r="J1507" t="s">
        <v>2949</v>
      </c>
      <c r="K1507">
        <v>333582.58</v>
      </c>
      <c r="L1507" t="s">
        <v>5774</v>
      </c>
      <c r="M1507">
        <v>12</v>
      </c>
    </row>
    <row r="1508" spans="1:13" x14ac:dyDescent="0.25">
      <c r="A1508">
        <v>1507</v>
      </c>
      <c r="B1508" t="s">
        <v>1519</v>
      </c>
      <c r="C1508">
        <v>87</v>
      </c>
      <c r="D1508" t="s">
        <v>2947</v>
      </c>
      <c r="E1508" t="s">
        <v>2952</v>
      </c>
      <c r="F1508" t="s">
        <v>4376</v>
      </c>
      <c r="G1508" s="2">
        <v>45906</v>
      </c>
      <c r="H1508" s="2">
        <v>45916</v>
      </c>
      <c r="I1508" t="s">
        <v>5763</v>
      </c>
      <c r="J1508" t="s">
        <v>5768</v>
      </c>
      <c r="K1508">
        <v>128664.36</v>
      </c>
      <c r="L1508" t="s">
        <v>5773</v>
      </c>
      <c r="M1508">
        <v>10</v>
      </c>
    </row>
    <row r="1509" spans="1:13" x14ac:dyDescent="0.25">
      <c r="A1509">
        <v>1508</v>
      </c>
      <c r="B1509" t="s">
        <v>1520</v>
      </c>
      <c r="C1509">
        <v>23</v>
      </c>
      <c r="D1509" t="s">
        <v>2948</v>
      </c>
      <c r="E1509" t="s">
        <v>2951</v>
      </c>
      <c r="F1509" t="s">
        <v>4377</v>
      </c>
      <c r="G1509" s="2">
        <v>45585</v>
      </c>
      <c r="H1509" s="2">
        <v>45590</v>
      </c>
      <c r="I1509" t="s">
        <v>5759</v>
      </c>
      <c r="J1509" t="s">
        <v>5769</v>
      </c>
      <c r="K1509">
        <v>344915.86</v>
      </c>
      <c r="L1509" t="s">
        <v>5773</v>
      </c>
      <c r="M1509">
        <v>5</v>
      </c>
    </row>
    <row r="1510" spans="1:13" x14ac:dyDescent="0.25">
      <c r="A1510">
        <v>1509</v>
      </c>
      <c r="B1510" t="s">
        <v>1521</v>
      </c>
      <c r="C1510">
        <v>6</v>
      </c>
      <c r="D1510" t="s">
        <v>2947</v>
      </c>
      <c r="E1510" t="s">
        <v>2954</v>
      </c>
      <c r="F1510" t="s">
        <v>4378</v>
      </c>
      <c r="G1510" s="2">
        <v>45738</v>
      </c>
      <c r="H1510" s="2">
        <v>45751</v>
      </c>
      <c r="I1510" t="s">
        <v>5760</v>
      </c>
      <c r="J1510" t="s">
        <v>5769</v>
      </c>
      <c r="K1510">
        <v>455229.81</v>
      </c>
      <c r="L1510" t="s">
        <v>5774</v>
      </c>
      <c r="M1510">
        <v>13</v>
      </c>
    </row>
    <row r="1511" spans="1:13" x14ac:dyDescent="0.25">
      <c r="A1511">
        <v>1510</v>
      </c>
      <c r="B1511" t="s">
        <v>1522</v>
      </c>
      <c r="C1511">
        <v>25</v>
      </c>
      <c r="D1511" t="s">
        <v>2948</v>
      </c>
      <c r="E1511" t="s">
        <v>2953</v>
      </c>
      <c r="F1511" t="s">
        <v>4379</v>
      </c>
      <c r="G1511" s="2">
        <v>45571</v>
      </c>
      <c r="H1511" s="2">
        <v>45577</v>
      </c>
      <c r="I1511" t="s">
        <v>5767</v>
      </c>
      <c r="J1511" t="s">
        <v>2949</v>
      </c>
      <c r="K1511">
        <v>142340.26</v>
      </c>
      <c r="L1511" t="s">
        <v>5774</v>
      </c>
      <c r="M1511">
        <v>6</v>
      </c>
    </row>
    <row r="1512" spans="1:13" x14ac:dyDescent="0.25">
      <c r="A1512">
        <v>1511</v>
      </c>
      <c r="B1512" t="s">
        <v>1523</v>
      </c>
      <c r="C1512">
        <v>51</v>
      </c>
      <c r="D1512" t="s">
        <v>2947</v>
      </c>
      <c r="E1512" t="s">
        <v>2952</v>
      </c>
      <c r="F1512" t="s">
        <v>4380</v>
      </c>
      <c r="G1512" s="2">
        <v>45652</v>
      </c>
      <c r="H1512" s="2">
        <v>45654</v>
      </c>
      <c r="I1512" t="s">
        <v>5758</v>
      </c>
      <c r="J1512" t="s">
        <v>5771</v>
      </c>
      <c r="K1512">
        <v>443722.22</v>
      </c>
      <c r="L1512" t="s">
        <v>5774</v>
      </c>
      <c r="M1512">
        <v>2</v>
      </c>
    </row>
    <row r="1513" spans="1:13" x14ac:dyDescent="0.25">
      <c r="A1513">
        <v>1512</v>
      </c>
      <c r="B1513" t="s">
        <v>1524</v>
      </c>
      <c r="C1513">
        <v>75</v>
      </c>
      <c r="D1513" t="s">
        <v>2947</v>
      </c>
      <c r="E1513" t="s">
        <v>2950</v>
      </c>
      <c r="F1513" t="s">
        <v>4381</v>
      </c>
      <c r="G1513" s="2">
        <v>45852</v>
      </c>
      <c r="H1513" s="2">
        <v>45857</v>
      </c>
      <c r="I1513" t="s">
        <v>5767</v>
      </c>
      <c r="J1513" t="s">
        <v>2949</v>
      </c>
      <c r="K1513">
        <v>452763.52</v>
      </c>
      <c r="L1513" t="s">
        <v>5775</v>
      </c>
      <c r="M1513">
        <v>5</v>
      </c>
    </row>
    <row r="1514" spans="1:13" x14ac:dyDescent="0.25">
      <c r="A1514">
        <v>1513</v>
      </c>
      <c r="B1514" t="s">
        <v>1525</v>
      </c>
      <c r="C1514">
        <v>1</v>
      </c>
      <c r="D1514" t="s">
        <v>2947</v>
      </c>
      <c r="E1514" t="s">
        <v>2951</v>
      </c>
      <c r="F1514" t="s">
        <v>4382</v>
      </c>
      <c r="G1514" s="2">
        <v>45642</v>
      </c>
      <c r="H1514" s="2">
        <v>45644</v>
      </c>
      <c r="I1514" t="s">
        <v>5764</v>
      </c>
      <c r="J1514" t="s">
        <v>5768</v>
      </c>
      <c r="K1514">
        <v>385565.63</v>
      </c>
      <c r="L1514" t="s">
        <v>5773</v>
      </c>
      <c r="M1514">
        <v>2</v>
      </c>
    </row>
    <row r="1515" spans="1:13" x14ac:dyDescent="0.25">
      <c r="A1515">
        <v>1514</v>
      </c>
      <c r="B1515" t="s">
        <v>1526</v>
      </c>
      <c r="C1515">
        <v>42</v>
      </c>
      <c r="D1515" t="s">
        <v>2947</v>
      </c>
      <c r="E1515" t="s">
        <v>2953</v>
      </c>
      <c r="F1515" t="s">
        <v>4383</v>
      </c>
      <c r="G1515" s="2">
        <v>45600</v>
      </c>
      <c r="H1515" s="2">
        <v>45615</v>
      </c>
      <c r="I1515" t="s">
        <v>5762</v>
      </c>
      <c r="J1515" t="s">
        <v>5769</v>
      </c>
      <c r="K1515">
        <v>211771.81</v>
      </c>
      <c r="L1515" t="s">
        <v>5774</v>
      </c>
      <c r="M1515">
        <v>15</v>
      </c>
    </row>
    <row r="1516" spans="1:13" x14ac:dyDescent="0.25">
      <c r="A1516">
        <v>1515</v>
      </c>
      <c r="B1516" t="s">
        <v>1527</v>
      </c>
      <c r="C1516">
        <v>27</v>
      </c>
      <c r="D1516" t="s">
        <v>2948</v>
      </c>
      <c r="E1516" t="s">
        <v>2951</v>
      </c>
      <c r="F1516" t="s">
        <v>4384</v>
      </c>
      <c r="G1516" s="2">
        <v>45785</v>
      </c>
      <c r="H1516" s="2">
        <v>45789</v>
      </c>
      <c r="I1516" t="s">
        <v>5761</v>
      </c>
      <c r="J1516" t="s">
        <v>2949</v>
      </c>
      <c r="K1516">
        <v>34948.74</v>
      </c>
      <c r="L1516" t="s">
        <v>5774</v>
      </c>
      <c r="M1516">
        <v>4</v>
      </c>
    </row>
    <row r="1517" spans="1:13" x14ac:dyDescent="0.25">
      <c r="A1517">
        <v>1516</v>
      </c>
      <c r="B1517" t="s">
        <v>1528</v>
      </c>
      <c r="C1517">
        <v>80</v>
      </c>
      <c r="D1517" t="s">
        <v>2948</v>
      </c>
      <c r="E1517" t="s">
        <v>2951</v>
      </c>
      <c r="F1517" t="s">
        <v>4385</v>
      </c>
      <c r="G1517" s="2">
        <v>45812</v>
      </c>
      <c r="H1517" s="2">
        <v>45825</v>
      </c>
      <c r="I1517" t="s">
        <v>5762</v>
      </c>
      <c r="J1517" t="s">
        <v>5772</v>
      </c>
      <c r="K1517">
        <v>14155.4</v>
      </c>
      <c r="L1517" t="s">
        <v>5775</v>
      </c>
      <c r="M1517">
        <v>13</v>
      </c>
    </row>
    <row r="1518" spans="1:13" x14ac:dyDescent="0.25">
      <c r="A1518">
        <v>1517</v>
      </c>
      <c r="B1518" t="s">
        <v>1529</v>
      </c>
      <c r="C1518">
        <v>35</v>
      </c>
      <c r="D1518" t="s">
        <v>2947</v>
      </c>
      <c r="E1518" t="s">
        <v>2954</v>
      </c>
      <c r="F1518" t="s">
        <v>4386</v>
      </c>
      <c r="G1518" s="2">
        <v>45566</v>
      </c>
      <c r="H1518" s="2">
        <v>45577</v>
      </c>
      <c r="I1518" t="s">
        <v>5765</v>
      </c>
      <c r="J1518" t="s">
        <v>5772</v>
      </c>
      <c r="K1518">
        <v>170367.1</v>
      </c>
      <c r="L1518" t="s">
        <v>5774</v>
      </c>
      <c r="M1518">
        <v>11</v>
      </c>
    </row>
    <row r="1519" spans="1:13" x14ac:dyDescent="0.25">
      <c r="A1519">
        <v>1518</v>
      </c>
      <c r="B1519" t="s">
        <v>1530</v>
      </c>
      <c r="C1519">
        <v>84</v>
      </c>
      <c r="D1519" t="s">
        <v>2947</v>
      </c>
      <c r="E1519" t="s">
        <v>2950</v>
      </c>
      <c r="F1519" t="s">
        <v>4387</v>
      </c>
      <c r="G1519" s="2">
        <v>45791</v>
      </c>
      <c r="H1519" s="2">
        <v>45801</v>
      </c>
      <c r="I1519" t="s">
        <v>5759</v>
      </c>
      <c r="J1519" t="s">
        <v>5770</v>
      </c>
      <c r="K1519">
        <v>118997.07</v>
      </c>
      <c r="L1519" t="s">
        <v>5773</v>
      </c>
      <c r="M1519">
        <v>10</v>
      </c>
    </row>
    <row r="1520" spans="1:13" x14ac:dyDescent="0.25">
      <c r="A1520">
        <v>1519</v>
      </c>
      <c r="B1520" t="s">
        <v>1531</v>
      </c>
      <c r="C1520">
        <v>42</v>
      </c>
      <c r="D1520" t="s">
        <v>2948</v>
      </c>
      <c r="E1520" t="s">
        <v>2951</v>
      </c>
      <c r="F1520" t="s">
        <v>4388</v>
      </c>
      <c r="G1520" s="2">
        <v>45803</v>
      </c>
      <c r="H1520" s="2">
        <v>45816</v>
      </c>
      <c r="I1520" t="s">
        <v>5760</v>
      </c>
      <c r="J1520" t="s">
        <v>5768</v>
      </c>
      <c r="K1520">
        <v>405409.12</v>
      </c>
      <c r="L1520" t="s">
        <v>5773</v>
      </c>
      <c r="M1520">
        <v>13</v>
      </c>
    </row>
    <row r="1521" spans="1:13" x14ac:dyDescent="0.25">
      <c r="A1521">
        <v>1520</v>
      </c>
      <c r="B1521" t="s">
        <v>1532</v>
      </c>
      <c r="C1521">
        <v>43</v>
      </c>
      <c r="D1521" t="s">
        <v>2948</v>
      </c>
      <c r="E1521" t="s">
        <v>2954</v>
      </c>
      <c r="F1521" t="s">
        <v>4389</v>
      </c>
      <c r="G1521" s="2">
        <v>45556</v>
      </c>
      <c r="H1521" s="2">
        <v>45559</v>
      </c>
      <c r="I1521" t="s">
        <v>5762</v>
      </c>
      <c r="J1521" t="s">
        <v>2949</v>
      </c>
      <c r="K1521">
        <v>332779.90000000002</v>
      </c>
      <c r="L1521" t="s">
        <v>5773</v>
      </c>
      <c r="M1521">
        <v>3</v>
      </c>
    </row>
    <row r="1522" spans="1:13" x14ac:dyDescent="0.25">
      <c r="A1522">
        <v>1521</v>
      </c>
      <c r="B1522" t="s">
        <v>1533</v>
      </c>
      <c r="C1522">
        <v>22</v>
      </c>
      <c r="D1522" t="s">
        <v>2947</v>
      </c>
      <c r="E1522" t="s">
        <v>2954</v>
      </c>
      <c r="F1522" t="s">
        <v>4390</v>
      </c>
      <c r="G1522" s="2">
        <v>45676</v>
      </c>
      <c r="H1522" s="2">
        <v>45680</v>
      </c>
      <c r="I1522" t="s">
        <v>5760</v>
      </c>
      <c r="J1522" t="s">
        <v>5769</v>
      </c>
      <c r="K1522">
        <v>303081.83</v>
      </c>
      <c r="L1522" t="s">
        <v>5774</v>
      </c>
      <c r="M1522">
        <v>4</v>
      </c>
    </row>
    <row r="1523" spans="1:13" x14ac:dyDescent="0.25">
      <c r="A1523">
        <v>1522</v>
      </c>
      <c r="B1523" t="s">
        <v>1534</v>
      </c>
      <c r="C1523">
        <v>26</v>
      </c>
      <c r="D1523" t="s">
        <v>2947</v>
      </c>
      <c r="E1523" t="s">
        <v>2953</v>
      </c>
      <c r="F1523" t="s">
        <v>4391</v>
      </c>
      <c r="G1523" s="2">
        <v>45691</v>
      </c>
      <c r="H1523" s="2">
        <v>45697</v>
      </c>
      <c r="I1523" t="s">
        <v>5760</v>
      </c>
      <c r="J1523" t="s">
        <v>2949</v>
      </c>
      <c r="K1523">
        <v>322074.23999999999</v>
      </c>
      <c r="L1523" t="s">
        <v>5773</v>
      </c>
      <c r="M1523">
        <v>6</v>
      </c>
    </row>
    <row r="1524" spans="1:13" x14ac:dyDescent="0.25">
      <c r="A1524">
        <v>1523</v>
      </c>
      <c r="B1524" t="s">
        <v>1535</v>
      </c>
      <c r="C1524">
        <v>43</v>
      </c>
      <c r="D1524" t="s">
        <v>2948</v>
      </c>
      <c r="E1524" t="s">
        <v>2949</v>
      </c>
      <c r="F1524" t="s">
        <v>4392</v>
      </c>
      <c r="G1524" s="2">
        <v>45634</v>
      </c>
      <c r="H1524" s="2">
        <v>45641</v>
      </c>
      <c r="I1524" t="s">
        <v>5764</v>
      </c>
      <c r="J1524" t="s">
        <v>5768</v>
      </c>
      <c r="K1524">
        <v>65513.95</v>
      </c>
      <c r="L1524" t="s">
        <v>5775</v>
      </c>
      <c r="M1524">
        <v>7</v>
      </c>
    </row>
    <row r="1525" spans="1:13" x14ac:dyDescent="0.25">
      <c r="A1525">
        <v>1524</v>
      </c>
      <c r="B1525" t="s">
        <v>1536</v>
      </c>
      <c r="C1525">
        <v>81</v>
      </c>
      <c r="D1525" t="s">
        <v>2947</v>
      </c>
      <c r="E1525" t="s">
        <v>2954</v>
      </c>
      <c r="F1525" t="s">
        <v>4393</v>
      </c>
      <c r="G1525" s="2">
        <v>45905</v>
      </c>
      <c r="H1525" s="2">
        <v>45917</v>
      </c>
      <c r="I1525" t="s">
        <v>5766</v>
      </c>
      <c r="J1525" t="s">
        <v>5770</v>
      </c>
      <c r="K1525">
        <v>483435.35</v>
      </c>
      <c r="L1525" t="s">
        <v>5774</v>
      </c>
      <c r="M1525">
        <v>12</v>
      </c>
    </row>
    <row r="1526" spans="1:13" x14ac:dyDescent="0.25">
      <c r="A1526">
        <v>1525</v>
      </c>
      <c r="B1526" t="s">
        <v>1537</v>
      </c>
      <c r="C1526">
        <v>30</v>
      </c>
      <c r="D1526" t="s">
        <v>2947</v>
      </c>
      <c r="E1526" t="s">
        <v>2952</v>
      </c>
      <c r="F1526" t="s">
        <v>4394</v>
      </c>
      <c r="G1526" s="2">
        <v>45867</v>
      </c>
      <c r="H1526" s="2">
        <v>45872</v>
      </c>
      <c r="I1526" t="s">
        <v>5758</v>
      </c>
      <c r="J1526" t="s">
        <v>5771</v>
      </c>
      <c r="K1526">
        <v>146420.45000000001</v>
      </c>
      <c r="L1526" t="s">
        <v>5774</v>
      </c>
      <c r="M1526">
        <v>5</v>
      </c>
    </row>
    <row r="1527" spans="1:13" x14ac:dyDescent="0.25">
      <c r="A1527">
        <v>1526</v>
      </c>
      <c r="B1527" t="s">
        <v>1538</v>
      </c>
      <c r="C1527">
        <v>90</v>
      </c>
      <c r="D1527" t="s">
        <v>2947</v>
      </c>
      <c r="E1527" t="s">
        <v>2950</v>
      </c>
      <c r="F1527" t="s">
        <v>4395</v>
      </c>
      <c r="G1527" s="2">
        <v>45704</v>
      </c>
      <c r="H1527" s="2">
        <v>45709</v>
      </c>
      <c r="I1527" t="s">
        <v>5759</v>
      </c>
      <c r="J1527" t="s">
        <v>5769</v>
      </c>
      <c r="K1527">
        <v>82810.14</v>
      </c>
      <c r="L1527" t="s">
        <v>5773</v>
      </c>
      <c r="M1527">
        <v>5</v>
      </c>
    </row>
    <row r="1528" spans="1:13" x14ac:dyDescent="0.25">
      <c r="A1528">
        <v>1527</v>
      </c>
      <c r="B1528" t="s">
        <v>1539</v>
      </c>
      <c r="C1528">
        <v>31</v>
      </c>
      <c r="D1528" t="s">
        <v>2948</v>
      </c>
      <c r="E1528" t="s">
        <v>2955</v>
      </c>
      <c r="F1528" t="s">
        <v>4396</v>
      </c>
      <c r="G1528" s="2">
        <v>45864</v>
      </c>
      <c r="H1528" s="2">
        <v>45870</v>
      </c>
      <c r="I1528" t="s">
        <v>5765</v>
      </c>
      <c r="J1528" t="s">
        <v>5768</v>
      </c>
      <c r="K1528">
        <v>240810.67</v>
      </c>
      <c r="L1528" t="s">
        <v>5775</v>
      </c>
      <c r="M1528">
        <v>6</v>
      </c>
    </row>
    <row r="1529" spans="1:13" x14ac:dyDescent="0.25">
      <c r="A1529">
        <v>1528</v>
      </c>
      <c r="B1529" t="s">
        <v>1540</v>
      </c>
      <c r="C1529">
        <v>23</v>
      </c>
      <c r="D1529" t="s">
        <v>2947</v>
      </c>
      <c r="E1529" t="s">
        <v>2951</v>
      </c>
      <c r="F1529" t="s">
        <v>4397</v>
      </c>
      <c r="G1529" s="2">
        <v>45732</v>
      </c>
      <c r="H1529" s="2">
        <v>45742</v>
      </c>
      <c r="I1529" t="s">
        <v>5760</v>
      </c>
      <c r="J1529" t="s">
        <v>5770</v>
      </c>
      <c r="K1529">
        <v>222379.12</v>
      </c>
      <c r="L1529" t="s">
        <v>5774</v>
      </c>
      <c r="M1529">
        <v>10</v>
      </c>
    </row>
    <row r="1530" spans="1:13" x14ac:dyDescent="0.25">
      <c r="A1530">
        <v>1529</v>
      </c>
      <c r="B1530" t="s">
        <v>1541</v>
      </c>
      <c r="C1530">
        <v>20</v>
      </c>
      <c r="D1530" t="s">
        <v>2947</v>
      </c>
      <c r="E1530" t="s">
        <v>2955</v>
      </c>
      <c r="F1530" t="s">
        <v>4398</v>
      </c>
      <c r="G1530" s="2">
        <v>45608</v>
      </c>
      <c r="H1530" s="2">
        <v>45620</v>
      </c>
      <c r="I1530" t="s">
        <v>5760</v>
      </c>
      <c r="J1530" t="s">
        <v>5772</v>
      </c>
      <c r="K1530">
        <v>420368.53</v>
      </c>
      <c r="L1530" t="s">
        <v>5773</v>
      </c>
      <c r="M1530">
        <v>12</v>
      </c>
    </row>
    <row r="1531" spans="1:13" x14ac:dyDescent="0.25">
      <c r="A1531">
        <v>1530</v>
      </c>
      <c r="B1531" t="s">
        <v>1542</v>
      </c>
      <c r="C1531">
        <v>26</v>
      </c>
      <c r="D1531" t="s">
        <v>2948</v>
      </c>
      <c r="E1531" t="s">
        <v>2952</v>
      </c>
      <c r="F1531" t="s">
        <v>4399</v>
      </c>
      <c r="G1531" s="2">
        <v>45614</v>
      </c>
      <c r="H1531" s="2">
        <v>45626</v>
      </c>
      <c r="I1531" t="s">
        <v>5762</v>
      </c>
      <c r="J1531" t="s">
        <v>5770</v>
      </c>
      <c r="K1531">
        <v>47912.72</v>
      </c>
      <c r="L1531" t="s">
        <v>5774</v>
      </c>
      <c r="M1531">
        <v>12</v>
      </c>
    </row>
    <row r="1532" spans="1:13" x14ac:dyDescent="0.25">
      <c r="A1532">
        <v>1531</v>
      </c>
      <c r="B1532" t="s">
        <v>1543</v>
      </c>
      <c r="C1532">
        <v>79</v>
      </c>
      <c r="D1532" t="s">
        <v>2947</v>
      </c>
      <c r="E1532" t="s">
        <v>2954</v>
      </c>
      <c r="F1532" t="s">
        <v>4400</v>
      </c>
      <c r="G1532" s="2">
        <v>45785</v>
      </c>
      <c r="H1532" s="2">
        <v>45797</v>
      </c>
      <c r="I1532" t="s">
        <v>5759</v>
      </c>
      <c r="J1532" t="s">
        <v>5771</v>
      </c>
      <c r="K1532">
        <v>261329.47</v>
      </c>
      <c r="L1532" t="s">
        <v>5775</v>
      </c>
      <c r="M1532">
        <v>12</v>
      </c>
    </row>
    <row r="1533" spans="1:13" x14ac:dyDescent="0.25">
      <c r="A1533">
        <v>1532</v>
      </c>
      <c r="B1533" t="s">
        <v>1544</v>
      </c>
      <c r="C1533">
        <v>61</v>
      </c>
      <c r="D1533" t="s">
        <v>2948</v>
      </c>
      <c r="E1533" t="s">
        <v>2952</v>
      </c>
      <c r="F1533" t="s">
        <v>4401</v>
      </c>
      <c r="G1533" s="2">
        <v>45635</v>
      </c>
      <c r="H1533" s="2">
        <v>45643</v>
      </c>
      <c r="I1533" t="s">
        <v>5759</v>
      </c>
      <c r="J1533" t="s">
        <v>5770</v>
      </c>
      <c r="K1533">
        <v>222080.94</v>
      </c>
      <c r="L1533" t="s">
        <v>5774</v>
      </c>
      <c r="M1533">
        <v>8</v>
      </c>
    </row>
    <row r="1534" spans="1:13" x14ac:dyDescent="0.25">
      <c r="A1534">
        <v>1533</v>
      </c>
      <c r="B1534" t="s">
        <v>1545</v>
      </c>
      <c r="C1534">
        <v>33</v>
      </c>
      <c r="D1534" t="s">
        <v>2948</v>
      </c>
      <c r="E1534" t="s">
        <v>2953</v>
      </c>
      <c r="F1534" t="s">
        <v>4402</v>
      </c>
      <c r="G1534" s="2">
        <v>45858</v>
      </c>
      <c r="H1534" s="2">
        <v>45860</v>
      </c>
      <c r="I1534" t="s">
        <v>5760</v>
      </c>
      <c r="J1534" t="s">
        <v>5772</v>
      </c>
      <c r="K1534">
        <v>474938.53</v>
      </c>
      <c r="L1534" t="s">
        <v>5775</v>
      </c>
      <c r="M1534">
        <v>2</v>
      </c>
    </row>
    <row r="1535" spans="1:13" x14ac:dyDescent="0.25">
      <c r="A1535">
        <v>1534</v>
      </c>
      <c r="B1535" t="s">
        <v>1546</v>
      </c>
      <c r="C1535">
        <v>63</v>
      </c>
      <c r="D1535" t="s">
        <v>2948</v>
      </c>
      <c r="E1535" t="s">
        <v>2950</v>
      </c>
      <c r="F1535" t="s">
        <v>4403</v>
      </c>
      <c r="G1535" s="2">
        <v>45614</v>
      </c>
      <c r="H1535" s="2">
        <v>45617</v>
      </c>
      <c r="I1535" t="s">
        <v>5762</v>
      </c>
      <c r="J1535" t="s">
        <v>5771</v>
      </c>
      <c r="K1535">
        <v>419108.73</v>
      </c>
      <c r="L1535" t="s">
        <v>5775</v>
      </c>
      <c r="M1535">
        <v>3</v>
      </c>
    </row>
    <row r="1536" spans="1:13" x14ac:dyDescent="0.25">
      <c r="A1536">
        <v>1535</v>
      </c>
      <c r="B1536" t="s">
        <v>1547</v>
      </c>
      <c r="C1536">
        <v>1</v>
      </c>
      <c r="D1536" t="s">
        <v>2948</v>
      </c>
      <c r="E1536" t="s">
        <v>2954</v>
      </c>
      <c r="F1536" t="s">
        <v>4266</v>
      </c>
      <c r="G1536" s="2">
        <v>45835</v>
      </c>
      <c r="H1536" s="2">
        <v>45845</v>
      </c>
      <c r="I1536" t="s">
        <v>5758</v>
      </c>
      <c r="J1536" t="s">
        <v>5769</v>
      </c>
      <c r="K1536">
        <v>373925.31</v>
      </c>
      <c r="L1536" t="s">
        <v>5775</v>
      </c>
      <c r="M1536">
        <v>10</v>
      </c>
    </row>
    <row r="1537" spans="1:13" x14ac:dyDescent="0.25">
      <c r="A1537">
        <v>1536</v>
      </c>
      <c r="B1537" t="s">
        <v>1548</v>
      </c>
      <c r="C1537">
        <v>80</v>
      </c>
      <c r="D1537" t="s">
        <v>2947</v>
      </c>
      <c r="E1537" t="s">
        <v>2954</v>
      </c>
      <c r="F1537" t="s">
        <v>4404</v>
      </c>
      <c r="G1537" s="2">
        <v>45801</v>
      </c>
      <c r="H1537" s="2">
        <v>45807</v>
      </c>
      <c r="I1537" t="s">
        <v>5766</v>
      </c>
      <c r="J1537" t="s">
        <v>5769</v>
      </c>
      <c r="K1537">
        <v>261896.4</v>
      </c>
      <c r="L1537" t="s">
        <v>5773</v>
      </c>
      <c r="M1537">
        <v>6</v>
      </c>
    </row>
    <row r="1538" spans="1:13" x14ac:dyDescent="0.25">
      <c r="A1538">
        <v>1537</v>
      </c>
      <c r="B1538" t="s">
        <v>1549</v>
      </c>
      <c r="C1538">
        <v>64</v>
      </c>
      <c r="D1538" t="s">
        <v>2948</v>
      </c>
      <c r="E1538" t="s">
        <v>2955</v>
      </c>
      <c r="F1538" t="s">
        <v>4405</v>
      </c>
      <c r="G1538" s="2">
        <v>45679</v>
      </c>
      <c r="H1538" s="2">
        <v>45684</v>
      </c>
      <c r="I1538" t="s">
        <v>5762</v>
      </c>
      <c r="J1538" t="s">
        <v>5771</v>
      </c>
      <c r="K1538">
        <v>418984.2</v>
      </c>
      <c r="L1538" t="s">
        <v>5775</v>
      </c>
      <c r="M1538">
        <v>5</v>
      </c>
    </row>
    <row r="1539" spans="1:13" x14ac:dyDescent="0.25">
      <c r="A1539">
        <v>1538</v>
      </c>
      <c r="B1539" t="s">
        <v>1550</v>
      </c>
      <c r="C1539">
        <v>65</v>
      </c>
      <c r="D1539" t="s">
        <v>2947</v>
      </c>
      <c r="E1539" t="s">
        <v>2951</v>
      </c>
      <c r="F1539" t="s">
        <v>4406</v>
      </c>
      <c r="G1539" s="2">
        <v>45799</v>
      </c>
      <c r="H1539" s="2">
        <v>45805</v>
      </c>
      <c r="I1539" t="s">
        <v>5764</v>
      </c>
      <c r="J1539" t="s">
        <v>5772</v>
      </c>
      <c r="K1539">
        <v>182347</v>
      </c>
      <c r="L1539" t="s">
        <v>5775</v>
      </c>
      <c r="M1539">
        <v>6</v>
      </c>
    </row>
    <row r="1540" spans="1:13" x14ac:dyDescent="0.25">
      <c r="A1540">
        <v>1539</v>
      </c>
      <c r="B1540" t="s">
        <v>1551</v>
      </c>
      <c r="C1540">
        <v>30</v>
      </c>
      <c r="D1540" t="s">
        <v>2948</v>
      </c>
      <c r="E1540" t="s">
        <v>2950</v>
      </c>
      <c r="F1540" t="s">
        <v>4407</v>
      </c>
      <c r="G1540" s="2">
        <v>45668</v>
      </c>
      <c r="H1540" s="2">
        <v>45683</v>
      </c>
      <c r="I1540" t="s">
        <v>5764</v>
      </c>
      <c r="J1540" t="s">
        <v>2949</v>
      </c>
      <c r="K1540">
        <v>186525.44</v>
      </c>
      <c r="L1540" t="s">
        <v>5775</v>
      </c>
      <c r="M1540">
        <v>15</v>
      </c>
    </row>
    <row r="1541" spans="1:13" x14ac:dyDescent="0.25">
      <c r="A1541">
        <v>1540</v>
      </c>
      <c r="B1541" t="s">
        <v>1552</v>
      </c>
      <c r="C1541">
        <v>4</v>
      </c>
      <c r="D1541" t="s">
        <v>2948</v>
      </c>
      <c r="E1541" t="s">
        <v>2954</v>
      </c>
      <c r="F1541" t="s">
        <v>4408</v>
      </c>
      <c r="G1541" s="2">
        <v>45667</v>
      </c>
      <c r="H1541" s="2">
        <v>45669</v>
      </c>
      <c r="I1541" t="s">
        <v>5759</v>
      </c>
      <c r="J1541" t="s">
        <v>5769</v>
      </c>
      <c r="K1541">
        <v>384211.20000000001</v>
      </c>
      <c r="L1541" t="s">
        <v>5773</v>
      </c>
      <c r="M1541">
        <v>2</v>
      </c>
    </row>
    <row r="1542" spans="1:13" x14ac:dyDescent="0.25">
      <c r="A1542">
        <v>1541</v>
      </c>
      <c r="B1542" t="s">
        <v>1553</v>
      </c>
      <c r="C1542">
        <v>57</v>
      </c>
      <c r="D1542" t="s">
        <v>2947</v>
      </c>
      <c r="E1542" t="s">
        <v>2949</v>
      </c>
      <c r="F1542" t="s">
        <v>4409</v>
      </c>
      <c r="G1542" s="2">
        <v>45692</v>
      </c>
      <c r="H1542" s="2">
        <v>45704</v>
      </c>
      <c r="I1542" t="s">
        <v>5766</v>
      </c>
      <c r="J1542" t="s">
        <v>5771</v>
      </c>
      <c r="K1542">
        <v>189862.2</v>
      </c>
      <c r="L1542" t="s">
        <v>5775</v>
      </c>
      <c r="M1542">
        <v>12</v>
      </c>
    </row>
    <row r="1543" spans="1:13" x14ac:dyDescent="0.25">
      <c r="A1543">
        <v>1542</v>
      </c>
      <c r="B1543" t="s">
        <v>1554</v>
      </c>
      <c r="C1543">
        <v>54</v>
      </c>
      <c r="D1543" t="s">
        <v>2947</v>
      </c>
      <c r="E1543" t="s">
        <v>2949</v>
      </c>
      <c r="F1543" t="s">
        <v>4410</v>
      </c>
      <c r="G1543" s="2">
        <v>45787</v>
      </c>
      <c r="H1543" s="2">
        <v>45788</v>
      </c>
      <c r="I1543" t="s">
        <v>5761</v>
      </c>
      <c r="J1543" t="s">
        <v>5770</v>
      </c>
      <c r="K1543">
        <v>123116.61</v>
      </c>
      <c r="L1543" t="s">
        <v>5774</v>
      </c>
      <c r="M1543">
        <v>1</v>
      </c>
    </row>
    <row r="1544" spans="1:13" x14ac:dyDescent="0.25">
      <c r="A1544">
        <v>1543</v>
      </c>
      <c r="B1544" t="s">
        <v>1555</v>
      </c>
      <c r="C1544">
        <v>22</v>
      </c>
      <c r="D1544" t="s">
        <v>2947</v>
      </c>
      <c r="E1544" t="s">
        <v>2953</v>
      </c>
      <c r="F1544" t="s">
        <v>4411</v>
      </c>
      <c r="G1544" s="2">
        <v>45666</v>
      </c>
      <c r="H1544" s="2">
        <v>45678</v>
      </c>
      <c r="I1544" t="s">
        <v>5763</v>
      </c>
      <c r="J1544" t="s">
        <v>5771</v>
      </c>
      <c r="K1544">
        <v>404027.61</v>
      </c>
      <c r="L1544" t="s">
        <v>5773</v>
      </c>
      <c r="M1544">
        <v>12</v>
      </c>
    </row>
    <row r="1545" spans="1:13" x14ac:dyDescent="0.25">
      <c r="A1545">
        <v>1544</v>
      </c>
      <c r="B1545" t="s">
        <v>1556</v>
      </c>
      <c r="C1545">
        <v>26</v>
      </c>
      <c r="D1545" t="s">
        <v>2948</v>
      </c>
      <c r="E1545" t="s">
        <v>2951</v>
      </c>
      <c r="F1545" t="s">
        <v>4412</v>
      </c>
      <c r="G1545" s="2">
        <v>45622</v>
      </c>
      <c r="H1545" s="2">
        <v>45629</v>
      </c>
      <c r="I1545" t="s">
        <v>5760</v>
      </c>
      <c r="J1545" t="s">
        <v>5768</v>
      </c>
      <c r="K1545">
        <v>246881.35</v>
      </c>
      <c r="L1545" t="s">
        <v>5774</v>
      </c>
      <c r="M1545">
        <v>7</v>
      </c>
    </row>
    <row r="1546" spans="1:13" x14ac:dyDescent="0.25">
      <c r="A1546">
        <v>1545</v>
      </c>
      <c r="B1546" t="s">
        <v>1557</v>
      </c>
      <c r="C1546">
        <v>6</v>
      </c>
      <c r="D1546" t="s">
        <v>2947</v>
      </c>
      <c r="E1546" t="s">
        <v>2949</v>
      </c>
      <c r="F1546" t="s">
        <v>4413</v>
      </c>
      <c r="G1546" s="2">
        <v>45879</v>
      </c>
      <c r="H1546" s="2">
        <v>45886</v>
      </c>
      <c r="I1546" t="s">
        <v>5758</v>
      </c>
      <c r="J1546" t="s">
        <v>5771</v>
      </c>
      <c r="K1546">
        <v>324903.65999999997</v>
      </c>
      <c r="L1546" t="s">
        <v>5775</v>
      </c>
      <c r="M1546">
        <v>7</v>
      </c>
    </row>
    <row r="1547" spans="1:13" x14ac:dyDescent="0.25">
      <c r="A1547">
        <v>1546</v>
      </c>
      <c r="B1547" t="s">
        <v>1558</v>
      </c>
      <c r="C1547">
        <v>68</v>
      </c>
      <c r="D1547" t="s">
        <v>2947</v>
      </c>
      <c r="E1547" t="s">
        <v>2949</v>
      </c>
      <c r="F1547" t="s">
        <v>4414</v>
      </c>
      <c r="G1547" s="2">
        <v>45690</v>
      </c>
      <c r="H1547" s="2">
        <v>45696</v>
      </c>
      <c r="I1547" t="s">
        <v>5758</v>
      </c>
      <c r="J1547" t="s">
        <v>2949</v>
      </c>
      <c r="K1547">
        <v>202190.97</v>
      </c>
      <c r="L1547" t="s">
        <v>5775</v>
      </c>
      <c r="M1547">
        <v>6</v>
      </c>
    </row>
    <row r="1548" spans="1:13" x14ac:dyDescent="0.25">
      <c r="A1548">
        <v>1547</v>
      </c>
      <c r="B1548" t="s">
        <v>1559</v>
      </c>
      <c r="C1548">
        <v>60</v>
      </c>
      <c r="D1548" t="s">
        <v>2947</v>
      </c>
      <c r="E1548" t="s">
        <v>2955</v>
      </c>
      <c r="F1548" t="s">
        <v>4415</v>
      </c>
      <c r="G1548" s="2">
        <v>45640</v>
      </c>
      <c r="H1548" s="2">
        <v>45644</v>
      </c>
      <c r="I1548" t="s">
        <v>5759</v>
      </c>
      <c r="J1548" t="s">
        <v>5769</v>
      </c>
      <c r="K1548">
        <v>47320.06</v>
      </c>
      <c r="L1548" t="s">
        <v>5774</v>
      </c>
      <c r="M1548">
        <v>4</v>
      </c>
    </row>
    <row r="1549" spans="1:13" x14ac:dyDescent="0.25">
      <c r="A1549">
        <v>1548</v>
      </c>
      <c r="B1549" t="s">
        <v>1560</v>
      </c>
      <c r="C1549">
        <v>70</v>
      </c>
      <c r="D1549" t="s">
        <v>2947</v>
      </c>
      <c r="E1549" t="s">
        <v>2955</v>
      </c>
      <c r="F1549" t="s">
        <v>4416</v>
      </c>
      <c r="G1549" s="2">
        <v>45699</v>
      </c>
      <c r="H1549" s="2">
        <v>45706</v>
      </c>
      <c r="I1549" t="s">
        <v>5760</v>
      </c>
      <c r="J1549" t="s">
        <v>5768</v>
      </c>
      <c r="K1549">
        <v>50513.27</v>
      </c>
      <c r="L1549" t="s">
        <v>5775</v>
      </c>
      <c r="M1549">
        <v>7</v>
      </c>
    </row>
    <row r="1550" spans="1:13" x14ac:dyDescent="0.25">
      <c r="A1550">
        <v>1549</v>
      </c>
      <c r="B1550" t="s">
        <v>1561</v>
      </c>
      <c r="C1550">
        <v>33</v>
      </c>
      <c r="D1550" t="s">
        <v>2948</v>
      </c>
      <c r="E1550" t="s">
        <v>2950</v>
      </c>
      <c r="F1550" t="s">
        <v>4417</v>
      </c>
      <c r="G1550" s="2">
        <v>45833</v>
      </c>
      <c r="H1550" s="2">
        <v>45836</v>
      </c>
      <c r="I1550" t="s">
        <v>5764</v>
      </c>
      <c r="J1550" t="s">
        <v>5769</v>
      </c>
      <c r="K1550">
        <v>128267.83</v>
      </c>
      <c r="L1550" t="s">
        <v>5775</v>
      </c>
      <c r="M1550">
        <v>3</v>
      </c>
    </row>
    <row r="1551" spans="1:13" x14ac:dyDescent="0.25">
      <c r="A1551">
        <v>1550</v>
      </c>
      <c r="B1551" t="s">
        <v>1562</v>
      </c>
      <c r="C1551">
        <v>55</v>
      </c>
      <c r="D1551" t="s">
        <v>2948</v>
      </c>
      <c r="E1551" t="s">
        <v>2951</v>
      </c>
      <c r="F1551" t="s">
        <v>4418</v>
      </c>
      <c r="G1551" s="2">
        <v>45609</v>
      </c>
      <c r="H1551" s="2">
        <v>45611</v>
      </c>
      <c r="I1551" t="s">
        <v>5759</v>
      </c>
      <c r="J1551" t="s">
        <v>5769</v>
      </c>
      <c r="K1551">
        <v>121598.14</v>
      </c>
      <c r="L1551" t="s">
        <v>5775</v>
      </c>
      <c r="M1551">
        <v>2</v>
      </c>
    </row>
    <row r="1552" spans="1:13" x14ac:dyDescent="0.25">
      <c r="A1552">
        <v>1551</v>
      </c>
      <c r="B1552" t="s">
        <v>1563</v>
      </c>
      <c r="C1552">
        <v>52</v>
      </c>
      <c r="D1552" t="s">
        <v>2947</v>
      </c>
      <c r="E1552" t="s">
        <v>2954</v>
      </c>
      <c r="F1552" t="s">
        <v>2615</v>
      </c>
      <c r="G1552" s="2">
        <v>45782</v>
      </c>
      <c r="H1552" s="2">
        <v>45789</v>
      </c>
      <c r="I1552" t="s">
        <v>5765</v>
      </c>
      <c r="J1552" t="s">
        <v>5768</v>
      </c>
      <c r="K1552">
        <v>89619.7</v>
      </c>
      <c r="L1552" t="s">
        <v>5774</v>
      </c>
      <c r="M1552">
        <v>7</v>
      </c>
    </row>
    <row r="1553" spans="1:13" x14ac:dyDescent="0.25">
      <c r="A1553">
        <v>1552</v>
      </c>
      <c r="B1553" t="s">
        <v>1564</v>
      </c>
      <c r="C1553">
        <v>14</v>
      </c>
      <c r="D1553" t="s">
        <v>2948</v>
      </c>
      <c r="E1553" t="s">
        <v>2952</v>
      </c>
      <c r="F1553" t="s">
        <v>4419</v>
      </c>
      <c r="G1553" s="2">
        <v>45614</v>
      </c>
      <c r="H1553" s="2">
        <v>45616</v>
      </c>
      <c r="I1553" t="s">
        <v>5766</v>
      </c>
      <c r="J1553" t="s">
        <v>5769</v>
      </c>
      <c r="K1553">
        <v>242688.61</v>
      </c>
      <c r="L1553" t="s">
        <v>5774</v>
      </c>
      <c r="M1553">
        <v>2</v>
      </c>
    </row>
    <row r="1554" spans="1:13" x14ac:dyDescent="0.25">
      <c r="A1554">
        <v>1553</v>
      </c>
      <c r="B1554" t="s">
        <v>1565</v>
      </c>
      <c r="C1554">
        <v>12</v>
      </c>
      <c r="D1554" t="s">
        <v>2948</v>
      </c>
      <c r="E1554" t="s">
        <v>2950</v>
      </c>
      <c r="F1554" t="s">
        <v>4420</v>
      </c>
      <c r="G1554" s="2">
        <v>45835</v>
      </c>
      <c r="H1554" s="2">
        <v>45843</v>
      </c>
      <c r="I1554" t="s">
        <v>5761</v>
      </c>
      <c r="J1554" t="s">
        <v>2949</v>
      </c>
      <c r="K1554">
        <v>169166.37</v>
      </c>
      <c r="L1554" t="s">
        <v>5775</v>
      </c>
      <c r="M1554">
        <v>8</v>
      </c>
    </row>
    <row r="1555" spans="1:13" x14ac:dyDescent="0.25">
      <c r="A1555">
        <v>1554</v>
      </c>
      <c r="B1555" t="s">
        <v>1566</v>
      </c>
      <c r="C1555">
        <v>1</v>
      </c>
      <c r="D1555" t="s">
        <v>2947</v>
      </c>
      <c r="E1555" t="s">
        <v>2949</v>
      </c>
      <c r="F1555" t="s">
        <v>4421</v>
      </c>
      <c r="G1555" s="2">
        <v>45781</v>
      </c>
      <c r="H1555" s="2">
        <v>45792</v>
      </c>
      <c r="I1555" t="s">
        <v>5759</v>
      </c>
      <c r="J1555" t="s">
        <v>5772</v>
      </c>
      <c r="K1555">
        <v>60462.67</v>
      </c>
      <c r="L1555" t="s">
        <v>5775</v>
      </c>
      <c r="M1555">
        <v>11</v>
      </c>
    </row>
    <row r="1556" spans="1:13" x14ac:dyDescent="0.25">
      <c r="A1556">
        <v>1555</v>
      </c>
      <c r="B1556" t="s">
        <v>1567</v>
      </c>
      <c r="C1556">
        <v>10</v>
      </c>
      <c r="D1556" t="s">
        <v>2948</v>
      </c>
      <c r="E1556" t="s">
        <v>2952</v>
      </c>
      <c r="F1556" t="s">
        <v>4422</v>
      </c>
      <c r="G1556" s="2">
        <v>45884</v>
      </c>
      <c r="H1556" s="2">
        <v>45897</v>
      </c>
      <c r="I1556" t="s">
        <v>5759</v>
      </c>
      <c r="J1556" t="s">
        <v>5770</v>
      </c>
      <c r="K1556">
        <v>36684.199999999997</v>
      </c>
      <c r="L1556" t="s">
        <v>5773</v>
      </c>
      <c r="M1556">
        <v>13</v>
      </c>
    </row>
    <row r="1557" spans="1:13" x14ac:dyDescent="0.25">
      <c r="A1557">
        <v>1556</v>
      </c>
      <c r="B1557" t="s">
        <v>1568</v>
      </c>
      <c r="C1557">
        <v>19</v>
      </c>
      <c r="D1557" t="s">
        <v>2947</v>
      </c>
      <c r="E1557" t="s">
        <v>2952</v>
      </c>
      <c r="F1557" t="s">
        <v>4423</v>
      </c>
      <c r="G1557" s="2">
        <v>45656</v>
      </c>
      <c r="H1557" s="2">
        <v>45666</v>
      </c>
      <c r="I1557" t="s">
        <v>5766</v>
      </c>
      <c r="J1557" t="s">
        <v>5772</v>
      </c>
      <c r="K1557">
        <v>63680.66</v>
      </c>
      <c r="L1557" t="s">
        <v>5775</v>
      </c>
      <c r="M1557">
        <v>10</v>
      </c>
    </row>
    <row r="1558" spans="1:13" x14ac:dyDescent="0.25">
      <c r="A1558">
        <v>1557</v>
      </c>
      <c r="B1558" t="s">
        <v>1569</v>
      </c>
      <c r="C1558">
        <v>26</v>
      </c>
      <c r="D1558" t="s">
        <v>2948</v>
      </c>
      <c r="E1558" t="s">
        <v>2953</v>
      </c>
      <c r="F1558" t="s">
        <v>4424</v>
      </c>
      <c r="G1558" s="2">
        <v>45690</v>
      </c>
      <c r="H1558" s="2">
        <v>45700</v>
      </c>
      <c r="I1558" t="s">
        <v>5767</v>
      </c>
      <c r="J1558" t="s">
        <v>5768</v>
      </c>
      <c r="K1558">
        <v>372546.74</v>
      </c>
      <c r="L1558" t="s">
        <v>5775</v>
      </c>
      <c r="M1558">
        <v>10</v>
      </c>
    </row>
    <row r="1559" spans="1:13" x14ac:dyDescent="0.25">
      <c r="A1559">
        <v>1558</v>
      </c>
      <c r="B1559" t="s">
        <v>1570</v>
      </c>
      <c r="C1559">
        <v>50</v>
      </c>
      <c r="D1559" t="s">
        <v>2947</v>
      </c>
      <c r="E1559" t="s">
        <v>2952</v>
      </c>
      <c r="F1559" t="s">
        <v>2800</v>
      </c>
      <c r="G1559" s="2">
        <v>45605</v>
      </c>
      <c r="H1559" s="2">
        <v>45608</v>
      </c>
      <c r="I1559" t="s">
        <v>5766</v>
      </c>
      <c r="J1559" t="s">
        <v>2949</v>
      </c>
      <c r="K1559">
        <v>27380.85</v>
      </c>
      <c r="L1559" t="s">
        <v>5773</v>
      </c>
      <c r="M1559">
        <v>3</v>
      </c>
    </row>
    <row r="1560" spans="1:13" x14ac:dyDescent="0.25">
      <c r="A1560">
        <v>1559</v>
      </c>
      <c r="B1560" t="s">
        <v>1571</v>
      </c>
      <c r="C1560">
        <v>61</v>
      </c>
      <c r="D1560" t="s">
        <v>2948</v>
      </c>
      <c r="E1560" t="s">
        <v>2953</v>
      </c>
      <c r="F1560" t="s">
        <v>4425</v>
      </c>
      <c r="G1560" s="2">
        <v>45835</v>
      </c>
      <c r="H1560" s="2">
        <v>45836</v>
      </c>
      <c r="I1560" t="s">
        <v>5759</v>
      </c>
      <c r="J1560" t="s">
        <v>5770</v>
      </c>
      <c r="K1560">
        <v>42335.24</v>
      </c>
      <c r="L1560" t="s">
        <v>5774</v>
      </c>
      <c r="M1560">
        <v>1</v>
      </c>
    </row>
    <row r="1561" spans="1:13" x14ac:dyDescent="0.25">
      <c r="A1561">
        <v>1560</v>
      </c>
      <c r="B1561" t="s">
        <v>1572</v>
      </c>
      <c r="C1561">
        <v>22</v>
      </c>
      <c r="D1561" t="s">
        <v>2948</v>
      </c>
      <c r="E1561" t="s">
        <v>2952</v>
      </c>
      <c r="F1561" t="s">
        <v>4426</v>
      </c>
      <c r="G1561" s="2">
        <v>45661</v>
      </c>
      <c r="H1561" s="2">
        <v>45673</v>
      </c>
      <c r="I1561" t="s">
        <v>5766</v>
      </c>
      <c r="J1561" t="s">
        <v>5769</v>
      </c>
      <c r="K1561">
        <v>236121.19</v>
      </c>
      <c r="L1561" t="s">
        <v>5774</v>
      </c>
      <c r="M1561">
        <v>12</v>
      </c>
    </row>
    <row r="1562" spans="1:13" x14ac:dyDescent="0.25">
      <c r="A1562">
        <v>1561</v>
      </c>
      <c r="B1562" t="s">
        <v>1573</v>
      </c>
      <c r="C1562">
        <v>12</v>
      </c>
      <c r="D1562" t="s">
        <v>2948</v>
      </c>
      <c r="E1562" t="s">
        <v>2952</v>
      </c>
      <c r="F1562" t="s">
        <v>4427</v>
      </c>
      <c r="G1562" s="2">
        <v>45597</v>
      </c>
      <c r="H1562" s="2">
        <v>45604</v>
      </c>
      <c r="I1562" t="s">
        <v>5759</v>
      </c>
      <c r="J1562" t="s">
        <v>5770</v>
      </c>
      <c r="K1562">
        <v>283722.11</v>
      </c>
      <c r="L1562" t="s">
        <v>5773</v>
      </c>
      <c r="M1562">
        <v>7</v>
      </c>
    </row>
    <row r="1563" spans="1:13" x14ac:dyDescent="0.25">
      <c r="A1563">
        <v>1562</v>
      </c>
      <c r="B1563" t="s">
        <v>1574</v>
      </c>
      <c r="C1563">
        <v>15</v>
      </c>
      <c r="D1563" t="s">
        <v>2947</v>
      </c>
      <c r="E1563" t="s">
        <v>2951</v>
      </c>
      <c r="F1563" t="s">
        <v>4428</v>
      </c>
      <c r="G1563" s="2">
        <v>45600</v>
      </c>
      <c r="H1563" s="2">
        <v>45614</v>
      </c>
      <c r="I1563" t="s">
        <v>5764</v>
      </c>
      <c r="J1563" t="s">
        <v>5770</v>
      </c>
      <c r="K1563">
        <v>322545.57</v>
      </c>
      <c r="L1563" t="s">
        <v>5775</v>
      </c>
      <c r="M1563">
        <v>14</v>
      </c>
    </row>
    <row r="1564" spans="1:13" x14ac:dyDescent="0.25">
      <c r="A1564">
        <v>1563</v>
      </c>
      <c r="B1564" t="s">
        <v>1575</v>
      </c>
      <c r="C1564">
        <v>38</v>
      </c>
      <c r="D1564" t="s">
        <v>2948</v>
      </c>
      <c r="E1564" t="s">
        <v>2953</v>
      </c>
      <c r="F1564" t="s">
        <v>4429</v>
      </c>
      <c r="G1564" s="2">
        <v>45574</v>
      </c>
      <c r="H1564" s="2">
        <v>45587</v>
      </c>
      <c r="I1564" t="s">
        <v>5761</v>
      </c>
      <c r="J1564" t="s">
        <v>5771</v>
      </c>
      <c r="K1564">
        <v>445573.24</v>
      </c>
      <c r="L1564" t="s">
        <v>5775</v>
      </c>
      <c r="M1564">
        <v>13</v>
      </c>
    </row>
    <row r="1565" spans="1:13" x14ac:dyDescent="0.25">
      <c r="A1565">
        <v>1564</v>
      </c>
      <c r="B1565" t="s">
        <v>1576</v>
      </c>
      <c r="C1565">
        <v>73</v>
      </c>
      <c r="D1565" t="s">
        <v>2947</v>
      </c>
      <c r="E1565" t="s">
        <v>2950</v>
      </c>
      <c r="F1565" t="s">
        <v>4430</v>
      </c>
      <c r="G1565" s="2">
        <v>45779</v>
      </c>
      <c r="H1565" s="2">
        <v>45788</v>
      </c>
      <c r="I1565" t="s">
        <v>5762</v>
      </c>
      <c r="J1565" t="s">
        <v>2949</v>
      </c>
      <c r="K1565">
        <v>66935.839999999997</v>
      </c>
      <c r="L1565" t="s">
        <v>5775</v>
      </c>
      <c r="M1565">
        <v>9</v>
      </c>
    </row>
    <row r="1566" spans="1:13" x14ac:dyDescent="0.25">
      <c r="A1566">
        <v>1565</v>
      </c>
      <c r="B1566" t="s">
        <v>1577</v>
      </c>
      <c r="C1566">
        <v>67</v>
      </c>
      <c r="D1566" t="s">
        <v>2948</v>
      </c>
      <c r="E1566" t="s">
        <v>2949</v>
      </c>
      <c r="F1566" t="s">
        <v>4431</v>
      </c>
      <c r="G1566" s="2">
        <v>45806</v>
      </c>
      <c r="H1566" s="2">
        <v>45818</v>
      </c>
      <c r="I1566" t="s">
        <v>5759</v>
      </c>
      <c r="J1566" t="s">
        <v>5772</v>
      </c>
      <c r="K1566">
        <v>101553.07</v>
      </c>
      <c r="L1566" t="s">
        <v>5775</v>
      </c>
      <c r="M1566">
        <v>12</v>
      </c>
    </row>
    <row r="1567" spans="1:13" x14ac:dyDescent="0.25">
      <c r="A1567">
        <v>1566</v>
      </c>
      <c r="B1567" t="s">
        <v>1578</v>
      </c>
      <c r="C1567">
        <v>66</v>
      </c>
      <c r="D1567" t="s">
        <v>2948</v>
      </c>
      <c r="E1567" t="s">
        <v>2955</v>
      </c>
      <c r="F1567" t="s">
        <v>4432</v>
      </c>
      <c r="G1567" s="2">
        <v>45865</v>
      </c>
      <c r="H1567" s="2">
        <v>45868</v>
      </c>
      <c r="I1567" t="s">
        <v>5762</v>
      </c>
      <c r="J1567" t="s">
        <v>5770</v>
      </c>
      <c r="K1567">
        <v>121199.45</v>
      </c>
      <c r="L1567" t="s">
        <v>5774</v>
      </c>
      <c r="M1567">
        <v>3</v>
      </c>
    </row>
    <row r="1568" spans="1:13" x14ac:dyDescent="0.25">
      <c r="A1568">
        <v>1567</v>
      </c>
      <c r="B1568" t="s">
        <v>1579</v>
      </c>
      <c r="C1568">
        <v>59</v>
      </c>
      <c r="D1568" t="s">
        <v>2948</v>
      </c>
      <c r="E1568" t="s">
        <v>2952</v>
      </c>
      <c r="F1568" t="s">
        <v>4433</v>
      </c>
      <c r="G1568" s="2">
        <v>45660</v>
      </c>
      <c r="H1568" s="2">
        <v>45661</v>
      </c>
      <c r="I1568" t="s">
        <v>5763</v>
      </c>
      <c r="J1568" t="s">
        <v>5772</v>
      </c>
      <c r="K1568">
        <v>125896.22</v>
      </c>
      <c r="L1568" t="s">
        <v>5773</v>
      </c>
      <c r="M1568">
        <v>1</v>
      </c>
    </row>
    <row r="1569" spans="1:13" x14ac:dyDescent="0.25">
      <c r="A1569">
        <v>1568</v>
      </c>
      <c r="B1569" t="s">
        <v>1580</v>
      </c>
      <c r="C1569">
        <v>20</v>
      </c>
      <c r="D1569" t="s">
        <v>2947</v>
      </c>
      <c r="E1569" t="s">
        <v>2953</v>
      </c>
      <c r="F1569" t="s">
        <v>4434</v>
      </c>
      <c r="G1569" s="2">
        <v>45699</v>
      </c>
      <c r="H1569" s="2">
        <v>45714</v>
      </c>
      <c r="I1569" t="s">
        <v>5767</v>
      </c>
      <c r="J1569" t="s">
        <v>5772</v>
      </c>
      <c r="K1569">
        <v>258578.82</v>
      </c>
      <c r="L1569" t="s">
        <v>5775</v>
      </c>
      <c r="M1569">
        <v>15</v>
      </c>
    </row>
    <row r="1570" spans="1:13" x14ac:dyDescent="0.25">
      <c r="A1570">
        <v>1569</v>
      </c>
      <c r="B1570" t="s">
        <v>1581</v>
      </c>
      <c r="C1570">
        <v>47</v>
      </c>
      <c r="D1570" t="s">
        <v>2947</v>
      </c>
      <c r="E1570" t="s">
        <v>2950</v>
      </c>
      <c r="F1570" t="s">
        <v>4435</v>
      </c>
      <c r="G1570" s="2">
        <v>45763</v>
      </c>
      <c r="H1570" s="2">
        <v>45766</v>
      </c>
      <c r="I1570" t="s">
        <v>5758</v>
      </c>
      <c r="J1570" t="s">
        <v>5770</v>
      </c>
      <c r="K1570">
        <v>80196.44</v>
      </c>
      <c r="L1570" t="s">
        <v>5773</v>
      </c>
      <c r="M1570">
        <v>3</v>
      </c>
    </row>
    <row r="1571" spans="1:13" x14ac:dyDescent="0.25">
      <c r="A1571">
        <v>1570</v>
      </c>
      <c r="B1571" t="s">
        <v>1582</v>
      </c>
      <c r="C1571">
        <v>29</v>
      </c>
      <c r="D1571" t="s">
        <v>2948</v>
      </c>
      <c r="E1571" t="s">
        <v>2955</v>
      </c>
      <c r="F1571" t="s">
        <v>4436</v>
      </c>
      <c r="G1571" s="2">
        <v>45894</v>
      </c>
      <c r="H1571" s="2">
        <v>45908</v>
      </c>
      <c r="I1571" t="s">
        <v>5759</v>
      </c>
      <c r="J1571" t="s">
        <v>5771</v>
      </c>
      <c r="K1571">
        <v>105811.23</v>
      </c>
      <c r="L1571" t="s">
        <v>5774</v>
      </c>
      <c r="M1571">
        <v>14</v>
      </c>
    </row>
    <row r="1572" spans="1:13" x14ac:dyDescent="0.25">
      <c r="A1572">
        <v>1571</v>
      </c>
      <c r="B1572" t="s">
        <v>1583</v>
      </c>
      <c r="C1572">
        <v>35</v>
      </c>
      <c r="D1572" t="s">
        <v>2948</v>
      </c>
      <c r="E1572" t="s">
        <v>2953</v>
      </c>
      <c r="F1572" t="s">
        <v>4437</v>
      </c>
      <c r="G1572" s="2">
        <v>45886</v>
      </c>
      <c r="H1572" s="2">
        <v>45901</v>
      </c>
      <c r="I1572" t="s">
        <v>5765</v>
      </c>
      <c r="J1572" t="s">
        <v>5770</v>
      </c>
      <c r="K1572">
        <v>469862.25</v>
      </c>
      <c r="L1572" t="s">
        <v>5773</v>
      </c>
      <c r="M1572">
        <v>15</v>
      </c>
    </row>
    <row r="1573" spans="1:13" x14ac:dyDescent="0.25">
      <c r="A1573">
        <v>1572</v>
      </c>
      <c r="B1573" t="s">
        <v>1584</v>
      </c>
      <c r="C1573">
        <v>43</v>
      </c>
      <c r="D1573" t="s">
        <v>2947</v>
      </c>
      <c r="E1573" t="s">
        <v>2951</v>
      </c>
      <c r="F1573" t="s">
        <v>4438</v>
      </c>
      <c r="G1573" s="2">
        <v>45633</v>
      </c>
      <c r="H1573" s="2">
        <v>45638</v>
      </c>
      <c r="I1573" t="s">
        <v>5758</v>
      </c>
      <c r="J1573" t="s">
        <v>2949</v>
      </c>
      <c r="K1573">
        <v>154658.37</v>
      </c>
      <c r="L1573" t="s">
        <v>5773</v>
      </c>
      <c r="M1573">
        <v>5</v>
      </c>
    </row>
    <row r="1574" spans="1:13" x14ac:dyDescent="0.25">
      <c r="A1574">
        <v>1573</v>
      </c>
      <c r="B1574" t="s">
        <v>1585</v>
      </c>
      <c r="C1574">
        <v>81</v>
      </c>
      <c r="D1574" t="s">
        <v>2948</v>
      </c>
      <c r="E1574" t="s">
        <v>2950</v>
      </c>
      <c r="F1574" t="s">
        <v>4439</v>
      </c>
      <c r="G1574" s="2">
        <v>45826</v>
      </c>
      <c r="H1574" s="2">
        <v>45838</v>
      </c>
      <c r="I1574" t="s">
        <v>5760</v>
      </c>
      <c r="J1574" t="s">
        <v>5772</v>
      </c>
      <c r="K1574">
        <v>303280.5</v>
      </c>
      <c r="L1574" t="s">
        <v>5773</v>
      </c>
      <c r="M1574">
        <v>12</v>
      </c>
    </row>
    <row r="1575" spans="1:13" x14ac:dyDescent="0.25">
      <c r="A1575">
        <v>1574</v>
      </c>
      <c r="B1575" t="s">
        <v>1586</v>
      </c>
      <c r="C1575">
        <v>38</v>
      </c>
      <c r="D1575" t="s">
        <v>2948</v>
      </c>
      <c r="E1575" t="s">
        <v>2952</v>
      </c>
      <c r="F1575" t="s">
        <v>4440</v>
      </c>
      <c r="G1575" s="2">
        <v>45592</v>
      </c>
      <c r="H1575" s="2">
        <v>45599</v>
      </c>
      <c r="I1575" t="s">
        <v>5763</v>
      </c>
      <c r="J1575" t="s">
        <v>5770</v>
      </c>
      <c r="K1575">
        <v>382011</v>
      </c>
      <c r="L1575" t="s">
        <v>5773</v>
      </c>
      <c r="M1575">
        <v>7</v>
      </c>
    </row>
    <row r="1576" spans="1:13" x14ac:dyDescent="0.25">
      <c r="A1576">
        <v>1575</v>
      </c>
      <c r="B1576" t="s">
        <v>1587</v>
      </c>
      <c r="C1576">
        <v>72</v>
      </c>
      <c r="D1576" t="s">
        <v>2947</v>
      </c>
      <c r="E1576" t="s">
        <v>2952</v>
      </c>
      <c r="F1576" t="s">
        <v>4441</v>
      </c>
      <c r="G1576" s="2">
        <v>45796</v>
      </c>
      <c r="H1576" s="2">
        <v>45799</v>
      </c>
      <c r="I1576" t="s">
        <v>5763</v>
      </c>
      <c r="J1576" t="s">
        <v>5771</v>
      </c>
      <c r="K1576">
        <v>95332.71</v>
      </c>
      <c r="L1576" t="s">
        <v>5774</v>
      </c>
      <c r="M1576">
        <v>3</v>
      </c>
    </row>
    <row r="1577" spans="1:13" x14ac:dyDescent="0.25">
      <c r="A1577">
        <v>1576</v>
      </c>
      <c r="B1577" t="s">
        <v>1588</v>
      </c>
      <c r="C1577">
        <v>61</v>
      </c>
      <c r="D1577" t="s">
        <v>2947</v>
      </c>
      <c r="E1577" t="s">
        <v>2951</v>
      </c>
      <c r="F1577" t="s">
        <v>4442</v>
      </c>
      <c r="G1577" s="2">
        <v>45874</v>
      </c>
      <c r="H1577" s="2">
        <v>45878</v>
      </c>
      <c r="I1577" t="s">
        <v>5767</v>
      </c>
      <c r="J1577" t="s">
        <v>5769</v>
      </c>
      <c r="K1577">
        <v>61851.53</v>
      </c>
      <c r="L1577" t="s">
        <v>5775</v>
      </c>
      <c r="M1577">
        <v>4</v>
      </c>
    </row>
    <row r="1578" spans="1:13" x14ac:dyDescent="0.25">
      <c r="A1578">
        <v>1577</v>
      </c>
      <c r="B1578" t="s">
        <v>1589</v>
      </c>
      <c r="C1578">
        <v>72</v>
      </c>
      <c r="D1578" t="s">
        <v>2947</v>
      </c>
      <c r="E1578" t="s">
        <v>2951</v>
      </c>
      <c r="F1578" t="s">
        <v>4443</v>
      </c>
      <c r="G1578" s="2">
        <v>45762</v>
      </c>
      <c r="H1578" s="2">
        <v>45768</v>
      </c>
      <c r="I1578" t="s">
        <v>5759</v>
      </c>
      <c r="J1578" t="s">
        <v>2949</v>
      </c>
      <c r="K1578">
        <v>453934.21</v>
      </c>
      <c r="L1578" t="s">
        <v>5774</v>
      </c>
      <c r="M1578">
        <v>6</v>
      </c>
    </row>
    <row r="1579" spans="1:13" x14ac:dyDescent="0.25">
      <c r="A1579">
        <v>1578</v>
      </c>
      <c r="B1579" t="s">
        <v>1590</v>
      </c>
      <c r="C1579">
        <v>67</v>
      </c>
      <c r="D1579" t="s">
        <v>2947</v>
      </c>
      <c r="E1579" t="s">
        <v>2952</v>
      </c>
      <c r="F1579" t="s">
        <v>4444</v>
      </c>
      <c r="G1579" s="2">
        <v>45623</v>
      </c>
      <c r="H1579" s="2">
        <v>45624</v>
      </c>
      <c r="I1579" t="s">
        <v>5760</v>
      </c>
      <c r="J1579" t="s">
        <v>5768</v>
      </c>
      <c r="K1579">
        <v>383189.22</v>
      </c>
      <c r="L1579" t="s">
        <v>5773</v>
      </c>
      <c r="M1579">
        <v>1</v>
      </c>
    </row>
    <row r="1580" spans="1:13" x14ac:dyDescent="0.25">
      <c r="A1580">
        <v>1579</v>
      </c>
      <c r="B1580" t="s">
        <v>1591</v>
      </c>
      <c r="C1580">
        <v>46</v>
      </c>
      <c r="D1580" t="s">
        <v>2947</v>
      </c>
      <c r="E1580" t="s">
        <v>2952</v>
      </c>
      <c r="F1580" t="s">
        <v>936</v>
      </c>
      <c r="G1580" s="2">
        <v>45694</v>
      </c>
      <c r="H1580" s="2">
        <v>45704</v>
      </c>
      <c r="I1580" t="s">
        <v>5759</v>
      </c>
      <c r="J1580" t="s">
        <v>5772</v>
      </c>
      <c r="K1580">
        <v>126686.64</v>
      </c>
      <c r="L1580" t="s">
        <v>5775</v>
      </c>
      <c r="M1580">
        <v>10</v>
      </c>
    </row>
    <row r="1581" spans="1:13" x14ac:dyDescent="0.25">
      <c r="A1581">
        <v>1580</v>
      </c>
      <c r="B1581" t="s">
        <v>1592</v>
      </c>
      <c r="C1581">
        <v>54</v>
      </c>
      <c r="D1581" t="s">
        <v>2948</v>
      </c>
      <c r="E1581" t="s">
        <v>2955</v>
      </c>
      <c r="F1581" t="s">
        <v>4445</v>
      </c>
      <c r="G1581" s="2">
        <v>45857</v>
      </c>
      <c r="H1581" s="2">
        <v>45859</v>
      </c>
      <c r="I1581" t="s">
        <v>5760</v>
      </c>
      <c r="J1581" t="s">
        <v>5769</v>
      </c>
      <c r="K1581">
        <v>446169.07</v>
      </c>
      <c r="L1581" t="s">
        <v>5773</v>
      </c>
      <c r="M1581">
        <v>2</v>
      </c>
    </row>
    <row r="1582" spans="1:13" x14ac:dyDescent="0.25">
      <c r="A1582">
        <v>1581</v>
      </c>
      <c r="B1582" t="s">
        <v>1593</v>
      </c>
      <c r="C1582">
        <v>31</v>
      </c>
      <c r="D1582" t="s">
        <v>2948</v>
      </c>
      <c r="E1582" t="s">
        <v>2950</v>
      </c>
      <c r="F1582" t="s">
        <v>4446</v>
      </c>
      <c r="G1582" s="2">
        <v>45766</v>
      </c>
      <c r="H1582" s="2">
        <v>45775</v>
      </c>
      <c r="I1582" t="s">
        <v>5763</v>
      </c>
      <c r="J1582" t="s">
        <v>5772</v>
      </c>
      <c r="K1582">
        <v>56309.29</v>
      </c>
      <c r="L1582" t="s">
        <v>5773</v>
      </c>
      <c r="M1582">
        <v>9</v>
      </c>
    </row>
    <row r="1583" spans="1:13" x14ac:dyDescent="0.25">
      <c r="A1583">
        <v>1582</v>
      </c>
      <c r="B1583" t="s">
        <v>1594</v>
      </c>
      <c r="C1583">
        <v>76</v>
      </c>
      <c r="D1583" t="s">
        <v>2947</v>
      </c>
      <c r="E1583" t="s">
        <v>2952</v>
      </c>
      <c r="F1583" t="s">
        <v>4447</v>
      </c>
      <c r="G1583" s="2">
        <v>45910</v>
      </c>
      <c r="H1583" s="2">
        <v>45921</v>
      </c>
      <c r="I1583" t="s">
        <v>5760</v>
      </c>
      <c r="J1583" t="s">
        <v>5768</v>
      </c>
      <c r="K1583">
        <v>480924.29</v>
      </c>
      <c r="L1583" t="s">
        <v>5775</v>
      </c>
      <c r="M1583">
        <v>11</v>
      </c>
    </row>
    <row r="1584" spans="1:13" x14ac:dyDescent="0.25">
      <c r="A1584">
        <v>1583</v>
      </c>
      <c r="B1584" t="s">
        <v>1595</v>
      </c>
      <c r="C1584">
        <v>63</v>
      </c>
      <c r="D1584" t="s">
        <v>2947</v>
      </c>
      <c r="E1584" t="s">
        <v>2950</v>
      </c>
      <c r="F1584" t="s">
        <v>345</v>
      </c>
      <c r="G1584" s="2">
        <v>45852</v>
      </c>
      <c r="H1584" s="2">
        <v>45862</v>
      </c>
      <c r="I1584" t="s">
        <v>5767</v>
      </c>
      <c r="J1584" t="s">
        <v>2949</v>
      </c>
      <c r="K1584">
        <v>494662.34</v>
      </c>
      <c r="L1584" t="s">
        <v>5775</v>
      </c>
      <c r="M1584">
        <v>10</v>
      </c>
    </row>
    <row r="1585" spans="1:13" x14ac:dyDescent="0.25">
      <c r="A1585">
        <v>1584</v>
      </c>
      <c r="B1585" t="s">
        <v>1596</v>
      </c>
      <c r="C1585">
        <v>34</v>
      </c>
      <c r="D1585" t="s">
        <v>2947</v>
      </c>
      <c r="E1585" t="s">
        <v>2951</v>
      </c>
      <c r="F1585" t="s">
        <v>4448</v>
      </c>
      <c r="G1585" s="2">
        <v>45630</v>
      </c>
      <c r="H1585" s="2">
        <v>45633</v>
      </c>
      <c r="I1585" t="s">
        <v>5762</v>
      </c>
      <c r="J1585" t="s">
        <v>5772</v>
      </c>
      <c r="K1585">
        <v>363100.92</v>
      </c>
      <c r="L1585" t="s">
        <v>5775</v>
      </c>
      <c r="M1585">
        <v>3</v>
      </c>
    </row>
    <row r="1586" spans="1:13" x14ac:dyDescent="0.25">
      <c r="A1586">
        <v>1585</v>
      </c>
      <c r="B1586" t="s">
        <v>1597</v>
      </c>
      <c r="C1586">
        <v>52</v>
      </c>
      <c r="D1586" t="s">
        <v>2948</v>
      </c>
      <c r="E1586" t="s">
        <v>2952</v>
      </c>
      <c r="F1586" t="s">
        <v>4449</v>
      </c>
      <c r="G1586" s="2">
        <v>45803</v>
      </c>
      <c r="H1586" s="2">
        <v>45813</v>
      </c>
      <c r="I1586" t="s">
        <v>5760</v>
      </c>
      <c r="J1586" t="s">
        <v>5771</v>
      </c>
      <c r="K1586">
        <v>6561.05</v>
      </c>
      <c r="L1586" t="s">
        <v>5774</v>
      </c>
      <c r="M1586">
        <v>10</v>
      </c>
    </row>
    <row r="1587" spans="1:13" x14ac:dyDescent="0.25">
      <c r="A1587">
        <v>1586</v>
      </c>
      <c r="B1587" t="s">
        <v>1598</v>
      </c>
      <c r="C1587">
        <v>21</v>
      </c>
      <c r="D1587" t="s">
        <v>2948</v>
      </c>
      <c r="E1587" t="s">
        <v>2955</v>
      </c>
      <c r="F1587" t="s">
        <v>4450</v>
      </c>
      <c r="G1587" s="2">
        <v>45777</v>
      </c>
      <c r="H1587" s="2">
        <v>45790</v>
      </c>
      <c r="I1587" t="s">
        <v>5761</v>
      </c>
      <c r="J1587" t="s">
        <v>5768</v>
      </c>
      <c r="K1587">
        <v>24907.29</v>
      </c>
      <c r="L1587" t="s">
        <v>5774</v>
      </c>
      <c r="M1587">
        <v>13</v>
      </c>
    </row>
    <row r="1588" spans="1:13" x14ac:dyDescent="0.25">
      <c r="A1588">
        <v>1587</v>
      </c>
      <c r="B1588" t="s">
        <v>1599</v>
      </c>
      <c r="C1588">
        <v>42</v>
      </c>
      <c r="D1588" t="s">
        <v>2948</v>
      </c>
      <c r="E1588" t="s">
        <v>2949</v>
      </c>
      <c r="F1588" t="s">
        <v>4451</v>
      </c>
      <c r="G1588" s="2">
        <v>45852</v>
      </c>
      <c r="H1588" s="2">
        <v>45863</v>
      </c>
      <c r="I1588" t="s">
        <v>5761</v>
      </c>
      <c r="J1588" t="s">
        <v>2949</v>
      </c>
      <c r="K1588">
        <v>61321.35</v>
      </c>
      <c r="L1588" t="s">
        <v>5773</v>
      </c>
      <c r="M1588">
        <v>11</v>
      </c>
    </row>
    <row r="1589" spans="1:13" x14ac:dyDescent="0.25">
      <c r="A1589">
        <v>1588</v>
      </c>
      <c r="B1589" t="s">
        <v>1600</v>
      </c>
      <c r="C1589">
        <v>5</v>
      </c>
      <c r="D1589" t="s">
        <v>2947</v>
      </c>
      <c r="E1589" t="s">
        <v>2954</v>
      </c>
      <c r="F1589" t="s">
        <v>4452</v>
      </c>
      <c r="G1589" s="2">
        <v>45662</v>
      </c>
      <c r="H1589" s="2">
        <v>45666</v>
      </c>
      <c r="I1589" t="s">
        <v>5759</v>
      </c>
      <c r="J1589" t="s">
        <v>5769</v>
      </c>
      <c r="K1589">
        <v>104386.72</v>
      </c>
      <c r="L1589" t="s">
        <v>5774</v>
      </c>
      <c r="M1589">
        <v>4</v>
      </c>
    </row>
    <row r="1590" spans="1:13" x14ac:dyDescent="0.25">
      <c r="A1590">
        <v>1589</v>
      </c>
      <c r="B1590" t="s">
        <v>1601</v>
      </c>
      <c r="C1590">
        <v>3</v>
      </c>
      <c r="D1590" t="s">
        <v>2947</v>
      </c>
      <c r="E1590" t="s">
        <v>2954</v>
      </c>
      <c r="F1590" t="s">
        <v>4453</v>
      </c>
      <c r="G1590" s="2">
        <v>45898</v>
      </c>
      <c r="H1590" s="2">
        <v>45907</v>
      </c>
      <c r="I1590" t="s">
        <v>5758</v>
      </c>
      <c r="J1590" t="s">
        <v>5771</v>
      </c>
      <c r="K1590">
        <v>18210.740000000002</v>
      </c>
      <c r="L1590" t="s">
        <v>5775</v>
      </c>
      <c r="M1590">
        <v>9</v>
      </c>
    </row>
    <row r="1591" spans="1:13" x14ac:dyDescent="0.25">
      <c r="A1591">
        <v>1590</v>
      </c>
      <c r="B1591" t="s">
        <v>1602</v>
      </c>
      <c r="C1591">
        <v>73</v>
      </c>
      <c r="D1591" t="s">
        <v>2947</v>
      </c>
      <c r="E1591" t="s">
        <v>2953</v>
      </c>
      <c r="F1591" t="s">
        <v>4454</v>
      </c>
      <c r="G1591" s="2">
        <v>45559</v>
      </c>
      <c r="H1591" s="2">
        <v>45562</v>
      </c>
      <c r="I1591" t="s">
        <v>5759</v>
      </c>
      <c r="J1591" t="s">
        <v>5768</v>
      </c>
      <c r="K1591">
        <v>434277.3</v>
      </c>
      <c r="L1591" t="s">
        <v>5773</v>
      </c>
      <c r="M1591">
        <v>3</v>
      </c>
    </row>
    <row r="1592" spans="1:13" x14ac:dyDescent="0.25">
      <c r="A1592">
        <v>1591</v>
      </c>
      <c r="B1592" t="s">
        <v>1603</v>
      </c>
      <c r="C1592">
        <v>72</v>
      </c>
      <c r="D1592" t="s">
        <v>2947</v>
      </c>
      <c r="E1592" t="s">
        <v>2955</v>
      </c>
      <c r="F1592" t="s">
        <v>4455</v>
      </c>
      <c r="G1592" s="2">
        <v>45796</v>
      </c>
      <c r="H1592" s="2">
        <v>45807</v>
      </c>
      <c r="I1592" t="s">
        <v>5760</v>
      </c>
      <c r="J1592" t="s">
        <v>5771</v>
      </c>
      <c r="K1592">
        <v>33931.11</v>
      </c>
      <c r="L1592" t="s">
        <v>5773</v>
      </c>
      <c r="M1592">
        <v>11</v>
      </c>
    </row>
    <row r="1593" spans="1:13" x14ac:dyDescent="0.25">
      <c r="A1593">
        <v>1592</v>
      </c>
      <c r="B1593" t="s">
        <v>1604</v>
      </c>
      <c r="C1593">
        <v>47</v>
      </c>
      <c r="D1593" t="s">
        <v>2948</v>
      </c>
      <c r="E1593" t="s">
        <v>2954</v>
      </c>
      <c r="F1593" t="s">
        <v>4456</v>
      </c>
      <c r="G1593" s="2">
        <v>45869</v>
      </c>
      <c r="H1593" s="2">
        <v>45870</v>
      </c>
      <c r="I1593" t="s">
        <v>5762</v>
      </c>
      <c r="J1593" t="s">
        <v>5768</v>
      </c>
      <c r="K1593">
        <v>208882.61</v>
      </c>
      <c r="L1593" t="s">
        <v>5774</v>
      </c>
      <c r="M1593">
        <v>1</v>
      </c>
    </row>
    <row r="1594" spans="1:13" x14ac:dyDescent="0.25">
      <c r="A1594">
        <v>1593</v>
      </c>
      <c r="B1594" t="s">
        <v>1605</v>
      </c>
      <c r="C1594">
        <v>13</v>
      </c>
      <c r="D1594" t="s">
        <v>2947</v>
      </c>
      <c r="E1594" t="s">
        <v>2949</v>
      </c>
      <c r="F1594" t="s">
        <v>4457</v>
      </c>
      <c r="G1594" s="2">
        <v>45638</v>
      </c>
      <c r="H1594" s="2">
        <v>45651</v>
      </c>
      <c r="I1594" t="s">
        <v>5765</v>
      </c>
      <c r="J1594" t="s">
        <v>5770</v>
      </c>
      <c r="K1594">
        <v>102341.1</v>
      </c>
      <c r="L1594" t="s">
        <v>5773</v>
      </c>
      <c r="M1594">
        <v>13</v>
      </c>
    </row>
    <row r="1595" spans="1:13" x14ac:dyDescent="0.25">
      <c r="A1595">
        <v>1594</v>
      </c>
      <c r="B1595" t="s">
        <v>1606</v>
      </c>
      <c r="C1595">
        <v>85</v>
      </c>
      <c r="D1595" t="s">
        <v>2947</v>
      </c>
      <c r="E1595" t="s">
        <v>2951</v>
      </c>
      <c r="F1595" t="s">
        <v>4458</v>
      </c>
      <c r="G1595" s="2">
        <v>45748</v>
      </c>
      <c r="H1595" s="2">
        <v>45757</v>
      </c>
      <c r="I1595" t="s">
        <v>5765</v>
      </c>
      <c r="J1595" t="s">
        <v>5772</v>
      </c>
      <c r="K1595">
        <v>233154.73</v>
      </c>
      <c r="L1595" t="s">
        <v>5773</v>
      </c>
      <c r="M1595">
        <v>9</v>
      </c>
    </row>
    <row r="1596" spans="1:13" x14ac:dyDescent="0.25">
      <c r="A1596">
        <v>1595</v>
      </c>
      <c r="B1596" t="s">
        <v>1607</v>
      </c>
      <c r="C1596">
        <v>24</v>
      </c>
      <c r="D1596" t="s">
        <v>2948</v>
      </c>
      <c r="E1596" t="s">
        <v>2955</v>
      </c>
      <c r="F1596" t="s">
        <v>3695</v>
      </c>
      <c r="G1596" s="2">
        <v>45824</v>
      </c>
      <c r="H1596" s="2">
        <v>45838</v>
      </c>
      <c r="I1596" t="s">
        <v>5760</v>
      </c>
      <c r="J1596" t="s">
        <v>5769</v>
      </c>
      <c r="K1596">
        <v>9112.2800000000007</v>
      </c>
      <c r="L1596" t="s">
        <v>5774</v>
      </c>
      <c r="M1596">
        <v>14</v>
      </c>
    </row>
    <row r="1597" spans="1:13" x14ac:dyDescent="0.25">
      <c r="A1597">
        <v>1596</v>
      </c>
      <c r="B1597" t="s">
        <v>1608</v>
      </c>
      <c r="C1597">
        <v>28</v>
      </c>
      <c r="D1597" t="s">
        <v>2948</v>
      </c>
      <c r="E1597" t="s">
        <v>2954</v>
      </c>
      <c r="F1597" t="s">
        <v>2912</v>
      </c>
      <c r="G1597" s="2">
        <v>45611</v>
      </c>
      <c r="H1597" s="2">
        <v>45618</v>
      </c>
      <c r="I1597" t="s">
        <v>5759</v>
      </c>
      <c r="J1597" t="s">
        <v>5770</v>
      </c>
      <c r="K1597">
        <v>355468.14</v>
      </c>
      <c r="L1597" t="s">
        <v>5775</v>
      </c>
      <c r="M1597">
        <v>7</v>
      </c>
    </row>
    <row r="1598" spans="1:13" x14ac:dyDescent="0.25">
      <c r="A1598">
        <v>1597</v>
      </c>
      <c r="B1598" t="s">
        <v>1609</v>
      </c>
      <c r="C1598">
        <v>62</v>
      </c>
      <c r="D1598" t="s">
        <v>2947</v>
      </c>
      <c r="E1598" t="s">
        <v>2954</v>
      </c>
      <c r="F1598" t="s">
        <v>4459</v>
      </c>
      <c r="G1598" s="2">
        <v>45734</v>
      </c>
      <c r="H1598" s="2">
        <v>45743</v>
      </c>
      <c r="I1598" t="s">
        <v>5761</v>
      </c>
      <c r="J1598" t="s">
        <v>5769</v>
      </c>
      <c r="K1598">
        <v>174371.83</v>
      </c>
      <c r="L1598" t="s">
        <v>5775</v>
      </c>
      <c r="M1598">
        <v>9</v>
      </c>
    </row>
    <row r="1599" spans="1:13" x14ac:dyDescent="0.25">
      <c r="A1599">
        <v>1598</v>
      </c>
      <c r="B1599" t="s">
        <v>1610</v>
      </c>
      <c r="C1599">
        <v>71</v>
      </c>
      <c r="D1599" t="s">
        <v>2947</v>
      </c>
      <c r="E1599" t="s">
        <v>2952</v>
      </c>
      <c r="F1599" t="s">
        <v>4460</v>
      </c>
      <c r="G1599" s="2">
        <v>45671</v>
      </c>
      <c r="H1599" s="2">
        <v>45686</v>
      </c>
      <c r="I1599" t="s">
        <v>5760</v>
      </c>
      <c r="J1599" t="s">
        <v>5770</v>
      </c>
      <c r="K1599">
        <v>124289.55</v>
      </c>
      <c r="L1599" t="s">
        <v>5773</v>
      </c>
      <c r="M1599">
        <v>15</v>
      </c>
    </row>
    <row r="1600" spans="1:13" x14ac:dyDescent="0.25">
      <c r="A1600">
        <v>1599</v>
      </c>
      <c r="B1600" t="s">
        <v>1611</v>
      </c>
      <c r="C1600">
        <v>89</v>
      </c>
      <c r="D1600" t="s">
        <v>2947</v>
      </c>
      <c r="E1600" t="s">
        <v>2955</v>
      </c>
      <c r="F1600" t="s">
        <v>4461</v>
      </c>
      <c r="G1600" s="2">
        <v>45914</v>
      </c>
      <c r="H1600" s="2">
        <v>45919</v>
      </c>
      <c r="I1600" t="s">
        <v>5766</v>
      </c>
      <c r="J1600" t="s">
        <v>5772</v>
      </c>
      <c r="K1600">
        <v>149076.64000000001</v>
      </c>
      <c r="L1600" t="s">
        <v>5774</v>
      </c>
      <c r="M1600">
        <v>5</v>
      </c>
    </row>
    <row r="1601" spans="1:13" x14ac:dyDescent="0.25">
      <c r="A1601">
        <v>1600</v>
      </c>
      <c r="B1601" t="s">
        <v>1612</v>
      </c>
      <c r="C1601">
        <v>78</v>
      </c>
      <c r="D1601" t="s">
        <v>2948</v>
      </c>
      <c r="E1601" t="s">
        <v>2954</v>
      </c>
      <c r="F1601" t="s">
        <v>4462</v>
      </c>
      <c r="G1601" s="2">
        <v>45646</v>
      </c>
      <c r="H1601" s="2">
        <v>45660</v>
      </c>
      <c r="I1601" t="s">
        <v>5760</v>
      </c>
      <c r="J1601" t="s">
        <v>5771</v>
      </c>
      <c r="K1601">
        <v>364993.71</v>
      </c>
      <c r="L1601" t="s">
        <v>5775</v>
      </c>
      <c r="M1601">
        <v>14</v>
      </c>
    </row>
    <row r="1602" spans="1:13" x14ac:dyDescent="0.25">
      <c r="A1602">
        <v>1601</v>
      </c>
      <c r="B1602" t="s">
        <v>1613</v>
      </c>
      <c r="C1602">
        <v>40</v>
      </c>
      <c r="D1602" t="s">
        <v>2948</v>
      </c>
      <c r="E1602" t="s">
        <v>2955</v>
      </c>
      <c r="F1602" t="s">
        <v>4463</v>
      </c>
      <c r="G1602" s="2">
        <v>45880</v>
      </c>
      <c r="H1602" s="2">
        <v>45891</v>
      </c>
      <c r="I1602" t="s">
        <v>5758</v>
      </c>
      <c r="J1602" t="s">
        <v>5770</v>
      </c>
      <c r="K1602">
        <v>330329.45</v>
      </c>
      <c r="L1602" t="s">
        <v>5775</v>
      </c>
      <c r="M1602">
        <v>11</v>
      </c>
    </row>
    <row r="1603" spans="1:13" x14ac:dyDescent="0.25">
      <c r="A1603">
        <v>1602</v>
      </c>
      <c r="B1603" t="s">
        <v>1614</v>
      </c>
      <c r="C1603">
        <v>46</v>
      </c>
      <c r="D1603" t="s">
        <v>2947</v>
      </c>
      <c r="E1603" t="s">
        <v>2949</v>
      </c>
      <c r="F1603" t="s">
        <v>4464</v>
      </c>
      <c r="G1603" s="2">
        <v>45640</v>
      </c>
      <c r="H1603" s="2">
        <v>45654</v>
      </c>
      <c r="I1603" t="s">
        <v>5764</v>
      </c>
      <c r="J1603" t="s">
        <v>5771</v>
      </c>
      <c r="K1603">
        <v>498965.96</v>
      </c>
      <c r="L1603" t="s">
        <v>5773</v>
      </c>
      <c r="M1603">
        <v>14</v>
      </c>
    </row>
    <row r="1604" spans="1:13" x14ac:dyDescent="0.25">
      <c r="A1604">
        <v>1603</v>
      </c>
      <c r="B1604" t="s">
        <v>1615</v>
      </c>
      <c r="C1604">
        <v>5</v>
      </c>
      <c r="D1604" t="s">
        <v>2948</v>
      </c>
      <c r="E1604" t="s">
        <v>2952</v>
      </c>
      <c r="F1604" t="s">
        <v>4465</v>
      </c>
      <c r="G1604" s="2">
        <v>45858</v>
      </c>
      <c r="H1604" s="2">
        <v>45859</v>
      </c>
      <c r="I1604" t="s">
        <v>5763</v>
      </c>
      <c r="J1604" t="s">
        <v>5770</v>
      </c>
      <c r="K1604">
        <v>387502.61</v>
      </c>
      <c r="L1604" t="s">
        <v>5774</v>
      </c>
      <c r="M1604">
        <v>1</v>
      </c>
    </row>
    <row r="1605" spans="1:13" x14ac:dyDescent="0.25">
      <c r="A1605">
        <v>1604</v>
      </c>
      <c r="B1605" t="s">
        <v>1616</v>
      </c>
      <c r="C1605">
        <v>36</v>
      </c>
      <c r="D1605" t="s">
        <v>2947</v>
      </c>
      <c r="E1605" t="s">
        <v>2953</v>
      </c>
      <c r="F1605" t="s">
        <v>4466</v>
      </c>
      <c r="G1605" s="2">
        <v>45692</v>
      </c>
      <c r="H1605" s="2">
        <v>45696</v>
      </c>
      <c r="I1605" t="s">
        <v>5765</v>
      </c>
      <c r="J1605" t="s">
        <v>5769</v>
      </c>
      <c r="K1605">
        <v>371624.98</v>
      </c>
      <c r="L1605" t="s">
        <v>5773</v>
      </c>
      <c r="M1605">
        <v>4</v>
      </c>
    </row>
    <row r="1606" spans="1:13" x14ac:dyDescent="0.25">
      <c r="A1606">
        <v>1605</v>
      </c>
      <c r="B1606" t="s">
        <v>1617</v>
      </c>
      <c r="C1606">
        <v>17</v>
      </c>
      <c r="D1606" t="s">
        <v>2948</v>
      </c>
      <c r="E1606" t="s">
        <v>2953</v>
      </c>
      <c r="F1606" t="s">
        <v>4467</v>
      </c>
      <c r="G1606" s="2">
        <v>45659</v>
      </c>
      <c r="H1606" s="2">
        <v>45669</v>
      </c>
      <c r="I1606" t="s">
        <v>5765</v>
      </c>
      <c r="J1606" t="s">
        <v>5769</v>
      </c>
      <c r="K1606">
        <v>60488.07</v>
      </c>
      <c r="L1606" t="s">
        <v>5773</v>
      </c>
      <c r="M1606">
        <v>10</v>
      </c>
    </row>
    <row r="1607" spans="1:13" x14ac:dyDescent="0.25">
      <c r="A1607">
        <v>1606</v>
      </c>
      <c r="B1607" t="s">
        <v>1618</v>
      </c>
      <c r="C1607">
        <v>12</v>
      </c>
      <c r="D1607" t="s">
        <v>2947</v>
      </c>
      <c r="E1607" t="s">
        <v>2952</v>
      </c>
      <c r="F1607" t="s">
        <v>4468</v>
      </c>
      <c r="G1607" s="2">
        <v>45653</v>
      </c>
      <c r="H1607" s="2">
        <v>45661</v>
      </c>
      <c r="I1607" t="s">
        <v>5761</v>
      </c>
      <c r="J1607" t="s">
        <v>5768</v>
      </c>
      <c r="K1607">
        <v>292222.01</v>
      </c>
      <c r="L1607" t="s">
        <v>5773</v>
      </c>
      <c r="M1607">
        <v>8</v>
      </c>
    </row>
    <row r="1608" spans="1:13" x14ac:dyDescent="0.25">
      <c r="A1608">
        <v>1607</v>
      </c>
      <c r="B1608" t="s">
        <v>1619</v>
      </c>
      <c r="C1608">
        <v>32</v>
      </c>
      <c r="D1608" t="s">
        <v>2948</v>
      </c>
      <c r="E1608" t="s">
        <v>2953</v>
      </c>
      <c r="F1608" t="s">
        <v>4469</v>
      </c>
      <c r="G1608" s="2">
        <v>45697</v>
      </c>
      <c r="H1608" s="2">
        <v>45701</v>
      </c>
      <c r="I1608" t="s">
        <v>5760</v>
      </c>
      <c r="J1608" t="s">
        <v>5770</v>
      </c>
      <c r="K1608">
        <v>490745.36</v>
      </c>
      <c r="L1608" t="s">
        <v>5773</v>
      </c>
      <c r="M1608">
        <v>4</v>
      </c>
    </row>
    <row r="1609" spans="1:13" x14ac:dyDescent="0.25">
      <c r="A1609">
        <v>1608</v>
      </c>
      <c r="B1609" t="s">
        <v>1620</v>
      </c>
      <c r="C1609">
        <v>46</v>
      </c>
      <c r="D1609" t="s">
        <v>2947</v>
      </c>
      <c r="E1609" t="s">
        <v>2953</v>
      </c>
      <c r="F1609" t="s">
        <v>4470</v>
      </c>
      <c r="G1609" s="2">
        <v>45663</v>
      </c>
      <c r="H1609" s="2">
        <v>45669</v>
      </c>
      <c r="I1609" t="s">
        <v>5759</v>
      </c>
      <c r="J1609" t="s">
        <v>5770</v>
      </c>
      <c r="K1609">
        <v>185177.58</v>
      </c>
      <c r="L1609" t="s">
        <v>5773</v>
      </c>
      <c r="M1609">
        <v>6</v>
      </c>
    </row>
    <row r="1610" spans="1:13" x14ac:dyDescent="0.25">
      <c r="A1610">
        <v>1609</v>
      </c>
      <c r="B1610" t="s">
        <v>1621</v>
      </c>
      <c r="C1610">
        <v>71</v>
      </c>
      <c r="D1610" t="s">
        <v>2948</v>
      </c>
      <c r="E1610" t="s">
        <v>2949</v>
      </c>
      <c r="F1610" t="s">
        <v>4471</v>
      </c>
      <c r="G1610" s="2">
        <v>45649</v>
      </c>
      <c r="H1610" s="2">
        <v>45663</v>
      </c>
      <c r="I1610" t="s">
        <v>5759</v>
      </c>
      <c r="J1610" t="s">
        <v>5772</v>
      </c>
      <c r="K1610">
        <v>368943.85</v>
      </c>
      <c r="L1610" t="s">
        <v>5775</v>
      </c>
      <c r="M1610">
        <v>14</v>
      </c>
    </row>
    <row r="1611" spans="1:13" x14ac:dyDescent="0.25">
      <c r="A1611">
        <v>1610</v>
      </c>
      <c r="B1611" t="s">
        <v>1622</v>
      </c>
      <c r="C1611">
        <v>11</v>
      </c>
      <c r="D1611" t="s">
        <v>2947</v>
      </c>
      <c r="E1611" t="s">
        <v>2949</v>
      </c>
      <c r="F1611" t="s">
        <v>4472</v>
      </c>
      <c r="G1611" s="2">
        <v>45579</v>
      </c>
      <c r="H1611" s="2">
        <v>45585</v>
      </c>
      <c r="I1611" t="s">
        <v>5758</v>
      </c>
      <c r="J1611" t="s">
        <v>2949</v>
      </c>
      <c r="K1611">
        <v>371660.78</v>
      </c>
      <c r="L1611" t="s">
        <v>5775</v>
      </c>
      <c r="M1611">
        <v>6</v>
      </c>
    </row>
    <row r="1612" spans="1:13" x14ac:dyDescent="0.25">
      <c r="A1612">
        <v>1611</v>
      </c>
      <c r="B1612" t="s">
        <v>1623</v>
      </c>
      <c r="C1612">
        <v>32</v>
      </c>
      <c r="D1612" t="s">
        <v>2948</v>
      </c>
      <c r="E1612" t="s">
        <v>2955</v>
      </c>
      <c r="F1612" t="s">
        <v>4473</v>
      </c>
      <c r="G1612" s="2">
        <v>45876</v>
      </c>
      <c r="H1612" s="2">
        <v>45882</v>
      </c>
      <c r="I1612" t="s">
        <v>5767</v>
      </c>
      <c r="J1612" t="s">
        <v>5772</v>
      </c>
      <c r="K1612">
        <v>135180.03</v>
      </c>
      <c r="L1612" t="s">
        <v>5775</v>
      </c>
      <c r="M1612">
        <v>6</v>
      </c>
    </row>
    <row r="1613" spans="1:13" x14ac:dyDescent="0.25">
      <c r="A1613">
        <v>1612</v>
      </c>
      <c r="B1613" t="s">
        <v>1624</v>
      </c>
      <c r="C1613">
        <v>7</v>
      </c>
      <c r="D1613" t="s">
        <v>2948</v>
      </c>
      <c r="E1613" t="s">
        <v>2949</v>
      </c>
      <c r="F1613" t="s">
        <v>4474</v>
      </c>
      <c r="G1613" s="2">
        <v>45867</v>
      </c>
      <c r="H1613" s="2">
        <v>45878</v>
      </c>
      <c r="I1613" t="s">
        <v>5763</v>
      </c>
      <c r="J1613" t="s">
        <v>5772</v>
      </c>
      <c r="K1613">
        <v>159744.62</v>
      </c>
      <c r="L1613" t="s">
        <v>5774</v>
      </c>
      <c r="M1613">
        <v>11</v>
      </c>
    </row>
    <row r="1614" spans="1:13" x14ac:dyDescent="0.25">
      <c r="A1614">
        <v>1613</v>
      </c>
      <c r="B1614" t="s">
        <v>1625</v>
      </c>
      <c r="C1614">
        <v>39</v>
      </c>
      <c r="D1614" t="s">
        <v>2948</v>
      </c>
      <c r="E1614" t="s">
        <v>2951</v>
      </c>
      <c r="F1614" t="s">
        <v>4475</v>
      </c>
      <c r="G1614" s="2">
        <v>45886</v>
      </c>
      <c r="H1614" s="2">
        <v>45901</v>
      </c>
      <c r="I1614" t="s">
        <v>5764</v>
      </c>
      <c r="J1614" t="s">
        <v>5768</v>
      </c>
      <c r="K1614">
        <v>384244.16</v>
      </c>
      <c r="L1614" t="s">
        <v>5774</v>
      </c>
      <c r="M1614">
        <v>15</v>
      </c>
    </row>
    <row r="1615" spans="1:13" x14ac:dyDescent="0.25">
      <c r="A1615">
        <v>1614</v>
      </c>
      <c r="B1615" t="s">
        <v>1626</v>
      </c>
      <c r="C1615">
        <v>33</v>
      </c>
      <c r="D1615" t="s">
        <v>2947</v>
      </c>
      <c r="E1615" t="s">
        <v>2953</v>
      </c>
      <c r="F1615" t="s">
        <v>4476</v>
      </c>
      <c r="G1615" s="2">
        <v>45764</v>
      </c>
      <c r="H1615" s="2">
        <v>45773</v>
      </c>
      <c r="I1615" t="s">
        <v>5763</v>
      </c>
      <c r="J1615" t="s">
        <v>5769</v>
      </c>
      <c r="K1615">
        <v>296519.90999999997</v>
      </c>
      <c r="L1615" t="s">
        <v>5774</v>
      </c>
      <c r="M1615">
        <v>9</v>
      </c>
    </row>
    <row r="1616" spans="1:13" x14ac:dyDescent="0.25">
      <c r="A1616">
        <v>1615</v>
      </c>
      <c r="B1616" t="s">
        <v>1627</v>
      </c>
      <c r="C1616">
        <v>56</v>
      </c>
      <c r="D1616" t="s">
        <v>2948</v>
      </c>
      <c r="E1616" t="s">
        <v>2954</v>
      </c>
      <c r="F1616" t="s">
        <v>4477</v>
      </c>
      <c r="G1616" s="2">
        <v>45627</v>
      </c>
      <c r="H1616" s="2">
        <v>45637</v>
      </c>
      <c r="I1616" t="s">
        <v>5762</v>
      </c>
      <c r="J1616" t="s">
        <v>5770</v>
      </c>
      <c r="K1616">
        <v>91148.92</v>
      </c>
      <c r="L1616" t="s">
        <v>5774</v>
      </c>
      <c r="M1616">
        <v>10</v>
      </c>
    </row>
    <row r="1617" spans="1:13" x14ac:dyDescent="0.25">
      <c r="A1617">
        <v>1616</v>
      </c>
      <c r="B1617" t="s">
        <v>1628</v>
      </c>
      <c r="C1617">
        <v>50</v>
      </c>
      <c r="D1617" t="s">
        <v>2948</v>
      </c>
      <c r="E1617" t="s">
        <v>2952</v>
      </c>
      <c r="F1617" t="s">
        <v>4478</v>
      </c>
      <c r="G1617" s="2">
        <v>45691</v>
      </c>
      <c r="H1617" s="2">
        <v>45703</v>
      </c>
      <c r="I1617" t="s">
        <v>5766</v>
      </c>
      <c r="J1617" t="s">
        <v>5770</v>
      </c>
      <c r="K1617">
        <v>452123.96</v>
      </c>
      <c r="L1617" t="s">
        <v>5775</v>
      </c>
      <c r="M1617">
        <v>12</v>
      </c>
    </row>
    <row r="1618" spans="1:13" x14ac:dyDescent="0.25">
      <c r="A1618">
        <v>1617</v>
      </c>
      <c r="B1618" t="s">
        <v>1629</v>
      </c>
      <c r="C1618">
        <v>54</v>
      </c>
      <c r="D1618" t="s">
        <v>2947</v>
      </c>
      <c r="E1618" t="s">
        <v>2952</v>
      </c>
      <c r="F1618" t="s">
        <v>4479</v>
      </c>
      <c r="G1618" s="2">
        <v>45566</v>
      </c>
      <c r="H1618" s="2">
        <v>45572</v>
      </c>
      <c r="I1618" t="s">
        <v>5760</v>
      </c>
      <c r="J1618" t="s">
        <v>5768</v>
      </c>
      <c r="K1618">
        <v>19015.57</v>
      </c>
      <c r="L1618" t="s">
        <v>5774</v>
      </c>
      <c r="M1618">
        <v>6</v>
      </c>
    </row>
    <row r="1619" spans="1:13" x14ac:dyDescent="0.25">
      <c r="A1619">
        <v>1618</v>
      </c>
      <c r="B1619" t="s">
        <v>1630</v>
      </c>
      <c r="C1619">
        <v>9</v>
      </c>
      <c r="D1619" t="s">
        <v>2947</v>
      </c>
      <c r="E1619" t="s">
        <v>2949</v>
      </c>
      <c r="F1619" t="s">
        <v>4480</v>
      </c>
      <c r="G1619" s="2">
        <v>45879</v>
      </c>
      <c r="H1619" s="2">
        <v>45890</v>
      </c>
      <c r="I1619" t="s">
        <v>5767</v>
      </c>
      <c r="J1619" t="s">
        <v>5770</v>
      </c>
      <c r="K1619">
        <v>219268.12</v>
      </c>
      <c r="L1619" t="s">
        <v>5773</v>
      </c>
      <c r="M1619">
        <v>11</v>
      </c>
    </row>
    <row r="1620" spans="1:13" x14ac:dyDescent="0.25">
      <c r="A1620">
        <v>1619</v>
      </c>
      <c r="B1620" t="s">
        <v>1631</v>
      </c>
      <c r="C1620">
        <v>33</v>
      </c>
      <c r="D1620" t="s">
        <v>2948</v>
      </c>
      <c r="E1620" t="s">
        <v>2950</v>
      </c>
      <c r="F1620" t="s">
        <v>3293</v>
      </c>
      <c r="G1620" s="2">
        <v>45852</v>
      </c>
      <c r="H1620" s="2">
        <v>45855</v>
      </c>
      <c r="I1620" t="s">
        <v>5766</v>
      </c>
      <c r="J1620" t="s">
        <v>5771</v>
      </c>
      <c r="K1620">
        <v>218604.66</v>
      </c>
      <c r="L1620" t="s">
        <v>5774</v>
      </c>
      <c r="M1620">
        <v>3</v>
      </c>
    </row>
    <row r="1621" spans="1:13" x14ac:dyDescent="0.25">
      <c r="A1621">
        <v>1620</v>
      </c>
      <c r="B1621" t="s">
        <v>1632</v>
      </c>
      <c r="C1621">
        <v>7</v>
      </c>
      <c r="D1621" t="s">
        <v>2948</v>
      </c>
      <c r="E1621" t="s">
        <v>2952</v>
      </c>
      <c r="F1621" t="s">
        <v>4481</v>
      </c>
      <c r="G1621" s="2">
        <v>45767</v>
      </c>
      <c r="H1621" s="2">
        <v>45781</v>
      </c>
      <c r="I1621" t="s">
        <v>5767</v>
      </c>
      <c r="J1621" t="s">
        <v>5771</v>
      </c>
      <c r="K1621">
        <v>240947.32</v>
      </c>
      <c r="L1621" t="s">
        <v>5774</v>
      </c>
      <c r="M1621">
        <v>14</v>
      </c>
    </row>
    <row r="1622" spans="1:13" x14ac:dyDescent="0.25">
      <c r="A1622">
        <v>1621</v>
      </c>
      <c r="B1622" t="s">
        <v>1633</v>
      </c>
      <c r="C1622">
        <v>74</v>
      </c>
      <c r="D1622" t="s">
        <v>2948</v>
      </c>
      <c r="E1622" t="s">
        <v>2952</v>
      </c>
      <c r="F1622" t="s">
        <v>4482</v>
      </c>
      <c r="G1622" s="2">
        <v>45866</v>
      </c>
      <c r="H1622" s="2">
        <v>45880</v>
      </c>
      <c r="I1622" t="s">
        <v>5767</v>
      </c>
      <c r="J1622" t="s">
        <v>5769</v>
      </c>
      <c r="K1622">
        <v>169455.14</v>
      </c>
      <c r="L1622" t="s">
        <v>5773</v>
      </c>
      <c r="M1622">
        <v>14</v>
      </c>
    </row>
    <row r="1623" spans="1:13" x14ac:dyDescent="0.25">
      <c r="A1623">
        <v>1622</v>
      </c>
      <c r="B1623" t="s">
        <v>1634</v>
      </c>
      <c r="C1623">
        <v>79</v>
      </c>
      <c r="D1623" t="s">
        <v>2948</v>
      </c>
      <c r="E1623" t="s">
        <v>2953</v>
      </c>
      <c r="F1623" t="s">
        <v>4483</v>
      </c>
      <c r="G1623" s="2">
        <v>45580</v>
      </c>
      <c r="H1623" s="2">
        <v>45595</v>
      </c>
      <c r="I1623" t="s">
        <v>5758</v>
      </c>
      <c r="J1623" t="s">
        <v>5769</v>
      </c>
      <c r="K1623">
        <v>487209.79</v>
      </c>
      <c r="L1623" t="s">
        <v>5774</v>
      </c>
      <c r="M1623">
        <v>15</v>
      </c>
    </row>
    <row r="1624" spans="1:13" x14ac:dyDescent="0.25">
      <c r="A1624">
        <v>1623</v>
      </c>
      <c r="B1624" t="s">
        <v>1635</v>
      </c>
      <c r="C1624">
        <v>59</v>
      </c>
      <c r="D1624" t="s">
        <v>2947</v>
      </c>
      <c r="E1624" t="s">
        <v>2954</v>
      </c>
      <c r="F1624" t="s">
        <v>4484</v>
      </c>
      <c r="G1624" s="2">
        <v>45818</v>
      </c>
      <c r="H1624" s="2">
        <v>45831</v>
      </c>
      <c r="I1624" t="s">
        <v>5766</v>
      </c>
      <c r="J1624" t="s">
        <v>5770</v>
      </c>
      <c r="K1624">
        <v>260733.26</v>
      </c>
      <c r="L1624" t="s">
        <v>5774</v>
      </c>
      <c r="M1624">
        <v>13</v>
      </c>
    </row>
    <row r="1625" spans="1:13" x14ac:dyDescent="0.25">
      <c r="A1625">
        <v>1624</v>
      </c>
      <c r="B1625" t="s">
        <v>1636</v>
      </c>
      <c r="C1625">
        <v>70</v>
      </c>
      <c r="D1625" t="s">
        <v>2947</v>
      </c>
      <c r="E1625" t="s">
        <v>2952</v>
      </c>
      <c r="F1625" t="s">
        <v>4485</v>
      </c>
      <c r="G1625" s="2">
        <v>45560</v>
      </c>
      <c r="H1625" s="2">
        <v>45565</v>
      </c>
      <c r="I1625" t="s">
        <v>5763</v>
      </c>
      <c r="J1625" t="s">
        <v>5770</v>
      </c>
      <c r="K1625">
        <v>467559.65</v>
      </c>
      <c r="L1625" t="s">
        <v>5774</v>
      </c>
      <c r="M1625">
        <v>5</v>
      </c>
    </row>
    <row r="1626" spans="1:13" x14ac:dyDescent="0.25">
      <c r="A1626">
        <v>1625</v>
      </c>
      <c r="B1626" t="s">
        <v>1637</v>
      </c>
      <c r="C1626">
        <v>62</v>
      </c>
      <c r="D1626" t="s">
        <v>2948</v>
      </c>
      <c r="E1626" t="s">
        <v>2954</v>
      </c>
      <c r="F1626" t="s">
        <v>4486</v>
      </c>
      <c r="G1626" s="2">
        <v>45779</v>
      </c>
      <c r="H1626" s="2">
        <v>45791</v>
      </c>
      <c r="I1626" t="s">
        <v>5760</v>
      </c>
      <c r="J1626" t="s">
        <v>5768</v>
      </c>
      <c r="K1626">
        <v>137718</v>
      </c>
      <c r="L1626" t="s">
        <v>5774</v>
      </c>
      <c r="M1626">
        <v>12</v>
      </c>
    </row>
    <row r="1627" spans="1:13" x14ac:dyDescent="0.25">
      <c r="A1627">
        <v>1626</v>
      </c>
      <c r="B1627" t="s">
        <v>1638</v>
      </c>
      <c r="C1627">
        <v>49</v>
      </c>
      <c r="D1627" t="s">
        <v>2947</v>
      </c>
      <c r="E1627" t="s">
        <v>2955</v>
      </c>
      <c r="F1627" t="s">
        <v>4487</v>
      </c>
      <c r="G1627" s="2">
        <v>45808</v>
      </c>
      <c r="H1627" s="2">
        <v>45810</v>
      </c>
      <c r="I1627" t="s">
        <v>5759</v>
      </c>
      <c r="J1627" t="s">
        <v>5771</v>
      </c>
      <c r="K1627">
        <v>265707.63</v>
      </c>
      <c r="L1627" t="s">
        <v>5774</v>
      </c>
      <c r="M1627">
        <v>2</v>
      </c>
    </row>
    <row r="1628" spans="1:13" x14ac:dyDescent="0.25">
      <c r="A1628">
        <v>1627</v>
      </c>
      <c r="B1628" t="s">
        <v>1639</v>
      </c>
      <c r="C1628">
        <v>81</v>
      </c>
      <c r="D1628" t="s">
        <v>2948</v>
      </c>
      <c r="E1628" t="s">
        <v>2951</v>
      </c>
      <c r="F1628" t="s">
        <v>4488</v>
      </c>
      <c r="G1628" s="2">
        <v>45806</v>
      </c>
      <c r="H1628" s="2">
        <v>45818</v>
      </c>
      <c r="I1628" t="s">
        <v>5759</v>
      </c>
      <c r="J1628" t="s">
        <v>5768</v>
      </c>
      <c r="K1628">
        <v>97939.51</v>
      </c>
      <c r="L1628" t="s">
        <v>5775</v>
      </c>
      <c r="M1628">
        <v>12</v>
      </c>
    </row>
    <row r="1629" spans="1:13" x14ac:dyDescent="0.25">
      <c r="A1629">
        <v>1628</v>
      </c>
      <c r="B1629" t="s">
        <v>1640</v>
      </c>
      <c r="C1629">
        <v>26</v>
      </c>
      <c r="D1629" t="s">
        <v>2948</v>
      </c>
      <c r="E1629" t="s">
        <v>2950</v>
      </c>
      <c r="F1629" t="s">
        <v>4489</v>
      </c>
      <c r="G1629" s="2">
        <v>45600</v>
      </c>
      <c r="H1629" s="2">
        <v>45603</v>
      </c>
      <c r="I1629" t="s">
        <v>5763</v>
      </c>
      <c r="J1629" t="s">
        <v>2949</v>
      </c>
      <c r="K1629">
        <v>459165.35</v>
      </c>
      <c r="L1629" t="s">
        <v>5774</v>
      </c>
      <c r="M1629">
        <v>3</v>
      </c>
    </row>
    <row r="1630" spans="1:13" x14ac:dyDescent="0.25">
      <c r="A1630">
        <v>1629</v>
      </c>
      <c r="B1630" t="s">
        <v>1641</v>
      </c>
      <c r="C1630">
        <v>78</v>
      </c>
      <c r="D1630" t="s">
        <v>2948</v>
      </c>
      <c r="E1630" t="s">
        <v>2952</v>
      </c>
      <c r="F1630" t="s">
        <v>4490</v>
      </c>
      <c r="G1630" s="2">
        <v>45900</v>
      </c>
      <c r="H1630" s="2">
        <v>45901</v>
      </c>
      <c r="I1630" t="s">
        <v>5765</v>
      </c>
      <c r="J1630" t="s">
        <v>5770</v>
      </c>
      <c r="K1630">
        <v>442149.18</v>
      </c>
      <c r="L1630" t="s">
        <v>5775</v>
      </c>
      <c r="M1630">
        <v>1</v>
      </c>
    </row>
    <row r="1631" spans="1:13" x14ac:dyDescent="0.25">
      <c r="A1631">
        <v>1630</v>
      </c>
      <c r="B1631" t="s">
        <v>1642</v>
      </c>
      <c r="C1631">
        <v>19</v>
      </c>
      <c r="D1631" t="s">
        <v>2947</v>
      </c>
      <c r="E1631" t="s">
        <v>2949</v>
      </c>
      <c r="F1631" t="s">
        <v>4491</v>
      </c>
      <c r="G1631" s="2">
        <v>45592</v>
      </c>
      <c r="H1631" s="2">
        <v>45599</v>
      </c>
      <c r="I1631" t="s">
        <v>5761</v>
      </c>
      <c r="J1631" t="s">
        <v>5771</v>
      </c>
      <c r="K1631">
        <v>142800.31</v>
      </c>
      <c r="L1631" t="s">
        <v>5774</v>
      </c>
      <c r="M1631">
        <v>7</v>
      </c>
    </row>
    <row r="1632" spans="1:13" x14ac:dyDescent="0.25">
      <c r="A1632">
        <v>1631</v>
      </c>
      <c r="B1632" t="s">
        <v>1643</v>
      </c>
      <c r="C1632">
        <v>73</v>
      </c>
      <c r="D1632" t="s">
        <v>2947</v>
      </c>
      <c r="E1632" t="s">
        <v>2953</v>
      </c>
      <c r="F1632" t="s">
        <v>4492</v>
      </c>
      <c r="G1632" s="2">
        <v>45854</v>
      </c>
      <c r="H1632" s="2">
        <v>45861</v>
      </c>
      <c r="I1632" t="s">
        <v>5758</v>
      </c>
      <c r="J1632" t="s">
        <v>5770</v>
      </c>
      <c r="K1632">
        <v>11647.67</v>
      </c>
      <c r="L1632" t="s">
        <v>5773</v>
      </c>
      <c r="M1632">
        <v>7</v>
      </c>
    </row>
    <row r="1633" spans="1:13" x14ac:dyDescent="0.25">
      <c r="A1633">
        <v>1632</v>
      </c>
      <c r="B1633" t="s">
        <v>1644</v>
      </c>
      <c r="C1633">
        <v>82</v>
      </c>
      <c r="D1633" t="s">
        <v>2948</v>
      </c>
      <c r="E1633" t="s">
        <v>2951</v>
      </c>
      <c r="F1633" t="s">
        <v>4493</v>
      </c>
      <c r="G1633" s="2">
        <v>45590</v>
      </c>
      <c r="H1633" s="2">
        <v>45601</v>
      </c>
      <c r="I1633" t="s">
        <v>5760</v>
      </c>
      <c r="J1633" t="s">
        <v>5768</v>
      </c>
      <c r="K1633">
        <v>142808.97</v>
      </c>
      <c r="L1633" t="s">
        <v>5773</v>
      </c>
      <c r="M1633">
        <v>11</v>
      </c>
    </row>
    <row r="1634" spans="1:13" x14ac:dyDescent="0.25">
      <c r="A1634">
        <v>1633</v>
      </c>
      <c r="B1634" t="s">
        <v>1645</v>
      </c>
      <c r="C1634">
        <v>78</v>
      </c>
      <c r="D1634" t="s">
        <v>2948</v>
      </c>
      <c r="E1634" t="s">
        <v>2953</v>
      </c>
      <c r="F1634" t="s">
        <v>4494</v>
      </c>
      <c r="G1634" s="2">
        <v>45665</v>
      </c>
      <c r="H1634" s="2">
        <v>45676</v>
      </c>
      <c r="I1634" t="s">
        <v>5767</v>
      </c>
      <c r="J1634" t="s">
        <v>5769</v>
      </c>
      <c r="K1634">
        <v>399626.84</v>
      </c>
      <c r="L1634" t="s">
        <v>5774</v>
      </c>
      <c r="M1634">
        <v>11</v>
      </c>
    </row>
    <row r="1635" spans="1:13" x14ac:dyDescent="0.25">
      <c r="A1635">
        <v>1634</v>
      </c>
      <c r="B1635" t="s">
        <v>1646</v>
      </c>
      <c r="C1635">
        <v>24</v>
      </c>
      <c r="D1635" t="s">
        <v>2947</v>
      </c>
      <c r="E1635" t="s">
        <v>2951</v>
      </c>
      <c r="F1635" t="s">
        <v>4495</v>
      </c>
      <c r="G1635" s="2">
        <v>45905</v>
      </c>
      <c r="H1635" s="2">
        <v>45908</v>
      </c>
      <c r="I1635" t="s">
        <v>5759</v>
      </c>
      <c r="J1635" t="s">
        <v>2949</v>
      </c>
      <c r="K1635">
        <v>78644.75</v>
      </c>
      <c r="L1635" t="s">
        <v>5773</v>
      </c>
      <c r="M1635">
        <v>3</v>
      </c>
    </row>
    <row r="1636" spans="1:13" x14ac:dyDescent="0.25">
      <c r="A1636">
        <v>1635</v>
      </c>
      <c r="B1636" t="s">
        <v>1647</v>
      </c>
      <c r="C1636">
        <v>29</v>
      </c>
      <c r="D1636" t="s">
        <v>2947</v>
      </c>
      <c r="E1636" t="s">
        <v>2951</v>
      </c>
      <c r="F1636" t="s">
        <v>4496</v>
      </c>
      <c r="G1636" s="2">
        <v>45816</v>
      </c>
      <c r="H1636" s="2">
        <v>45822</v>
      </c>
      <c r="I1636" t="s">
        <v>5760</v>
      </c>
      <c r="J1636" t="s">
        <v>2949</v>
      </c>
      <c r="K1636">
        <v>192283.99</v>
      </c>
      <c r="L1636" t="s">
        <v>5773</v>
      </c>
      <c r="M1636">
        <v>6</v>
      </c>
    </row>
    <row r="1637" spans="1:13" x14ac:dyDescent="0.25">
      <c r="A1637">
        <v>1636</v>
      </c>
      <c r="B1637" t="s">
        <v>1648</v>
      </c>
      <c r="C1637">
        <v>20</v>
      </c>
      <c r="D1637" t="s">
        <v>2947</v>
      </c>
      <c r="E1637" t="s">
        <v>2952</v>
      </c>
      <c r="F1637" t="s">
        <v>3499</v>
      </c>
      <c r="G1637" s="2">
        <v>45645</v>
      </c>
      <c r="H1637" s="2">
        <v>45650</v>
      </c>
      <c r="I1637" t="s">
        <v>5763</v>
      </c>
      <c r="J1637" t="s">
        <v>5771</v>
      </c>
      <c r="K1637">
        <v>301956.86</v>
      </c>
      <c r="L1637" t="s">
        <v>5773</v>
      </c>
      <c r="M1637">
        <v>5</v>
      </c>
    </row>
    <row r="1638" spans="1:13" x14ac:dyDescent="0.25">
      <c r="A1638">
        <v>1637</v>
      </c>
      <c r="B1638" t="s">
        <v>1649</v>
      </c>
      <c r="C1638">
        <v>52</v>
      </c>
      <c r="D1638" t="s">
        <v>2948</v>
      </c>
      <c r="E1638" t="s">
        <v>2953</v>
      </c>
      <c r="F1638" t="s">
        <v>4497</v>
      </c>
      <c r="G1638" s="2">
        <v>45636</v>
      </c>
      <c r="H1638" s="2">
        <v>45638</v>
      </c>
      <c r="I1638" t="s">
        <v>5763</v>
      </c>
      <c r="J1638" t="s">
        <v>5768</v>
      </c>
      <c r="K1638">
        <v>59228.18</v>
      </c>
      <c r="L1638" t="s">
        <v>5775</v>
      </c>
      <c r="M1638">
        <v>2</v>
      </c>
    </row>
    <row r="1639" spans="1:13" x14ac:dyDescent="0.25">
      <c r="A1639">
        <v>1638</v>
      </c>
      <c r="B1639" t="s">
        <v>1650</v>
      </c>
      <c r="C1639">
        <v>2</v>
      </c>
      <c r="D1639" t="s">
        <v>2947</v>
      </c>
      <c r="E1639" t="s">
        <v>2952</v>
      </c>
      <c r="F1639" t="s">
        <v>4498</v>
      </c>
      <c r="G1639" s="2">
        <v>45758</v>
      </c>
      <c r="H1639" s="2">
        <v>45764</v>
      </c>
      <c r="I1639" t="s">
        <v>5761</v>
      </c>
      <c r="J1639" t="s">
        <v>5771</v>
      </c>
      <c r="K1639">
        <v>116311.35</v>
      </c>
      <c r="L1639" t="s">
        <v>5773</v>
      </c>
      <c r="M1639">
        <v>6</v>
      </c>
    </row>
    <row r="1640" spans="1:13" x14ac:dyDescent="0.25">
      <c r="A1640">
        <v>1639</v>
      </c>
      <c r="B1640" t="s">
        <v>1651</v>
      </c>
      <c r="C1640">
        <v>74</v>
      </c>
      <c r="D1640" t="s">
        <v>2948</v>
      </c>
      <c r="E1640" t="s">
        <v>2952</v>
      </c>
      <c r="F1640" t="s">
        <v>4499</v>
      </c>
      <c r="G1640" s="2">
        <v>45775</v>
      </c>
      <c r="H1640" s="2">
        <v>45778</v>
      </c>
      <c r="I1640" t="s">
        <v>5765</v>
      </c>
      <c r="J1640" t="s">
        <v>5771</v>
      </c>
      <c r="K1640">
        <v>287566.03999999998</v>
      </c>
      <c r="L1640" t="s">
        <v>5775</v>
      </c>
      <c r="M1640">
        <v>3</v>
      </c>
    </row>
    <row r="1641" spans="1:13" x14ac:dyDescent="0.25">
      <c r="A1641">
        <v>1640</v>
      </c>
      <c r="B1641" t="s">
        <v>1652</v>
      </c>
      <c r="C1641">
        <v>28</v>
      </c>
      <c r="D1641" t="s">
        <v>2948</v>
      </c>
      <c r="E1641" t="s">
        <v>2953</v>
      </c>
      <c r="F1641" t="s">
        <v>4500</v>
      </c>
      <c r="G1641" s="2">
        <v>45861</v>
      </c>
      <c r="H1641" s="2">
        <v>45875</v>
      </c>
      <c r="I1641" t="s">
        <v>5765</v>
      </c>
      <c r="J1641" t="s">
        <v>5770</v>
      </c>
      <c r="K1641">
        <v>258937.60000000001</v>
      </c>
      <c r="L1641" t="s">
        <v>5775</v>
      </c>
      <c r="M1641">
        <v>14</v>
      </c>
    </row>
    <row r="1642" spans="1:13" x14ac:dyDescent="0.25">
      <c r="A1642">
        <v>1641</v>
      </c>
      <c r="B1642" t="s">
        <v>1653</v>
      </c>
      <c r="C1642">
        <v>84</v>
      </c>
      <c r="D1642" t="s">
        <v>2948</v>
      </c>
      <c r="E1642" t="s">
        <v>2954</v>
      </c>
      <c r="F1642" t="s">
        <v>4501</v>
      </c>
      <c r="G1642" s="2">
        <v>45694</v>
      </c>
      <c r="H1642" s="2">
        <v>45706</v>
      </c>
      <c r="I1642" t="s">
        <v>5765</v>
      </c>
      <c r="J1642" t="s">
        <v>5771</v>
      </c>
      <c r="K1642">
        <v>377935.67</v>
      </c>
      <c r="L1642" t="s">
        <v>5774</v>
      </c>
      <c r="M1642">
        <v>12</v>
      </c>
    </row>
    <row r="1643" spans="1:13" x14ac:dyDescent="0.25">
      <c r="A1643">
        <v>1642</v>
      </c>
      <c r="B1643" t="s">
        <v>1654</v>
      </c>
      <c r="C1643">
        <v>16</v>
      </c>
      <c r="D1643" t="s">
        <v>2947</v>
      </c>
      <c r="E1643" t="s">
        <v>2955</v>
      </c>
      <c r="F1643" t="s">
        <v>4502</v>
      </c>
      <c r="G1643" s="2">
        <v>45678</v>
      </c>
      <c r="H1643" s="2">
        <v>45691</v>
      </c>
      <c r="I1643" t="s">
        <v>5766</v>
      </c>
      <c r="J1643" t="s">
        <v>2949</v>
      </c>
      <c r="K1643">
        <v>412569.89</v>
      </c>
      <c r="L1643" t="s">
        <v>5774</v>
      </c>
      <c r="M1643">
        <v>13</v>
      </c>
    </row>
    <row r="1644" spans="1:13" x14ac:dyDescent="0.25">
      <c r="A1644">
        <v>1643</v>
      </c>
      <c r="B1644" t="s">
        <v>1655</v>
      </c>
      <c r="C1644">
        <v>60</v>
      </c>
      <c r="D1644" t="s">
        <v>2947</v>
      </c>
      <c r="E1644" t="s">
        <v>2949</v>
      </c>
      <c r="F1644" t="s">
        <v>4503</v>
      </c>
      <c r="G1644" s="2">
        <v>45885</v>
      </c>
      <c r="H1644" s="2">
        <v>45895</v>
      </c>
      <c r="I1644" t="s">
        <v>5766</v>
      </c>
      <c r="J1644" t="s">
        <v>5768</v>
      </c>
      <c r="K1644">
        <v>436633.9</v>
      </c>
      <c r="L1644" t="s">
        <v>5774</v>
      </c>
      <c r="M1644">
        <v>10</v>
      </c>
    </row>
    <row r="1645" spans="1:13" x14ac:dyDescent="0.25">
      <c r="A1645">
        <v>1644</v>
      </c>
      <c r="B1645" t="s">
        <v>1656</v>
      </c>
      <c r="C1645">
        <v>54</v>
      </c>
      <c r="D1645" t="s">
        <v>2948</v>
      </c>
      <c r="E1645" t="s">
        <v>2950</v>
      </c>
      <c r="F1645" t="s">
        <v>4504</v>
      </c>
      <c r="G1645" s="2">
        <v>45554</v>
      </c>
      <c r="H1645" s="2">
        <v>45559</v>
      </c>
      <c r="I1645" t="s">
        <v>5763</v>
      </c>
      <c r="J1645" t="s">
        <v>5769</v>
      </c>
      <c r="K1645">
        <v>310355.74</v>
      </c>
      <c r="L1645" t="s">
        <v>5775</v>
      </c>
      <c r="M1645">
        <v>5</v>
      </c>
    </row>
    <row r="1646" spans="1:13" x14ac:dyDescent="0.25">
      <c r="A1646">
        <v>1645</v>
      </c>
      <c r="B1646" t="s">
        <v>1657</v>
      </c>
      <c r="C1646">
        <v>87</v>
      </c>
      <c r="D1646" t="s">
        <v>2948</v>
      </c>
      <c r="E1646" t="s">
        <v>2954</v>
      </c>
      <c r="F1646" t="s">
        <v>4505</v>
      </c>
      <c r="G1646" s="2">
        <v>45551</v>
      </c>
      <c r="H1646" s="2">
        <v>45558</v>
      </c>
      <c r="I1646" t="s">
        <v>5760</v>
      </c>
      <c r="J1646" t="s">
        <v>5772</v>
      </c>
      <c r="K1646">
        <v>182683.11</v>
      </c>
      <c r="L1646" t="s">
        <v>5773</v>
      </c>
      <c r="M1646">
        <v>7</v>
      </c>
    </row>
    <row r="1647" spans="1:13" x14ac:dyDescent="0.25">
      <c r="A1647">
        <v>1646</v>
      </c>
      <c r="B1647" t="s">
        <v>1658</v>
      </c>
      <c r="C1647">
        <v>37</v>
      </c>
      <c r="D1647" t="s">
        <v>2948</v>
      </c>
      <c r="E1647" t="s">
        <v>2955</v>
      </c>
      <c r="F1647" t="s">
        <v>4506</v>
      </c>
      <c r="G1647" s="2">
        <v>45886</v>
      </c>
      <c r="H1647" s="2">
        <v>45890</v>
      </c>
      <c r="I1647" t="s">
        <v>5761</v>
      </c>
      <c r="J1647" t="s">
        <v>5772</v>
      </c>
      <c r="K1647">
        <v>319665.31</v>
      </c>
      <c r="L1647" t="s">
        <v>5773</v>
      </c>
      <c r="M1647">
        <v>4</v>
      </c>
    </row>
    <row r="1648" spans="1:13" x14ac:dyDescent="0.25">
      <c r="A1648">
        <v>1647</v>
      </c>
      <c r="B1648" t="s">
        <v>1659</v>
      </c>
      <c r="C1648">
        <v>56</v>
      </c>
      <c r="D1648" t="s">
        <v>2947</v>
      </c>
      <c r="E1648" t="s">
        <v>2955</v>
      </c>
      <c r="F1648" t="s">
        <v>4507</v>
      </c>
      <c r="G1648" s="2">
        <v>45818</v>
      </c>
      <c r="H1648" s="2">
        <v>45821</v>
      </c>
      <c r="I1648" t="s">
        <v>5763</v>
      </c>
      <c r="J1648" t="s">
        <v>5772</v>
      </c>
      <c r="K1648">
        <v>433045.35</v>
      </c>
      <c r="L1648" t="s">
        <v>5773</v>
      </c>
      <c r="M1648">
        <v>3</v>
      </c>
    </row>
    <row r="1649" spans="1:13" x14ac:dyDescent="0.25">
      <c r="A1649">
        <v>1648</v>
      </c>
      <c r="B1649" t="s">
        <v>1660</v>
      </c>
      <c r="C1649">
        <v>73</v>
      </c>
      <c r="D1649" t="s">
        <v>2948</v>
      </c>
      <c r="E1649" t="s">
        <v>2951</v>
      </c>
      <c r="F1649" t="s">
        <v>4508</v>
      </c>
      <c r="G1649" s="2">
        <v>45818</v>
      </c>
      <c r="H1649" s="2">
        <v>45830</v>
      </c>
      <c r="I1649" t="s">
        <v>5765</v>
      </c>
      <c r="J1649" t="s">
        <v>5771</v>
      </c>
      <c r="K1649">
        <v>277823.78999999998</v>
      </c>
      <c r="L1649" t="s">
        <v>5773</v>
      </c>
      <c r="M1649">
        <v>12</v>
      </c>
    </row>
    <row r="1650" spans="1:13" x14ac:dyDescent="0.25">
      <c r="A1650">
        <v>1649</v>
      </c>
      <c r="B1650" t="s">
        <v>1661</v>
      </c>
      <c r="C1650">
        <v>44</v>
      </c>
      <c r="D1650" t="s">
        <v>2947</v>
      </c>
      <c r="E1650" t="s">
        <v>2949</v>
      </c>
      <c r="F1650" t="s">
        <v>4509</v>
      </c>
      <c r="G1650" s="2">
        <v>45782</v>
      </c>
      <c r="H1650" s="2">
        <v>45797</v>
      </c>
      <c r="I1650" t="s">
        <v>5759</v>
      </c>
      <c r="J1650" t="s">
        <v>5769</v>
      </c>
      <c r="K1650">
        <v>445850.1</v>
      </c>
      <c r="L1650" t="s">
        <v>5775</v>
      </c>
      <c r="M1650">
        <v>15</v>
      </c>
    </row>
    <row r="1651" spans="1:13" x14ac:dyDescent="0.25">
      <c r="A1651">
        <v>1650</v>
      </c>
      <c r="B1651" t="s">
        <v>1662</v>
      </c>
      <c r="C1651">
        <v>15</v>
      </c>
      <c r="D1651" t="s">
        <v>2947</v>
      </c>
      <c r="E1651" t="s">
        <v>2949</v>
      </c>
      <c r="F1651" t="s">
        <v>4510</v>
      </c>
      <c r="G1651" s="2">
        <v>45831</v>
      </c>
      <c r="H1651" s="2">
        <v>45842</v>
      </c>
      <c r="I1651" t="s">
        <v>5758</v>
      </c>
      <c r="J1651" t="s">
        <v>2949</v>
      </c>
      <c r="K1651">
        <v>337746.57</v>
      </c>
      <c r="L1651" t="s">
        <v>5773</v>
      </c>
      <c r="M1651">
        <v>11</v>
      </c>
    </row>
    <row r="1652" spans="1:13" x14ac:dyDescent="0.25">
      <c r="A1652">
        <v>1651</v>
      </c>
      <c r="B1652" t="s">
        <v>1663</v>
      </c>
      <c r="C1652">
        <v>5</v>
      </c>
      <c r="D1652" t="s">
        <v>2947</v>
      </c>
      <c r="E1652" t="s">
        <v>2951</v>
      </c>
      <c r="F1652" t="s">
        <v>4511</v>
      </c>
      <c r="G1652" s="2">
        <v>45747</v>
      </c>
      <c r="H1652" s="2">
        <v>45759</v>
      </c>
      <c r="I1652" t="s">
        <v>5765</v>
      </c>
      <c r="J1652" t="s">
        <v>2949</v>
      </c>
      <c r="K1652">
        <v>308591.19</v>
      </c>
      <c r="L1652" t="s">
        <v>5773</v>
      </c>
      <c r="M1652">
        <v>12</v>
      </c>
    </row>
    <row r="1653" spans="1:13" x14ac:dyDescent="0.25">
      <c r="A1653">
        <v>1652</v>
      </c>
      <c r="B1653" t="s">
        <v>1664</v>
      </c>
      <c r="C1653">
        <v>2</v>
      </c>
      <c r="D1653" t="s">
        <v>2947</v>
      </c>
      <c r="E1653" t="s">
        <v>2952</v>
      </c>
      <c r="F1653" t="s">
        <v>4512</v>
      </c>
      <c r="G1653" s="2">
        <v>45757</v>
      </c>
      <c r="H1653" s="2">
        <v>45772</v>
      </c>
      <c r="I1653" t="s">
        <v>5758</v>
      </c>
      <c r="J1653" t="s">
        <v>2949</v>
      </c>
      <c r="K1653">
        <v>495674.93</v>
      </c>
      <c r="L1653" t="s">
        <v>5773</v>
      </c>
      <c r="M1653">
        <v>15</v>
      </c>
    </row>
    <row r="1654" spans="1:13" x14ac:dyDescent="0.25">
      <c r="A1654">
        <v>1653</v>
      </c>
      <c r="B1654" t="s">
        <v>1665</v>
      </c>
      <c r="C1654">
        <v>10</v>
      </c>
      <c r="D1654" t="s">
        <v>2948</v>
      </c>
      <c r="E1654" t="s">
        <v>2949</v>
      </c>
      <c r="F1654" t="s">
        <v>4513</v>
      </c>
      <c r="G1654" s="2">
        <v>45832</v>
      </c>
      <c r="H1654" s="2">
        <v>45835</v>
      </c>
      <c r="I1654" t="s">
        <v>5763</v>
      </c>
      <c r="J1654" t="s">
        <v>5770</v>
      </c>
      <c r="K1654">
        <v>60934.81</v>
      </c>
      <c r="L1654" t="s">
        <v>5775</v>
      </c>
      <c r="M1654">
        <v>3</v>
      </c>
    </row>
    <row r="1655" spans="1:13" x14ac:dyDescent="0.25">
      <c r="A1655">
        <v>1654</v>
      </c>
      <c r="B1655" t="s">
        <v>1666</v>
      </c>
      <c r="C1655">
        <v>4</v>
      </c>
      <c r="D1655" t="s">
        <v>2948</v>
      </c>
      <c r="E1655" t="s">
        <v>2953</v>
      </c>
      <c r="F1655" t="s">
        <v>4514</v>
      </c>
      <c r="G1655" s="2">
        <v>45745</v>
      </c>
      <c r="H1655" s="2">
        <v>45758</v>
      </c>
      <c r="I1655" t="s">
        <v>5766</v>
      </c>
      <c r="J1655" t="s">
        <v>5771</v>
      </c>
      <c r="K1655">
        <v>48439.17</v>
      </c>
      <c r="L1655" t="s">
        <v>5773</v>
      </c>
      <c r="M1655">
        <v>13</v>
      </c>
    </row>
    <row r="1656" spans="1:13" x14ac:dyDescent="0.25">
      <c r="A1656">
        <v>1655</v>
      </c>
      <c r="B1656" t="s">
        <v>1667</v>
      </c>
      <c r="C1656">
        <v>76</v>
      </c>
      <c r="D1656" t="s">
        <v>2948</v>
      </c>
      <c r="E1656" t="s">
        <v>2951</v>
      </c>
      <c r="F1656" t="s">
        <v>4515</v>
      </c>
      <c r="G1656" s="2">
        <v>45831</v>
      </c>
      <c r="H1656" s="2">
        <v>45834</v>
      </c>
      <c r="I1656" t="s">
        <v>5758</v>
      </c>
      <c r="J1656" t="s">
        <v>5768</v>
      </c>
      <c r="K1656">
        <v>333389.86</v>
      </c>
      <c r="L1656" t="s">
        <v>5773</v>
      </c>
      <c r="M1656">
        <v>3</v>
      </c>
    </row>
    <row r="1657" spans="1:13" x14ac:dyDescent="0.25">
      <c r="A1657">
        <v>1656</v>
      </c>
      <c r="B1657" t="s">
        <v>1668</v>
      </c>
      <c r="C1657">
        <v>6</v>
      </c>
      <c r="D1657" t="s">
        <v>2947</v>
      </c>
      <c r="E1657" t="s">
        <v>2950</v>
      </c>
      <c r="F1657" t="s">
        <v>4516</v>
      </c>
      <c r="G1657" s="2">
        <v>45695</v>
      </c>
      <c r="H1657" s="2">
        <v>45696</v>
      </c>
      <c r="I1657" t="s">
        <v>5764</v>
      </c>
      <c r="J1657" t="s">
        <v>2949</v>
      </c>
      <c r="K1657">
        <v>193889.81</v>
      </c>
      <c r="L1657" t="s">
        <v>5774</v>
      </c>
      <c r="M1657">
        <v>1</v>
      </c>
    </row>
    <row r="1658" spans="1:13" x14ac:dyDescent="0.25">
      <c r="A1658">
        <v>1657</v>
      </c>
      <c r="B1658" t="s">
        <v>1669</v>
      </c>
      <c r="C1658">
        <v>76</v>
      </c>
      <c r="D1658" t="s">
        <v>2947</v>
      </c>
      <c r="E1658" t="s">
        <v>2949</v>
      </c>
      <c r="F1658" t="s">
        <v>4517</v>
      </c>
      <c r="G1658" s="2">
        <v>45682</v>
      </c>
      <c r="H1658" s="2">
        <v>45697</v>
      </c>
      <c r="I1658" t="s">
        <v>5766</v>
      </c>
      <c r="J1658" t="s">
        <v>2949</v>
      </c>
      <c r="K1658">
        <v>413199.91</v>
      </c>
      <c r="L1658" t="s">
        <v>5773</v>
      </c>
      <c r="M1658">
        <v>15</v>
      </c>
    </row>
    <row r="1659" spans="1:13" x14ac:dyDescent="0.25">
      <c r="A1659">
        <v>1658</v>
      </c>
      <c r="B1659" t="s">
        <v>1670</v>
      </c>
      <c r="C1659">
        <v>61</v>
      </c>
      <c r="D1659" t="s">
        <v>2947</v>
      </c>
      <c r="E1659" t="s">
        <v>2955</v>
      </c>
      <c r="F1659" t="s">
        <v>4518</v>
      </c>
      <c r="G1659" s="2">
        <v>45724</v>
      </c>
      <c r="H1659" s="2">
        <v>45730</v>
      </c>
      <c r="I1659" t="s">
        <v>5763</v>
      </c>
      <c r="J1659" t="s">
        <v>5768</v>
      </c>
      <c r="K1659">
        <v>252521.85</v>
      </c>
      <c r="L1659" t="s">
        <v>5775</v>
      </c>
      <c r="M1659">
        <v>6</v>
      </c>
    </row>
    <row r="1660" spans="1:13" x14ac:dyDescent="0.25">
      <c r="A1660">
        <v>1659</v>
      </c>
      <c r="B1660" t="s">
        <v>1671</v>
      </c>
      <c r="C1660">
        <v>76</v>
      </c>
      <c r="D1660" t="s">
        <v>2947</v>
      </c>
      <c r="E1660" t="s">
        <v>2949</v>
      </c>
      <c r="F1660" t="s">
        <v>4519</v>
      </c>
      <c r="G1660" s="2">
        <v>45728</v>
      </c>
      <c r="H1660" s="2">
        <v>45733</v>
      </c>
      <c r="I1660" t="s">
        <v>5764</v>
      </c>
      <c r="J1660" t="s">
        <v>5772</v>
      </c>
      <c r="K1660">
        <v>454998.98</v>
      </c>
      <c r="L1660" t="s">
        <v>5774</v>
      </c>
      <c r="M1660">
        <v>5</v>
      </c>
    </row>
    <row r="1661" spans="1:13" x14ac:dyDescent="0.25">
      <c r="A1661">
        <v>1660</v>
      </c>
      <c r="B1661" t="s">
        <v>1672</v>
      </c>
      <c r="C1661">
        <v>6</v>
      </c>
      <c r="D1661" t="s">
        <v>2948</v>
      </c>
      <c r="E1661" t="s">
        <v>2950</v>
      </c>
      <c r="F1661" t="s">
        <v>775</v>
      </c>
      <c r="G1661" s="2">
        <v>45597</v>
      </c>
      <c r="H1661" s="2">
        <v>45606</v>
      </c>
      <c r="I1661" t="s">
        <v>5762</v>
      </c>
      <c r="J1661" t="s">
        <v>5771</v>
      </c>
      <c r="K1661">
        <v>39104.33</v>
      </c>
      <c r="L1661" t="s">
        <v>5775</v>
      </c>
      <c r="M1661">
        <v>9</v>
      </c>
    </row>
    <row r="1662" spans="1:13" x14ac:dyDescent="0.25">
      <c r="A1662">
        <v>1661</v>
      </c>
      <c r="B1662" t="s">
        <v>1673</v>
      </c>
      <c r="C1662">
        <v>14</v>
      </c>
      <c r="D1662" t="s">
        <v>2948</v>
      </c>
      <c r="E1662" t="s">
        <v>2950</v>
      </c>
      <c r="F1662" t="s">
        <v>4520</v>
      </c>
      <c r="G1662" s="2">
        <v>45842</v>
      </c>
      <c r="H1662" s="2">
        <v>45844</v>
      </c>
      <c r="I1662" t="s">
        <v>5767</v>
      </c>
      <c r="J1662" t="s">
        <v>5772</v>
      </c>
      <c r="K1662">
        <v>71265.7</v>
      </c>
      <c r="L1662" t="s">
        <v>5774</v>
      </c>
      <c r="M1662">
        <v>2</v>
      </c>
    </row>
    <row r="1663" spans="1:13" x14ac:dyDescent="0.25">
      <c r="A1663">
        <v>1662</v>
      </c>
      <c r="B1663" t="s">
        <v>1674</v>
      </c>
      <c r="C1663">
        <v>34</v>
      </c>
      <c r="D1663" t="s">
        <v>2948</v>
      </c>
      <c r="E1663" t="s">
        <v>2953</v>
      </c>
      <c r="F1663" t="s">
        <v>4521</v>
      </c>
      <c r="G1663" s="2">
        <v>45891</v>
      </c>
      <c r="H1663" s="2">
        <v>45895</v>
      </c>
      <c r="I1663" t="s">
        <v>5765</v>
      </c>
      <c r="J1663" t="s">
        <v>5771</v>
      </c>
      <c r="K1663">
        <v>64971.65</v>
      </c>
      <c r="L1663" t="s">
        <v>5775</v>
      </c>
      <c r="M1663">
        <v>4</v>
      </c>
    </row>
    <row r="1664" spans="1:13" x14ac:dyDescent="0.25">
      <c r="A1664">
        <v>1663</v>
      </c>
      <c r="B1664" t="s">
        <v>1675</v>
      </c>
      <c r="C1664">
        <v>47</v>
      </c>
      <c r="D1664" t="s">
        <v>2948</v>
      </c>
      <c r="E1664" t="s">
        <v>2949</v>
      </c>
      <c r="F1664" t="s">
        <v>4522</v>
      </c>
      <c r="G1664" s="2">
        <v>45567</v>
      </c>
      <c r="H1664" s="2">
        <v>45580</v>
      </c>
      <c r="I1664" t="s">
        <v>5767</v>
      </c>
      <c r="J1664" t="s">
        <v>5768</v>
      </c>
      <c r="K1664">
        <v>84435.62</v>
      </c>
      <c r="L1664" t="s">
        <v>5775</v>
      </c>
      <c r="M1664">
        <v>13</v>
      </c>
    </row>
    <row r="1665" spans="1:13" x14ac:dyDescent="0.25">
      <c r="A1665">
        <v>1664</v>
      </c>
      <c r="B1665" t="s">
        <v>1676</v>
      </c>
      <c r="C1665">
        <v>68</v>
      </c>
      <c r="D1665" t="s">
        <v>2947</v>
      </c>
      <c r="E1665" t="s">
        <v>2953</v>
      </c>
      <c r="F1665" t="s">
        <v>4523</v>
      </c>
      <c r="G1665" s="2">
        <v>45855</v>
      </c>
      <c r="H1665" s="2">
        <v>45861</v>
      </c>
      <c r="I1665" t="s">
        <v>5765</v>
      </c>
      <c r="J1665" t="s">
        <v>2949</v>
      </c>
      <c r="K1665">
        <v>100430.73</v>
      </c>
      <c r="L1665" t="s">
        <v>5775</v>
      </c>
      <c r="M1665">
        <v>6</v>
      </c>
    </row>
    <row r="1666" spans="1:13" x14ac:dyDescent="0.25">
      <c r="A1666">
        <v>1665</v>
      </c>
      <c r="B1666" t="s">
        <v>1677</v>
      </c>
      <c r="C1666">
        <v>55</v>
      </c>
      <c r="D1666" t="s">
        <v>2947</v>
      </c>
      <c r="E1666" t="s">
        <v>2952</v>
      </c>
      <c r="F1666" t="s">
        <v>2641</v>
      </c>
      <c r="G1666" s="2">
        <v>45590</v>
      </c>
      <c r="H1666" s="2">
        <v>45603</v>
      </c>
      <c r="I1666" t="s">
        <v>5767</v>
      </c>
      <c r="J1666" t="s">
        <v>5770</v>
      </c>
      <c r="K1666">
        <v>424102.13</v>
      </c>
      <c r="L1666" t="s">
        <v>5773</v>
      </c>
      <c r="M1666">
        <v>13</v>
      </c>
    </row>
    <row r="1667" spans="1:13" x14ac:dyDescent="0.25">
      <c r="A1667">
        <v>1666</v>
      </c>
      <c r="B1667" t="s">
        <v>1678</v>
      </c>
      <c r="C1667">
        <v>13</v>
      </c>
      <c r="D1667" t="s">
        <v>2947</v>
      </c>
      <c r="E1667" t="s">
        <v>2955</v>
      </c>
      <c r="F1667" t="s">
        <v>4524</v>
      </c>
      <c r="G1667" s="2">
        <v>45712</v>
      </c>
      <c r="H1667" s="2">
        <v>45721</v>
      </c>
      <c r="I1667" t="s">
        <v>5759</v>
      </c>
      <c r="J1667" t="s">
        <v>5768</v>
      </c>
      <c r="K1667">
        <v>111119.21</v>
      </c>
      <c r="L1667" t="s">
        <v>5773</v>
      </c>
      <c r="M1667">
        <v>9</v>
      </c>
    </row>
    <row r="1668" spans="1:13" x14ac:dyDescent="0.25">
      <c r="A1668">
        <v>1667</v>
      </c>
      <c r="B1668" t="s">
        <v>1679</v>
      </c>
      <c r="C1668">
        <v>16</v>
      </c>
      <c r="D1668" t="s">
        <v>2948</v>
      </c>
      <c r="E1668" t="s">
        <v>2949</v>
      </c>
      <c r="F1668" t="s">
        <v>705</v>
      </c>
      <c r="G1668" s="2">
        <v>45720</v>
      </c>
      <c r="H1668" s="2">
        <v>45723</v>
      </c>
      <c r="I1668" t="s">
        <v>5764</v>
      </c>
      <c r="J1668" t="s">
        <v>2949</v>
      </c>
      <c r="K1668">
        <v>417516.46</v>
      </c>
      <c r="L1668" t="s">
        <v>5775</v>
      </c>
      <c r="M1668">
        <v>3</v>
      </c>
    </row>
    <row r="1669" spans="1:13" x14ac:dyDescent="0.25">
      <c r="A1669">
        <v>1668</v>
      </c>
      <c r="B1669" t="s">
        <v>1680</v>
      </c>
      <c r="C1669">
        <v>4</v>
      </c>
      <c r="D1669" t="s">
        <v>2948</v>
      </c>
      <c r="E1669" t="s">
        <v>2951</v>
      </c>
      <c r="F1669" t="s">
        <v>4525</v>
      </c>
      <c r="G1669" s="2">
        <v>45708</v>
      </c>
      <c r="H1669" s="2">
        <v>45722</v>
      </c>
      <c r="I1669" t="s">
        <v>5767</v>
      </c>
      <c r="J1669" t="s">
        <v>2949</v>
      </c>
      <c r="K1669">
        <v>105947.11</v>
      </c>
      <c r="L1669" t="s">
        <v>5773</v>
      </c>
      <c r="M1669">
        <v>14</v>
      </c>
    </row>
    <row r="1670" spans="1:13" x14ac:dyDescent="0.25">
      <c r="A1670">
        <v>1669</v>
      </c>
      <c r="B1670" t="s">
        <v>1681</v>
      </c>
      <c r="C1670">
        <v>38</v>
      </c>
      <c r="D1670" t="s">
        <v>2947</v>
      </c>
      <c r="E1670" t="s">
        <v>2954</v>
      </c>
      <c r="F1670" t="s">
        <v>4526</v>
      </c>
      <c r="G1670" s="2">
        <v>45908</v>
      </c>
      <c r="H1670" s="2">
        <v>45914</v>
      </c>
      <c r="I1670" t="s">
        <v>5766</v>
      </c>
      <c r="J1670" t="s">
        <v>5768</v>
      </c>
      <c r="K1670">
        <v>307953.88</v>
      </c>
      <c r="L1670" t="s">
        <v>5774</v>
      </c>
      <c r="M1670">
        <v>6</v>
      </c>
    </row>
    <row r="1671" spans="1:13" x14ac:dyDescent="0.25">
      <c r="A1671">
        <v>1670</v>
      </c>
      <c r="B1671" t="s">
        <v>1682</v>
      </c>
      <c r="C1671">
        <v>61</v>
      </c>
      <c r="D1671" t="s">
        <v>2947</v>
      </c>
      <c r="E1671" t="s">
        <v>2954</v>
      </c>
      <c r="F1671" t="s">
        <v>4527</v>
      </c>
      <c r="G1671" s="2">
        <v>45596</v>
      </c>
      <c r="H1671" s="2">
        <v>45604</v>
      </c>
      <c r="I1671" t="s">
        <v>5760</v>
      </c>
      <c r="J1671" t="s">
        <v>5771</v>
      </c>
      <c r="K1671">
        <v>99985.89</v>
      </c>
      <c r="L1671" t="s">
        <v>5775</v>
      </c>
      <c r="M1671">
        <v>8</v>
      </c>
    </row>
    <row r="1672" spans="1:13" x14ac:dyDescent="0.25">
      <c r="A1672">
        <v>1671</v>
      </c>
      <c r="B1672" t="s">
        <v>1683</v>
      </c>
      <c r="C1672">
        <v>40</v>
      </c>
      <c r="D1672" t="s">
        <v>2948</v>
      </c>
      <c r="E1672" t="s">
        <v>2955</v>
      </c>
      <c r="F1672" t="s">
        <v>4528</v>
      </c>
      <c r="G1672" s="2">
        <v>45768</v>
      </c>
      <c r="H1672" s="2">
        <v>45774</v>
      </c>
      <c r="I1672" t="s">
        <v>5763</v>
      </c>
      <c r="J1672" t="s">
        <v>5768</v>
      </c>
      <c r="K1672">
        <v>489183</v>
      </c>
      <c r="L1672" t="s">
        <v>5774</v>
      </c>
      <c r="M1672">
        <v>6</v>
      </c>
    </row>
    <row r="1673" spans="1:13" x14ac:dyDescent="0.25">
      <c r="A1673">
        <v>1672</v>
      </c>
      <c r="B1673" t="s">
        <v>1684</v>
      </c>
      <c r="C1673">
        <v>7</v>
      </c>
      <c r="D1673" t="s">
        <v>2948</v>
      </c>
      <c r="E1673" t="s">
        <v>2949</v>
      </c>
      <c r="F1673" t="s">
        <v>4529</v>
      </c>
      <c r="G1673" s="2">
        <v>45866</v>
      </c>
      <c r="H1673" s="2">
        <v>45870</v>
      </c>
      <c r="I1673" t="s">
        <v>5759</v>
      </c>
      <c r="J1673" t="s">
        <v>5769</v>
      </c>
      <c r="K1673">
        <v>460328.72</v>
      </c>
      <c r="L1673" t="s">
        <v>5775</v>
      </c>
      <c r="M1673">
        <v>4</v>
      </c>
    </row>
    <row r="1674" spans="1:13" x14ac:dyDescent="0.25">
      <c r="A1674">
        <v>1673</v>
      </c>
      <c r="B1674" t="s">
        <v>1685</v>
      </c>
      <c r="C1674">
        <v>90</v>
      </c>
      <c r="D1674" t="s">
        <v>2948</v>
      </c>
      <c r="E1674" t="s">
        <v>2953</v>
      </c>
      <c r="F1674" t="s">
        <v>4530</v>
      </c>
      <c r="G1674" s="2">
        <v>45689</v>
      </c>
      <c r="H1674" s="2">
        <v>45691</v>
      </c>
      <c r="I1674" t="s">
        <v>5758</v>
      </c>
      <c r="J1674" t="s">
        <v>5771</v>
      </c>
      <c r="K1674">
        <v>84382.31</v>
      </c>
      <c r="L1674" t="s">
        <v>5775</v>
      </c>
      <c r="M1674">
        <v>2</v>
      </c>
    </row>
    <row r="1675" spans="1:13" x14ac:dyDescent="0.25">
      <c r="A1675">
        <v>1674</v>
      </c>
      <c r="B1675" t="s">
        <v>1686</v>
      </c>
      <c r="C1675">
        <v>59</v>
      </c>
      <c r="D1675" t="s">
        <v>2948</v>
      </c>
      <c r="E1675" t="s">
        <v>2955</v>
      </c>
      <c r="F1675" t="s">
        <v>4531</v>
      </c>
      <c r="G1675" s="2">
        <v>45714</v>
      </c>
      <c r="H1675" s="2">
        <v>45723</v>
      </c>
      <c r="I1675" t="s">
        <v>5766</v>
      </c>
      <c r="J1675" t="s">
        <v>5771</v>
      </c>
      <c r="K1675">
        <v>489805.41</v>
      </c>
      <c r="L1675" t="s">
        <v>5775</v>
      </c>
      <c r="M1675">
        <v>9</v>
      </c>
    </row>
    <row r="1676" spans="1:13" x14ac:dyDescent="0.25">
      <c r="A1676">
        <v>1675</v>
      </c>
      <c r="B1676" t="s">
        <v>1687</v>
      </c>
      <c r="C1676">
        <v>16</v>
      </c>
      <c r="D1676" t="s">
        <v>2948</v>
      </c>
      <c r="E1676" t="s">
        <v>2953</v>
      </c>
      <c r="F1676" t="s">
        <v>4532</v>
      </c>
      <c r="G1676" s="2">
        <v>45760</v>
      </c>
      <c r="H1676" s="2">
        <v>45762</v>
      </c>
      <c r="I1676" t="s">
        <v>5759</v>
      </c>
      <c r="J1676" t="s">
        <v>5768</v>
      </c>
      <c r="K1676">
        <v>443040.02</v>
      </c>
      <c r="L1676" t="s">
        <v>5775</v>
      </c>
      <c r="M1676">
        <v>2</v>
      </c>
    </row>
    <row r="1677" spans="1:13" x14ac:dyDescent="0.25">
      <c r="A1677">
        <v>1676</v>
      </c>
      <c r="B1677" t="s">
        <v>1688</v>
      </c>
      <c r="C1677">
        <v>38</v>
      </c>
      <c r="D1677" t="s">
        <v>2947</v>
      </c>
      <c r="E1677" t="s">
        <v>2954</v>
      </c>
      <c r="F1677" t="s">
        <v>4533</v>
      </c>
      <c r="G1677" s="2">
        <v>45798</v>
      </c>
      <c r="H1677" s="2">
        <v>45804</v>
      </c>
      <c r="I1677" t="s">
        <v>5761</v>
      </c>
      <c r="J1677" t="s">
        <v>5769</v>
      </c>
      <c r="K1677">
        <v>26599.24</v>
      </c>
      <c r="L1677" t="s">
        <v>5774</v>
      </c>
      <c r="M1677">
        <v>6</v>
      </c>
    </row>
    <row r="1678" spans="1:13" x14ac:dyDescent="0.25">
      <c r="A1678">
        <v>1677</v>
      </c>
      <c r="B1678" t="s">
        <v>1689</v>
      </c>
      <c r="C1678">
        <v>35</v>
      </c>
      <c r="D1678" t="s">
        <v>2948</v>
      </c>
      <c r="E1678" t="s">
        <v>2955</v>
      </c>
      <c r="F1678" t="s">
        <v>4534</v>
      </c>
      <c r="G1678" s="2">
        <v>45689</v>
      </c>
      <c r="H1678" s="2">
        <v>45697</v>
      </c>
      <c r="I1678" t="s">
        <v>5763</v>
      </c>
      <c r="J1678" t="s">
        <v>5768</v>
      </c>
      <c r="K1678">
        <v>333017.62</v>
      </c>
      <c r="L1678" t="s">
        <v>5773</v>
      </c>
      <c r="M1678">
        <v>8</v>
      </c>
    </row>
    <row r="1679" spans="1:13" x14ac:dyDescent="0.25">
      <c r="A1679">
        <v>1678</v>
      </c>
      <c r="B1679" t="s">
        <v>1690</v>
      </c>
      <c r="C1679">
        <v>16</v>
      </c>
      <c r="D1679" t="s">
        <v>2947</v>
      </c>
      <c r="E1679" t="s">
        <v>2952</v>
      </c>
      <c r="F1679" t="s">
        <v>4535</v>
      </c>
      <c r="G1679" s="2">
        <v>45914</v>
      </c>
      <c r="H1679" s="2">
        <v>45915</v>
      </c>
      <c r="I1679" t="s">
        <v>5761</v>
      </c>
      <c r="J1679" t="s">
        <v>5768</v>
      </c>
      <c r="K1679">
        <v>226088.49</v>
      </c>
      <c r="L1679" t="s">
        <v>5774</v>
      </c>
      <c r="M1679">
        <v>1</v>
      </c>
    </row>
    <row r="1680" spans="1:13" x14ac:dyDescent="0.25">
      <c r="A1680">
        <v>1679</v>
      </c>
      <c r="B1680" t="s">
        <v>1691</v>
      </c>
      <c r="C1680">
        <v>69</v>
      </c>
      <c r="D1680" t="s">
        <v>2948</v>
      </c>
      <c r="E1680" t="s">
        <v>2950</v>
      </c>
      <c r="F1680" t="s">
        <v>4536</v>
      </c>
      <c r="G1680" s="2">
        <v>45551</v>
      </c>
      <c r="H1680" s="2">
        <v>45560</v>
      </c>
      <c r="I1680" t="s">
        <v>5760</v>
      </c>
      <c r="J1680" t="s">
        <v>5768</v>
      </c>
      <c r="K1680">
        <v>449068.47</v>
      </c>
      <c r="L1680" t="s">
        <v>5773</v>
      </c>
      <c r="M1680">
        <v>9</v>
      </c>
    </row>
    <row r="1681" spans="1:13" x14ac:dyDescent="0.25">
      <c r="A1681">
        <v>1680</v>
      </c>
      <c r="B1681" t="s">
        <v>1692</v>
      </c>
      <c r="C1681">
        <v>17</v>
      </c>
      <c r="D1681" t="s">
        <v>2948</v>
      </c>
      <c r="E1681" t="s">
        <v>2949</v>
      </c>
      <c r="F1681" t="s">
        <v>4537</v>
      </c>
      <c r="G1681" s="2">
        <v>45699</v>
      </c>
      <c r="H1681" s="2">
        <v>45705</v>
      </c>
      <c r="I1681" t="s">
        <v>5758</v>
      </c>
      <c r="J1681" t="s">
        <v>2949</v>
      </c>
      <c r="K1681">
        <v>264997.09000000003</v>
      </c>
      <c r="L1681" t="s">
        <v>5775</v>
      </c>
      <c r="M1681">
        <v>6</v>
      </c>
    </row>
    <row r="1682" spans="1:13" x14ac:dyDescent="0.25">
      <c r="A1682">
        <v>1681</v>
      </c>
      <c r="B1682" t="s">
        <v>1693</v>
      </c>
      <c r="C1682">
        <v>87</v>
      </c>
      <c r="D1682" t="s">
        <v>2948</v>
      </c>
      <c r="E1682" t="s">
        <v>2950</v>
      </c>
      <c r="F1682" t="s">
        <v>4538</v>
      </c>
      <c r="G1682" s="2">
        <v>45752</v>
      </c>
      <c r="H1682" s="2">
        <v>45761</v>
      </c>
      <c r="I1682" t="s">
        <v>5760</v>
      </c>
      <c r="J1682" t="s">
        <v>5769</v>
      </c>
      <c r="K1682">
        <v>98758.51</v>
      </c>
      <c r="L1682" t="s">
        <v>5774</v>
      </c>
      <c r="M1682">
        <v>9</v>
      </c>
    </row>
    <row r="1683" spans="1:13" x14ac:dyDescent="0.25">
      <c r="A1683">
        <v>1682</v>
      </c>
      <c r="B1683" t="s">
        <v>1694</v>
      </c>
      <c r="C1683">
        <v>82</v>
      </c>
      <c r="D1683" t="s">
        <v>2948</v>
      </c>
      <c r="E1683" t="s">
        <v>2954</v>
      </c>
      <c r="F1683" t="s">
        <v>4539</v>
      </c>
      <c r="G1683" s="2">
        <v>45854</v>
      </c>
      <c r="H1683" s="2">
        <v>45858</v>
      </c>
      <c r="I1683" t="s">
        <v>5761</v>
      </c>
      <c r="J1683" t="s">
        <v>5768</v>
      </c>
      <c r="K1683">
        <v>453347.7</v>
      </c>
      <c r="L1683" t="s">
        <v>5773</v>
      </c>
      <c r="M1683">
        <v>4</v>
      </c>
    </row>
    <row r="1684" spans="1:13" x14ac:dyDescent="0.25">
      <c r="A1684">
        <v>1683</v>
      </c>
      <c r="B1684" t="s">
        <v>1695</v>
      </c>
      <c r="C1684">
        <v>35</v>
      </c>
      <c r="D1684" t="s">
        <v>2948</v>
      </c>
      <c r="E1684" t="s">
        <v>2954</v>
      </c>
      <c r="F1684" t="s">
        <v>4540</v>
      </c>
      <c r="G1684" s="2">
        <v>45868</v>
      </c>
      <c r="H1684" s="2">
        <v>45881</v>
      </c>
      <c r="I1684" t="s">
        <v>5761</v>
      </c>
      <c r="J1684" t="s">
        <v>2949</v>
      </c>
      <c r="K1684">
        <v>166367.76999999999</v>
      </c>
      <c r="L1684" t="s">
        <v>5773</v>
      </c>
      <c r="M1684">
        <v>13</v>
      </c>
    </row>
    <row r="1685" spans="1:13" x14ac:dyDescent="0.25">
      <c r="A1685">
        <v>1684</v>
      </c>
      <c r="B1685" t="s">
        <v>1696</v>
      </c>
      <c r="C1685">
        <v>4</v>
      </c>
      <c r="D1685" t="s">
        <v>2947</v>
      </c>
      <c r="E1685" t="s">
        <v>2952</v>
      </c>
      <c r="F1685" t="s">
        <v>4541</v>
      </c>
      <c r="G1685" s="2">
        <v>45781</v>
      </c>
      <c r="H1685" s="2">
        <v>45786</v>
      </c>
      <c r="I1685" t="s">
        <v>5758</v>
      </c>
      <c r="J1685" t="s">
        <v>5771</v>
      </c>
      <c r="K1685">
        <v>104102.29</v>
      </c>
      <c r="L1685" t="s">
        <v>5773</v>
      </c>
      <c r="M1685">
        <v>5</v>
      </c>
    </row>
    <row r="1686" spans="1:13" x14ac:dyDescent="0.25">
      <c r="A1686">
        <v>1685</v>
      </c>
      <c r="B1686" t="s">
        <v>1697</v>
      </c>
      <c r="C1686">
        <v>1</v>
      </c>
      <c r="D1686" t="s">
        <v>2948</v>
      </c>
      <c r="E1686" t="s">
        <v>2949</v>
      </c>
      <c r="F1686" t="s">
        <v>4542</v>
      </c>
      <c r="G1686" s="2">
        <v>45661</v>
      </c>
      <c r="H1686" s="2">
        <v>45673</v>
      </c>
      <c r="I1686" t="s">
        <v>5763</v>
      </c>
      <c r="J1686" t="s">
        <v>5768</v>
      </c>
      <c r="K1686">
        <v>103056.77</v>
      </c>
      <c r="L1686" t="s">
        <v>5775</v>
      </c>
      <c r="M1686">
        <v>12</v>
      </c>
    </row>
    <row r="1687" spans="1:13" x14ac:dyDescent="0.25">
      <c r="A1687">
        <v>1686</v>
      </c>
      <c r="B1687" t="s">
        <v>1698</v>
      </c>
      <c r="C1687">
        <v>46</v>
      </c>
      <c r="D1687" t="s">
        <v>2948</v>
      </c>
      <c r="E1687" t="s">
        <v>2954</v>
      </c>
      <c r="F1687" t="s">
        <v>1380</v>
      </c>
      <c r="G1687" s="2">
        <v>45654</v>
      </c>
      <c r="H1687" s="2">
        <v>45669</v>
      </c>
      <c r="I1687" t="s">
        <v>5761</v>
      </c>
      <c r="J1687" t="s">
        <v>5771</v>
      </c>
      <c r="K1687">
        <v>434645.45</v>
      </c>
      <c r="L1687" t="s">
        <v>5775</v>
      </c>
      <c r="M1687">
        <v>15</v>
      </c>
    </row>
    <row r="1688" spans="1:13" x14ac:dyDescent="0.25">
      <c r="A1688">
        <v>1687</v>
      </c>
      <c r="B1688" t="s">
        <v>1699</v>
      </c>
      <c r="C1688">
        <v>79</v>
      </c>
      <c r="D1688" t="s">
        <v>2947</v>
      </c>
      <c r="E1688" t="s">
        <v>2951</v>
      </c>
      <c r="F1688" t="s">
        <v>4543</v>
      </c>
      <c r="G1688" s="2">
        <v>45592</v>
      </c>
      <c r="H1688" s="2">
        <v>45601</v>
      </c>
      <c r="I1688" t="s">
        <v>5761</v>
      </c>
      <c r="J1688" t="s">
        <v>5768</v>
      </c>
      <c r="K1688">
        <v>234851.9</v>
      </c>
      <c r="L1688" t="s">
        <v>5775</v>
      </c>
      <c r="M1688">
        <v>9</v>
      </c>
    </row>
    <row r="1689" spans="1:13" x14ac:dyDescent="0.25">
      <c r="A1689">
        <v>1688</v>
      </c>
      <c r="B1689" t="s">
        <v>1700</v>
      </c>
      <c r="C1689">
        <v>17</v>
      </c>
      <c r="D1689" t="s">
        <v>2947</v>
      </c>
      <c r="E1689" t="s">
        <v>2953</v>
      </c>
      <c r="F1689" t="s">
        <v>4544</v>
      </c>
      <c r="G1689" s="2">
        <v>45600</v>
      </c>
      <c r="H1689" s="2">
        <v>45607</v>
      </c>
      <c r="I1689" t="s">
        <v>5761</v>
      </c>
      <c r="J1689" t="s">
        <v>5771</v>
      </c>
      <c r="K1689">
        <v>222760.99</v>
      </c>
      <c r="L1689" t="s">
        <v>5775</v>
      </c>
      <c r="M1689">
        <v>7</v>
      </c>
    </row>
    <row r="1690" spans="1:13" x14ac:dyDescent="0.25">
      <c r="A1690">
        <v>1689</v>
      </c>
      <c r="B1690" t="s">
        <v>1701</v>
      </c>
      <c r="C1690">
        <v>86</v>
      </c>
      <c r="D1690" t="s">
        <v>2947</v>
      </c>
      <c r="E1690" t="s">
        <v>2953</v>
      </c>
      <c r="F1690" t="s">
        <v>4545</v>
      </c>
      <c r="G1690" s="2">
        <v>45800</v>
      </c>
      <c r="H1690" s="2">
        <v>45807</v>
      </c>
      <c r="I1690" t="s">
        <v>5758</v>
      </c>
      <c r="J1690" t="s">
        <v>5769</v>
      </c>
      <c r="K1690">
        <v>180871.89</v>
      </c>
      <c r="L1690" t="s">
        <v>5773</v>
      </c>
      <c r="M1690">
        <v>7</v>
      </c>
    </row>
    <row r="1691" spans="1:13" x14ac:dyDescent="0.25">
      <c r="A1691">
        <v>1690</v>
      </c>
      <c r="B1691" t="s">
        <v>1702</v>
      </c>
      <c r="C1691">
        <v>25</v>
      </c>
      <c r="D1691" t="s">
        <v>2948</v>
      </c>
      <c r="E1691" t="s">
        <v>2955</v>
      </c>
      <c r="F1691" t="s">
        <v>4546</v>
      </c>
      <c r="G1691" s="2">
        <v>45627</v>
      </c>
      <c r="H1691" s="2">
        <v>45628</v>
      </c>
      <c r="I1691" t="s">
        <v>5762</v>
      </c>
      <c r="J1691" t="s">
        <v>5771</v>
      </c>
      <c r="K1691">
        <v>482138.23</v>
      </c>
      <c r="L1691" t="s">
        <v>5774</v>
      </c>
      <c r="M1691">
        <v>1</v>
      </c>
    </row>
    <row r="1692" spans="1:13" x14ac:dyDescent="0.25">
      <c r="A1692">
        <v>1691</v>
      </c>
      <c r="B1692" t="s">
        <v>1703</v>
      </c>
      <c r="C1692">
        <v>81</v>
      </c>
      <c r="D1692" t="s">
        <v>2947</v>
      </c>
      <c r="E1692" t="s">
        <v>2950</v>
      </c>
      <c r="F1692" t="s">
        <v>4547</v>
      </c>
      <c r="G1692" s="2">
        <v>45702</v>
      </c>
      <c r="H1692" s="2">
        <v>45704</v>
      </c>
      <c r="I1692" t="s">
        <v>5765</v>
      </c>
      <c r="J1692" t="s">
        <v>5768</v>
      </c>
      <c r="K1692">
        <v>137286.75</v>
      </c>
      <c r="L1692" t="s">
        <v>5774</v>
      </c>
      <c r="M1692">
        <v>2</v>
      </c>
    </row>
    <row r="1693" spans="1:13" x14ac:dyDescent="0.25">
      <c r="A1693">
        <v>1692</v>
      </c>
      <c r="B1693" t="s">
        <v>1704</v>
      </c>
      <c r="C1693">
        <v>24</v>
      </c>
      <c r="D1693" t="s">
        <v>2948</v>
      </c>
      <c r="E1693" t="s">
        <v>2950</v>
      </c>
      <c r="F1693" t="s">
        <v>4548</v>
      </c>
      <c r="G1693" s="2">
        <v>45795</v>
      </c>
      <c r="H1693" s="2">
        <v>45810</v>
      </c>
      <c r="I1693" t="s">
        <v>5762</v>
      </c>
      <c r="J1693" t="s">
        <v>5768</v>
      </c>
      <c r="K1693">
        <v>78210.7</v>
      </c>
      <c r="L1693" t="s">
        <v>5773</v>
      </c>
      <c r="M1693">
        <v>15</v>
      </c>
    </row>
    <row r="1694" spans="1:13" x14ac:dyDescent="0.25">
      <c r="A1694">
        <v>1693</v>
      </c>
      <c r="B1694" t="s">
        <v>1705</v>
      </c>
      <c r="C1694">
        <v>3</v>
      </c>
      <c r="D1694" t="s">
        <v>2947</v>
      </c>
      <c r="E1694" t="s">
        <v>2954</v>
      </c>
      <c r="F1694" t="s">
        <v>4549</v>
      </c>
      <c r="G1694" s="2">
        <v>45885</v>
      </c>
      <c r="H1694" s="2">
        <v>45892</v>
      </c>
      <c r="I1694" t="s">
        <v>5759</v>
      </c>
      <c r="J1694" t="s">
        <v>5772</v>
      </c>
      <c r="K1694">
        <v>453723.01</v>
      </c>
      <c r="L1694" t="s">
        <v>5774</v>
      </c>
      <c r="M1694">
        <v>7</v>
      </c>
    </row>
    <row r="1695" spans="1:13" x14ac:dyDescent="0.25">
      <c r="A1695">
        <v>1694</v>
      </c>
      <c r="B1695" t="s">
        <v>1706</v>
      </c>
      <c r="C1695">
        <v>71</v>
      </c>
      <c r="D1695" t="s">
        <v>2947</v>
      </c>
      <c r="E1695" t="s">
        <v>2954</v>
      </c>
      <c r="F1695" t="s">
        <v>1307</v>
      </c>
      <c r="G1695" s="2">
        <v>45890</v>
      </c>
      <c r="H1695" s="2">
        <v>45905</v>
      </c>
      <c r="I1695" t="s">
        <v>5763</v>
      </c>
      <c r="J1695" t="s">
        <v>5768</v>
      </c>
      <c r="K1695">
        <v>332896.87</v>
      </c>
      <c r="L1695" t="s">
        <v>5775</v>
      </c>
      <c r="M1695">
        <v>15</v>
      </c>
    </row>
    <row r="1696" spans="1:13" x14ac:dyDescent="0.25">
      <c r="A1696">
        <v>1695</v>
      </c>
      <c r="B1696" t="s">
        <v>1707</v>
      </c>
      <c r="C1696">
        <v>10</v>
      </c>
      <c r="D1696" t="s">
        <v>2947</v>
      </c>
      <c r="E1696" t="s">
        <v>2952</v>
      </c>
      <c r="F1696" t="s">
        <v>4550</v>
      </c>
      <c r="G1696" s="2">
        <v>45677</v>
      </c>
      <c r="H1696" s="2">
        <v>45679</v>
      </c>
      <c r="I1696" t="s">
        <v>5764</v>
      </c>
      <c r="J1696" t="s">
        <v>5771</v>
      </c>
      <c r="K1696">
        <v>274630.18</v>
      </c>
      <c r="L1696" t="s">
        <v>5774</v>
      </c>
      <c r="M1696">
        <v>2</v>
      </c>
    </row>
    <row r="1697" spans="1:13" x14ac:dyDescent="0.25">
      <c r="A1697">
        <v>1696</v>
      </c>
      <c r="B1697" t="s">
        <v>1708</v>
      </c>
      <c r="C1697">
        <v>42</v>
      </c>
      <c r="D1697" t="s">
        <v>2948</v>
      </c>
      <c r="E1697" t="s">
        <v>2955</v>
      </c>
      <c r="F1697" t="s">
        <v>4551</v>
      </c>
      <c r="G1697" s="2">
        <v>45657</v>
      </c>
      <c r="H1697" s="2">
        <v>45665</v>
      </c>
      <c r="I1697" t="s">
        <v>5759</v>
      </c>
      <c r="J1697" t="s">
        <v>5770</v>
      </c>
      <c r="K1697">
        <v>305615.98</v>
      </c>
      <c r="L1697" t="s">
        <v>5773</v>
      </c>
      <c r="M1697">
        <v>8</v>
      </c>
    </row>
    <row r="1698" spans="1:13" x14ac:dyDescent="0.25">
      <c r="A1698">
        <v>1697</v>
      </c>
      <c r="B1698" t="s">
        <v>1709</v>
      </c>
      <c r="C1698">
        <v>69</v>
      </c>
      <c r="D1698" t="s">
        <v>2948</v>
      </c>
      <c r="E1698" t="s">
        <v>2951</v>
      </c>
      <c r="F1698" t="s">
        <v>4552</v>
      </c>
      <c r="G1698" s="2">
        <v>45888</v>
      </c>
      <c r="H1698" s="2">
        <v>45895</v>
      </c>
      <c r="I1698" t="s">
        <v>5763</v>
      </c>
      <c r="J1698" t="s">
        <v>5771</v>
      </c>
      <c r="K1698">
        <v>494333.61</v>
      </c>
      <c r="L1698" t="s">
        <v>5774</v>
      </c>
      <c r="M1698">
        <v>7</v>
      </c>
    </row>
    <row r="1699" spans="1:13" x14ac:dyDescent="0.25">
      <c r="A1699">
        <v>1698</v>
      </c>
      <c r="B1699" t="s">
        <v>1710</v>
      </c>
      <c r="C1699">
        <v>24</v>
      </c>
      <c r="D1699" t="s">
        <v>2948</v>
      </c>
      <c r="E1699" t="s">
        <v>2949</v>
      </c>
      <c r="F1699" t="s">
        <v>4553</v>
      </c>
      <c r="G1699" s="2">
        <v>45680</v>
      </c>
      <c r="H1699" s="2">
        <v>45693</v>
      </c>
      <c r="I1699" t="s">
        <v>5765</v>
      </c>
      <c r="J1699" t="s">
        <v>5772</v>
      </c>
      <c r="K1699">
        <v>74201.2</v>
      </c>
      <c r="L1699" t="s">
        <v>5773</v>
      </c>
      <c r="M1699">
        <v>13</v>
      </c>
    </row>
    <row r="1700" spans="1:13" x14ac:dyDescent="0.25">
      <c r="A1700">
        <v>1699</v>
      </c>
      <c r="B1700" t="s">
        <v>1711</v>
      </c>
      <c r="C1700">
        <v>67</v>
      </c>
      <c r="D1700" t="s">
        <v>2947</v>
      </c>
      <c r="E1700" t="s">
        <v>2955</v>
      </c>
      <c r="F1700" t="s">
        <v>4554</v>
      </c>
      <c r="G1700" s="2">
        <v>45786</v>
      </c>
      <c r="H1700" s="2">
        <v>45794</v>
      </c>
      <c r="I1700" t="s">
        <v>5759</v>
      </c>
      <c r="J1700" t="s">
        <v>2949</v>
      </c>
      <c r="K1700">
        <v>135260.07999999999</v>
      </c>
      <c r="L1700" t="s">
        <v>5775</v>
      </c>
      <c r="M1700">
        <v>8</v>
      </c>
    </row>
    <row r="1701" spans="1:13" x14ac:dyDescent="0.25">
      <c r="A1701">
        <v>1700</v>
      </c>
      <c r="B1701" t="s">
        <v>1712</v>
      </c>
      <c r="C1701">
        <v>68</v>
      </c>
      <c r="D1701" t="s">
        <v>2948</v>
      </c>
      <c r="E1701" t="s">
        <v>2954</v>
      </c>
      <c r="F1701" t="s">
        <v>542</v>
      </c>
      <c r="G1701" s="2">
        <v>45817</v>
      </c>
      <c r="H1701" s="2">
        <v>45818</v>
      </c>
      <c r="I1701" t="s">
        <v>5764</v>
      </c>
      <c r="J1701" t="s">
        <v>5769</v>
      </c>
      <c r="K1701">
        <v>472910.55</v>
      </c>
      <c r="L1701" t="s">
        <v>5774</v>
      </c>
      <c r="M1701">
        <v>1</v>
      </c>
    </row>
    <row r="1702" spans="1:13" x14ac:dyDescent="0.25">
      <c r="A1702">
        <v>1701</v>
      </c>
      <c r="B1702" t="s">
        <v>1713</v>
      </c>
      <c r="C1702">
        <v>4</v>
      </c>
      <c r="D1702" t="s">
        <v>2947</v>
      </c>
      <c r="E1702" t="s">
        <v>2953</v>
      </c>
      <c r="F1702" t="s">
        <v>4555</v>
      </c>
      <c r="G1702" s="2">
        <v>45696</v>
      </c>
      <c r="H1702" s="2">
        <v>45699</v>
      </c>
      <c r="I1702" t="s">
        <v>5763</v>
      </c>
      <c r="J1702" t="s">
        <v>2949</v>
      </c>
      <c r="K1702">
        <v>120111.88</v>
      </c>
      <c r="L1702" t="s">
        <v>5773</v>
      </c>
      <c r="M1702">
        <v>3</v>
      </c>
    </row>
    <row r="1703" spans="1:13" x14ac:dyDescent="0.25">
      <c r="A1703">
        <v>1702</v>
      </c>
      <c r="B1703" t="s">
        <v>1714</v>
      </c>
      <c r="C1703">
        <v>66</v>
      </c>
      <c r="D1703" t="s">
        <v>2948</v>
      </c>
      <c r="E1703" t="s">
        <v>2952</v>
      </c>
      <c r="F1703" t="s">
        <v>4556</v>
      </c>
      <c r="G1703" s="2">
        <v>45841</v>
      </c>
      <c r="H1703" s="2">
        <v>45845</v>
      </c>
      <c r="I1703" t="s">
        <v>5763</v>
      </c>
      <c r="J1703" t="s">
        <v>5772</v>
      </c>
      <c r="K1703">
        <v>40054.33</v>
      </c>
      <c r="L1703" t="s">
        <v>5775</v>
      </c>
      <c r="M1703">
        <v>4</v>
      </c>
    </row>
    <row r="1704" spans="1:13" x14ac:dyDescent="0.25">
      <c r="A1704">
        <v>1703</v>
      </c>
      <c r="B1704" t="s">
        <v>1715</v>
      </c>
      <c r="C1704">
        <v>72</v>
      </c>
      <c r="D1704" t="s">
        <v>2948</v>
      </c>
      <c r="E1704" t="s">
        <v>2953</v>
      </c>
      <c r="F1704" t="s">
        <v>4557</v>
      </c>
      <c r="G1704" s="2">
        <v>45739</v>
      </c>
      <c r="H1704" s="2">
        <v>45747</v>
      </c>
      <c r="I1704" t="s">
        <v>5767</v>
      </c>
      <c r="J1704" t="s">
        <v>5772</v>
      </c>
      <c r="K1704">
        <v>31314.83</v>
      </c>
      <c r="L1704" t="s">
        <v>5774</v>
      </c>
      <c r="M1704">
        <v>8</v>
      </c>
    </row>
    <row r="1705" spans="1:13" x14ac:dyDescent="0.25">
      <c r="A1705">
        <v>1704</v>
      </c>
      <c r="B1705" t="s">
        <v>1716</v>
      </c>
      <c r="C1705">
        <v>73</v>
      </c>
      <c r="D1705" t="s">
        <v>2948</v>
      </c>
      <c r="E1705" t="s">
        <v>2950</v>
      </c>
      <c r="F1705" t="s">
        <v>4558</v>
      </c>
      <c r="G1705" s="2">
        <v>45584</v>
      </c>
      <c r="H1705" s="2">
        <v>45597</v>
      </c>
      <c r="I1705" t="s">
        <v>5766</v>
      </c>
      <c r="J1705" t="s">
        <v>2949</v>
      </c>
      <c r="K1705">
        <v>47867.63</v>
      </c>
      <c r="L1705" t="s">
        <v>5775</v>
      </c>
      <c r="M1705">
        <v>13</v>
      </c>
    </row>
    <row r="1706" spans="1:13" x14ac:dyDescent="0.25">
      <c r="A1706">
        <v>1705</v>
      </c>
      <c r="B1706" t="s">
        <v>1717</v>
      </c>
      <c r="C1706">
        <v>89</v>
      </c>
      <c r="D1706" t="s">
        <v>2948</v>
      </c>
      <c r="E1706" t="s">
        <v>2951</v>
      </c>
      <c r="F1706" t="s">
        <v>4559</v>
      </c>
      <c r="G1706" s="2">
        <v>45732</v>
      </c>
      <c r="H1706" s="2">
        <v>45741</v>
      </c>
      <c r="I1706" t="s">
        <v>5767</v>
      </c>
      <c r="J1706" t="s">
        <v>5769</v>
      </c>
      <c r="K1706">
        <v>56940.51</v>
      </c>
      <c r="L1706" t="s">
        <v>5774</v>
      </c>
      <c r="M1706">
        <v>9</v>
      </c>
    </row>
    <row r="1707" spans="1:13" x14ac:dyDescent="0.25">
      <c r="A1707">
        <v>1706</v>
      </c>
      <c r="B1707" t="s">
        <v>1718</v>
      </c>
      <c r="C1707">
        <v>74</v>
      </c>
      <c r="D1707" t="s">
        <v>2947</v>
      </c>
      <c r="E1707" t="s">
        <v>2953</v>
      </c>
      <c r="F1707" t="s">
        <v>4560</v>
      </c>
      <c r="G1707" s="2">
        <v>45800</v>
      </c>
      <c r="H1707" s="2">
        <v>45803</v>
      </c>
      <c r="I1707" t="s">
        <v>5761</v>
      </c>
      <c r="J1707" t="s">
        <v>5768</v>
      </c>
      <c r="K1707">
        <v>210952.52</v>
      </c>
      <c r="L1707" t="s">
        <v>5773</v>
      </c>
      <c r="M1707">
        <v>3</v>
      </c>
    </row>
    <row r="1708" spans="1:13" x14ac:dyDescent="0.25">
      <c r="A1708">
        <v>1707</v>
      </c>
      <c r="B1708" t="s">
        <v>1719</v>
      </c>
      <c r="C1708">
        <v>33</v>
      </c>
      <c r="D1708" t="s">
        <v>2948</v>
      </c>
      <c r="E1708" t="s">
        <v>2955</v>
      </c>
      <c r="F1708" t="s">
        <v>4561</v>
      </c>
      <c r="G1708" s="2">
        <v>45564</v>
      </c>
      <c r="H1708" s="2">
        <v>45566</v>
      </c>
      <c r="I1708" t="s">
        <v>5765</v>
      </c>
      <c r="J1708" t="s">
        <v>5772</v>
      </c>
      <c r="K1708">
        <v>218971.12</v>
      </c>
      <c r="L1708" t="s">
        <v>5773</v>
      </c>
      <c r="M1708">
        <v>2</v>
      </c>
    </row>
    <row r="1709" spans="1:13" x14ac:dyDescent="0.25">
      <c r="A1709">
        <v>1708</v>
      </c>
      <c r="B1709" t="s">
        <v>1720</v>
      </c>
      <c r="C1709">
        <v>21</v>
      </c>
      <c r="D1709" t="s">
        <v>2947</v>
      </c>
      <c r="E1709" t="s">
        <v>2950</v>
      </c>
      <c r="F1709" t="s">
        <v>4562</v>
      </c>
      <c r="G1709" s="2">
        <v>45589</v>
      </c>
      <c r="H1709" s="2">
        <v>45598</v>
      </c>
      <c r="I1709" t="s">
        <v>5759</v>
      </c>
      <c r="J1709" t="s">
        <v>2949</v>
      </c>
      <c r="K1709">
        <v>134346.9</v>
      </c>
      <c r="L1709" t="s">
        <v>5774</v>
      </c>
      <c r="M1709">
        <v>9</v>
      </c>
    </row>
    <row r="1710" spans="1:13" x14ac:dyDescent="0.25">
      <c r="A1710">
        <v>1709</v>
      </c>
      <c r="B1710" t="s">
        <v>1721</v>
      </c>
      <c r="C1710">
        <v>67</v>
      </c>
      <c r="D1710" t="s">
        <v>2947</v>
      </c>
      <c r="E1710" t="s">
        <v>2955</v>
      </c>
      <c r="F1710" t="s">
        <v>4563</v>
      </c>
      <c r="G1710" s="2">
        <v>45857</v>
      </c>
      <c r="H1710" s="2">
        <v>45867</v>
      </c>
      <c r="I1710" t="s">
        <v>5765</v>
      </c>
      <c r="J1710" t="s">
        <v>5768</v>
      </c>
      <c r="K1710">
        <v>312565.86</v>
      </c>
      <c r="L1710" t="s">
        <v>5774</v>
      </c>
      <c r="M1710">
        <v>10</v>
      </c>
    </row>
    <row r="1711" spans="1:13" x14ac:dyDescent="0.25">
      <c r="A1711">
        <v>1710</v>
      </c>
      <c r="B1711" t="s">
        <v>1722</v>
      </c>
      <c r="C1711">
        <v>39</v>
      </c>
      <c r="D1711" t="s">
        <v>2947</v>
      </c>
      <c r="E1711" t="s">
        <v>2952</v>
      </c>
      <c r="F1711" t="s">
        <v>4564</v>
      </c>
      <c r="G1711" s="2">
        <v>45625</v>
      </c>
      <c r="H1711" s="2">
        <v>45626</v>
      </c>
      <c r="I1711" t="s">
        <v>5758</v>
      </c>
      <c r="J1711" t="s">
        <v>5769</v>
      </c>
      <c r="K1711">
        <v>397597.68</v>
      </c>
      <c r="L1711" t="s">
        <v>5773</v>
      </c>
      <c r="M1711">
        <v>1</v>
      </c>
    </row>
    <row r="1712" spans="1:13" x14ac:dyDescent="0.25">
      <c r="A1712">
        <v>1711</v>
      </c>
      <c r="B1712" t="s">
        <v>1723</v>
      </c>
      <c r="C1712">
        <v>30</v>
      </c>
      <c r="D1712" t="s">
        <v>2947</v>
      </c>
      <c r="E1712" t="s">
        <v>2952</v>
      </c>
      <c r="F1712" t="s">
        <v>4565</v>
      </c>
      <c r="G1712" s="2">
        <v>45901</v>
      </c>
      <c r="H1712" s="2">
        <v>45914</v>
      </c>
      <c r="I1712" t="s">
        <v>5759</v>
      </c>
      <c r="J1712" t="s">
        <v>5770</v>
      </c>
      <c r="K1712">
        <v>187674.7</v>
      </c>
      <c r="L1712" t="s">
        <v>5775</v>
      </c>
      <c r="M1712">
        <v>13</v>
      </c>
    </row>
    <row r="1713" spans="1:13" x14ac:dyDescent="0.25">
      <c r="A1713">
        <v>1712</v>
      </c>
      <c r="B1713" t="s">
        <v>1724</v>
      </c>
      <c r="C1713">
        <v>90</v>
      </c>
      <c r="D1713" t="s">
        <v>2948</v>
      </c>
      <c r="E1713" t="s">
        <v>2952</v>
      </c>
      <c r="F1713" t="s">
        <v>4566</v>
      </c>
      <c r="G1713" s="2">
        <v>45739</v>
      </c>
      <c r="H1713" s="2">
        <v>45749</v>
      </c>
      <c r="I1713" t="s">
        <v>5767</v>
      </c>
      <c r="J1713" t="s">
        <v>5770</v>
      </c>
      <c r="K1713">
        <v>215578.33</v>
      </c>
      <c r="L1713" t="s">
        <v>5774</v>
      </c>
      <c r="M1713">
        <v>10</v>
      </c>
    </row>
    <row r="1714" spans="1:13" x14ac:dyDescent="0.25">
      <c r="A1714">
        <v>1713</v>
      </c>
      <c r="B1714" t="s">
        <v>1725</v>
      </c>
      <c r="C1714">
        <v>45</v>
      </c>
      <c r="D1714" t="s">
        <v>2948</v>
      </c>
      <c r="E1714" t="s">
        <v>2953</v>
      </c>
      <c r="F1714" t="s">
        <v>4567</v>
      </c>
      <c r="G1714" s="2">
        <v>45733</v>
      </c>
      <c r="H1714" s="2">
        <v>45742</v>
      </c>
      <c r="I1714" t="s">
        <v>5763</v>
      </c>
      <c r="J1714" t="s">
        <v>5771</v>
      </c>
      <c r="K1714">
        <v>354542</v>
      </c>
      <c r="L1714" t="s">
        <v>5773</v>
      </c>
      <c r="M1714">
        <v>9</v>
      </c>
    </row>
    <row r="1715" spans="1:13" x14ac:dyDescent="0.25">
      <c r="A1715">
        <v>1714</v>
      </c>
      <c r="B1715" t="s">
        <v>1726</v>
      </c>
      <c r="C1715">
        <v>58</v>
      </c>
      <c r="D1715" t="s">
        <v>2947</v>
      </c>
      <c r="E1715" t="s">
        <v>2954</v>
      </c>
      <c r="F1715" t="s">
        <v>4568</v>
      </c>
      <c r="G1715" s="2">
        <v>45780</v>
      </c>
      <c r="H1715" s="2">
        <v>45781</v>
      </c>
      <c r="I1715" t="s">
        <v>5760</v>
      </c>
      <c r="J1715" t="s">
        <v>5769</v>
      </c>
      <c r="K1715">
        <v>216951.16</v>
      </c>
      <c r="L1715" t="s">
        <v>5774</v>
      </c>
      <c r="M1715">
        <v>1</v>
      </c>
    </row>
    <row r="1716" spans="1:13" x14ac:dyDescent="0.25">
      <c r="A1716">
        <v>1715</v>
      </c>
      <c r="B1716" t="s">
        <v>1727</v>
      </c>
      <c r="C1716">
        <v>56</v>
      </c>
      <c r="D1716" t="s">
        <v>2947</v>
      </c>
      <c r="E1716" t="s">
        <v>2955</v>
      </c>
      <c r="F1716" t="s">
        <v>4569</v>
      </c>
      <c r="G1716" s="2">
        <v>45649</v>
      </c>
      <c r="H1716" s="2">
        <v>45654</v>
      </c>
      <c r="I1716" t="s">
        <v>5762</v>
      </c>
      <c r="J1716" t="s">
        <v>5769</v>
      </c>
      <c r="K1716">
        <v>302160.76</v>
      </c>
      <c r="L1716" t="s">
        <v>5773</v>
      </c>
      <c r="M1716">
        <v>5</v>
      </c>
    </row>
    <row r="1717" spans="1:13" x14ac:dyDescent="0.25">
      <c r="A1717">
        <v>1716</v>
      </c>
      <c r="B1717" t="s">
        <v>1728</v>
      </c>
      <c r="C1717">
        <v>80</v>
      </c>
      <c r="D1717" t="s">
        <v>2947</v>
      </c>
      <c r="E1717" t="s">
        <v>2949</v>
      </c>
      <c r="F1717" t="s">
        <v>4570</v>
      </c>
      <c r="G1717" s="2">
        <v>45651</v>
      </c>
      <c r="H1717" s="2">
        <v>45666</v>
      </c>
      <c r="I1717" t="s">
        <v>5764</v>
      </c>
      <c r="J1717" t="s">
        <v>5771</v>
      </c>
      <c r="K1717">
        <v>196122.4</v>
      </c>
      <c r="L1717" t="s">
        <v>5773</v>
      </c>
      <c r="M1717">
        <v>15</v>
      </c>
    </row>
    <row r="1718" spans="1:13" x14ac:dyDescent="0.25">
      <c r="A1718">
        <v>1717</v>
      </c>
      <c r="B1718" t="s">
        <v>1729</v>
      </c>
      <c r="C1718">
        <v>82</v>
      </c>
      <c r="D1718" t="s">
        <v>2947</v>
      </c>
      <c r="E1718" t="s">
        <v>2951</v>
      </c>
      <c r="F1718" t="s">
        <v>4571</v>
      </c>
      <c r="G1718" s="2">
        <v>45883</v>
      </c>
      <c r="H1718" s="2">
        <v>45889</v>
      </c>
      <c r="I1718" t="s">
        <v>5762</v>
      </c>
      <c r="J1718" t="s">
        <v>2949</v>
      </c>
      <c r="K1718">
        <v>78573.23</v>
      </c>
      <c r="L1718" t="s">
        <v>5774</v>
      </c>
      <c r="M1718">
        <v>6</v>
      </c>
    </row>
    <row r="1719" spans="1:13" x14ac:dyDescent="0.25">
      <c r="A1719">
        <v>1718</v>
      </c>
      <c r="B1719" t="s">
        <v>1730</v>
      </c>
      <c r="C1719">
        <v>56</v>
      </c>
      <c r="D1719" t="s">
        <v>2947</v>
      </c>
      <c r="E1719" t="s">
        <v>2955</v>
      </c>
      <c r="F1719" t="s">
        <v>4572</v>
      </c>
      <c r="G1719" s="2">
        <v>45837</v>
      </c>
      <c r="H1719" s="2">
        <v>45844</v>
      </c>
      <c r="I1719" t="s">
        <v>5764</v>
      </c>
      <c r="J1719" t="s">
        <v>5768</v>
      </c>
      <c r="K1719">
        <v>250568.94</v>
      </c>
      <c r="L1719" t="s">
        <v>5774</v>
      </c>
      <c r="M1719">
        <v>7</v>
      </c>
    </row>
    <row r="1720" spans="1:13" x14ac:dyDescent="0.25">
      <c r="A1720">
        <v>1719</v>
      </c>
      <c r="B1720" t="s">
        <v>1731</v>
      </c>
      <c r="C1720">
        <v>43</v>
      </c>
      <c r="D1720" t="s">
        <v>2948</v>
      </c>
      <c r="E1720" t="s">
        <v>2955</v>
      </c>
      <c r="F1720" t="s">
        <v>4573</v>
      </c>
      <c r="G1720" s="2">
        <v>45767</v>
      </c>
      <c r="H1720" s="2">
        <v>45773</v>
      </c>
      <c r="I1720" t="s">
        <v>5761</v>
      </c>
      <c r="J1720" t="s">
        <v>5772</v>
      </c>
      <c r="K1720">
        <v>386402.98</v>
      </c>
      <c r="L1720" t="s">
        <v>5775</v>
      </c>
      <c r="M1720">
        <v>6</v>
      </c>
    </row>
    <row r="1721" spans="1:13" x14ac:dyDescent="0.25">
      <c r="A1721">
        <v>1720</v>
      </c>
      <c r="B1721" t="s">
        <v>1732</v>
      </c>
      <c r="C1721">
        <v>53</v>
      </c>
      <c r="D1721" t="s">
        <v>2948</v>
      </c>
      <c r="E1721" t="s">
        <v>2949</v>
      </c>
      <c r="F1721" t="s">
        <v>4574</v>
      </c>
      <c r="G1721" s="2">
        <v>45739</v>
      </c>
      <c r="H1721" s="2">
        <v>45740</v>
      </c>
      <c r="I1721" t="s">
        <v>5765</v>
      </c>
      <c r="J1721" t="s">
        <v>5768</v>
      </c>
      <c r="K1721">
        <v>317256.12</v>
      </c>
      <c r="L1721" t="s">
        <v>5774</v>
      </c>
      <c r="M1721">
        <v>1</v>
      </c>
    </row>
    <row r="1722" spans="1:13" x14ac:dyDescent="0.25">
      <c r="A1722">
        <v>1721</v>
      </c>
      <c r="B1722" t="s">
        <v>1733</v>
      </c>
      <c r="C1722">
        <v>18</v>
      </c>
      <c r="D1722" t="s">
        <v>2948</v>
      </c>
      <c r="E1722" t="s">
        <v>2953</v>
      </c>
      <c r="F1722" t="s">
        <v>4575</v>
      </c>
      <c r="G1722" s="2">
        <v>45673</v>
      </c>
      <c r="H1722" s="2">
        <v>45678</v>
      </c>
      <c r="I1722" t="s">
        <v>5762</v>
      </c>
      <c r="J1722" t="s">
        <v>5768</v>
      </c>
      <c r="K1722">
        <v>479314.82</v>
      </c>
      <c r="L1722" t="s">
        <v>5775</v>
      </c>
      <c r="M1722">
        <v>5</v>
      </c>
    </row>
    <row r="1723" spans="1:13" x14ac:dyDescent="0.25">
      <c r="A1723">
        <v>1722</v>
      </c>
      <c r="B1723" t="s">
        <v>1734</v>
      </c>
      <c r="C1723">
        <v>5</v>
      </c>
      <c r="D1723" t="s">
        <v>2948</v>
      </c>
      <c r="E1723" t="s">
        <v>2954</v>
      </c>
      <c r="F1723" t="s">
        <v>4576</v>
      </c>
      <c r="G1723" s="2">
        <v>45640</v>
      </c>
      <c r="H1723" s="2">
        <v>45641</v>
      </c>
      <c r="I1723" t="s">
        <v>5759</v>
      </c>
      <c r="J1723" t="s">
        <v>5769</v>
      </c>
      <c r="K1723">
        <v>459351.88</v>
      </c>
      <c r="L1723" t="s">
        <v>5775</v>
      </c>
      <c r="M1723">
        <v>1</v>
      </c>
    </row>
    <row r="1724" spans="1:13" x14ac:dyDescent="0.25">
      <c r="A1724">
        <v>1723</v>
      </c>
      <c r="B1724" t="s">
        <v>1735</v>
      </c>
      <c r="C1724">
        <v>63</v>
      </c>
      <c r="D1724" t="s">
        <v>2948</v>
      </c>
      <c r="E1724" t="s">
        <v>2954</v>
      </c>
      <c r="F1724" t="s">
        <v>4577</v>
      </c>
      <c r="G1724" s="2">
        <v>45891</v>
      </c>
      <c r="H1724" s="2">
        <v>45899</v>
      </c>
      <c r="I1724" t="s">
        <v>5758</v>
      </c>
      <c r="J1724" t="s">
        <v>5768</v>
      </c>
      <c r="K1724">
        <v>394818.85</v>
      </c>
      <c r="L1724" t="s">
        <v>5773</v>
      </c>
      <c r="M1724">
        <v>8</v>
      </c>
    </row>
    <row r="1725" spans="1:13" x14ac:dyDescent="0.25">
      <c r="A1725">
        <v>1724</v>
      </c>
      <c r="B1725" t="s">
        <v>1736</v>
      </c>
      <c r="C1725">
        <v>28</v>
      </c>
      <c r="D1725" t="s">
        <v>2948</v>
      </c>
      <c r="E1725" t="s">
        <v>2951</v>
      </c>
      <c r="F1725" t="s">
        <v>4578</v>
      </c>
      <c r="G1725" s="2">
        <v>45900</v>
      </c>
      <c r="H1725" s="2">
        <v>45911</v>
      </c>
      <c r="I1725" t="s">
        <v>5758</v>
      </c>
      <c r="J1725" t="s">
        <v>5771</v>
      </c>
      <c r="K1725">
        <v>34681.360000000001</v>
      </c>
      <c r="L1725" t="s">
        <v>5774</v>
      </c>
      <c r="M1725">
        <v>11</v>
      </c>
    </row>
    <row r="1726" spans="1:13" x14ac:dyDescent="0.25">
      <c r="A1726">
        <v>1725</v>
      </c>
      <c r="B1726" t="s">
        <v>1737</v>
      </c>
      <c r="C1726">
        <v>34</v>
      </c>
      <c r="D1726" t="s">
        <v>2947</v>
      </c>
      <c r="E1726" t="s">
        <v>2949</v>
      </c>
      <c r="F1726" t="s">
        <v>4579</v>
      </c>
      <c r="G1726" s="2">
        <v>45679</v>
      </c>
      <c r="H1726" s="2">
        <v>45686</v>
      </c>
      <c r="I1726" t="s">
        <v>5763</v>
      </c>
      <c r="J1726" t="s">
        <v>5771</v>
      </c>
      <c r="K1726">
        <v>202946.11</v>
      </c>
      <c r="L1726" t="s">
        <v>5773</v>
      </c>
      <c r="M1726">
        <v>7</v>
      </c>
    </row>
    <row r="1727" spans="1:13" x14ac:dyDescent="0.25">
      <c r="A1727">
        <v>1726</v>
      </c>
      <c r="B1727" t="s">
        <v>1738</v>
      </c>
      <c r="C1727">
        <v>85</v>
      </c>
      <c r="D1727" t="s">
        <v>2947</v>
      </c>
      <c r="E1727" t="s">
        <v>2953</v>
      </c>
      <c r="F1727" t="s">
        <v>4580</v>
      </c>
      <c r="G1727" s="2">
        <v>45563</v>
      </c>
      <c r="H1727" s="2">
        <v>45573</v>
      </c>
      <c r="I1727" t="s">
        <v>5764</v>
      </c>
      <c r="J1727" t="s">
        <v>5769</v>
      </c>
      <c r="K1727">
        <v>199049.62</v>
      </c>
      <c r="L1727" t="s">
        <v>5773</v>
      </c>
      <c r="M1727">
        <v>10</v>
      </c>
    </row>
    <row r="1728" spans="1:13" x14ac:dyDescent="0.25">
      <c r="A1728">
        <v>1727</v>
      </c>
      <c r="B1728" t="s">
        <v>1739</v>
      </c>
      <c r="C1728">
        <v>34</v>
      </c>
      <c r="D1728" t="s">
        <v>2948</v>
      </c>
      <c r="E1728" t="s">
        <v>2955</v>
      </c>
      <c r="F1728" t="s">
        <v>4581</v>
      </c>
      <c r="G1728" s="2">
        <v>45621</v>
      </c>
      <c r="H1728" s="2">
        <v>45622</v>
      </c>
      <c r="I1728" t="s">
        <v>5759</v>
      </c>
      <c r="J1728" t="s">
        <v>5771</v>
      </c>
      <c r="K1728">
        <v>423956.63</v>
      </c>
      <c r="L1728" t="s">
        <v>5773</v>
      </c>
      <c r="M1728">
        <v>1</v>
      </c>
    </row>
    <row r="1729" spans="1:13" x14ac:dyDescent="0.25">
      <c r="A1729">
        <v>1728</v>
      </c>
      <c r="B1729" t="s">
        <v>1740</v>
      </c>
      <c r="C1729">
        <v>21</v>
      </c>
      <c r="D1729" t="s">
        <v>2947</v>
      </c>
      <c r="E1729" t="s">
        <v>2951</v>
      </c>
      <c r="F1729" t="s">
        <v>4582</v>
      </c>
      <c r="G1729" s="2">
        <v>45715</v>
      </c>
      <c r="H1729" s="2">
        <v>45718</v>
      </c>
      <c r="I1729" t="s">
        <v>5761</v>
      </c>
      <c r="J1729" t="s">
        <v>5770</v>
      </c>
      <c r="K1729">
        <v>316859.81</v>
      </c>
      <c r="L1729" t="s">
        <v>5773</v>
      </c>
      <c r="M1729">
        <v>3</v>
      </c>
    </row>
    <row r="1730" spans="1:13" x14ac:dyDescent="0.25">
      <c r="A1730">
        <v>1729</v>
      </c>
      <c r="B1730" t="s">
        <v>1741</v>
      </c>
      <c r="C1730">
        <v>33</v>
      </c>
      <c r="D1730" t="s">
        <v>2948</v>
      </c>
      <c r="E1730" t="s">
        <v>2950</v>
      </c>
      <c r="F1730" t="s">
        <v>4583</v>
      </c>
      <c r="G1730" s="2">
        <v>45754</v>
      </c>
      <c r="H1730" s="2">
        <v>45760</v>
      </c>
      <c r="I1730" t="s">
        <v>5766</v>
      </c>
      <c r="J1730" t="s">
        <v>5772</v>
      </c>
      <c r="K1730">
        <v>486582.35</v>
      </c>
      <c r="L1730" t="s">
        <v>5775</v>
      </c>
      <c r="M1730">
        <v>6</v>
      </c>
    </row>
    <row r="1731" spans="1:13" x14ac:dyDescent="0.25">
      <c r="A1731">
        <v>1730</v>
      </c>
      <c r="B1731" t="s">
        <v>1742</v>
      </c>
      <c r="C1731">
        <v>80</v>
      </c>
      <c r="D1731" t="s">
        <v>2948</v>
      </c>
      <c r="E1731" t="s">
        <v>2952</v>
      </c>
      <c r="F1731" t="s">
        <v>4584</v>
      </c>
      <c r="G1731" s="2">
        <v>45631</v>
      </c>
      <c r="H1731" s="2">
        <v>45633</v>
      </c>
      <c r="I1731" t="s">
        <v>5767</v>
      </c>
      <c r="J1731" t="s">
        <v>5772</v>
      </c>
      <c r="K1731">
        <v>462312.91</v>
      </c>
      <c r="L1731" t="s">
        <v>5775</v>
      </c>
      <c r="M1731">
        <v>2</v>
      </c>
    </row>
    <row r="1732" spans="1:13" x14ac:dyDescent="0.25">
      <c r="A1732">
        <v>1731</v>
      </c>
      <c r="B1732" t="s">
        <v>1743</v>
      </c>
      <c r="C1732">
        <v>81</v>
      </c>
      <c r="D1732" t="s">
        <v>2948</v>
      </c>
      <c r="E1732" t="s">
        <v>2949</v>
      </c>
      <c r="F1732" t="s">
        <v>4585</v>
      </c>
      <c r="G1732" s="2">
        <v>45615</v>
      </c>
      <c r="H1732" s="2">
        <v>45616</v>
      </c>
      <c r="I1732" t="s">
        <v>5765</v>
      </c>
      <c r="J1732" t="s">
        <v>5771</v>
      </c>
      <c r="K1732">
        <v>172503.79</v>
      </c>
      <c r="L1732" t="s">
        <v>5774</v>
      </c>
      <c r="M1732">
        <v>1</v>
      </c>
    </row>
    <row r="1733" spans="1:13" x14ac:dyDescent="0.25">
      <c r="A1733">
        <v>1732</v>
      </c>
      <c r="B1733" t="s">
        <v>1744</v>
      </c>
      <c r="C1733">
        <v>54</v>
      </c>
      <c r="D1733" t="s">
        <v>2948</v>
      </c>
      <c r="E1733" t="s">
        <v>2954</v>
      </c>
      <c r="F1733" t="s">
        <v>4586</v>
      </c>
      <c r="G1733" s="2">
        <v>45712</v>
      </c>
      <c r="H1733" s="2">
        <v>45726</v>
      </c>
      <c r="I1733" t="s">
        <v>5759</v>
      </c>
      <c r="J1733" t="s">
        <v>5772</v>
      </c>
      <c r="K1733">
        <v>317528.59999999998</v>
      </c>
      <c r="L1733" t="s">
        <v>5773</v>
      </c>
      <c r="M1733">
        <v>14</v>
      </c>
    </row>
    <row r="1734" spans="1:13" x14ac:dyDescent="0.25">
      <c r="A1734">
        <v>1733</v>
      </c>
      <c r="B1734" t="s">
        <v>1745</v>
      </c>
      <c r="C1734">
        <v>29</v>
      </c>
      <c r="D1734" t="s">
        <v>2947</v>
      </c>
      <c r="E1734" t="s">
        <v>2950</v>
      </c>
      <c r="F1734" t="s">
        <v>4587</v>
      </c>
      <c r="G1734" s="2">
        <v>45843</v>
      </c>
      <c r="H1734" s="2">
        <v>45857</v>
      </c>
      <c r="I1734" t="s">
        <v>5761</v>
      </c>
      <c r="J1734" t="s">
        <v>5768</v>
      </c>
      <c r="K1734">
        <v>78483.070000000007</v>
      </c>
      <c r="L1734" t="s">
        <v>5774</v>
      </c>
      <c r="M1734">
        <v>14</v>
      </c>
    </row>
    <row r="1735" spans="1:13" x14ac:dyDescent="0.25">
      <c r="A1735">
        <v>1734</v>
      </c>
      <c r="B1735" t="s">
        <v>1746</v>
      </c>
      <c r="C1735">
        <v>49</v>
      </c>
      <c r="D1735" t="s">
        <v>2948</v>
      </c>
      <c r="E1735" t="s">
        <v>2949</v>
      </c>
      <c r="F1735" t="s">
        <v>4588</v>
      </c>
      <c r="G1735" s="2">
        <v>45733</v>
      </c>
      <c r="H1735" s="2">
        <v>45747</v>
      </c>
      <c r="I1735" t="s">
        <v>5760</v>
      </c>
      <c r="J1735" t="s">
        <v>5768</v>
      </c>
      <c r="K1735">
        <v>391746.31</v>
      </c>
      <c r="L1735" t="s">
        <v>5773</v>
      </c>
      <c r="M1735">
        <v>14</v>
      </c>
    </row>
    <row r="1736" spans="1:13" x14ac:dyDescent="0.25">
      <c r="A1736">
        <v>1735</v>
      </c>
      <c r="B1736" t="s">
        <v>1747</v>
      </c>
      <c r="C1736">
        <v>58</v>
      </c>
      <c r="D1736" t="s">
        <v>2947</v>
      </c>
      <c r="E1736" t="s">
        <v>2951</v>
      </c>
      <c r="F1736" t="s">
        <v>4589</v>
      </c>
      <c r="G1736" s="2">
        <v>45630</v>
      </c>
      <c r="H1736" s="2">
        <v>45643</v>
      </c>
      <c r="I1736" t="s">
        <v>5767</v>
      </c>
      <c r="J1736" t="s">
        <v>5770</v>
      </c>
      <c r="K1736">
        <v>51177.37</v>
      </c>
      <c r="L1736" t="s">
        <v>5775</v>
      </c>
      <c r="M1736">
        <v>13</v>
      </c>
    </row>
    <row r="1737" spans="1:13" x14ac:dyDescent="0.25">
      <c r="A1737">
        <v>1736</v>
      </c>
      <c r="B1737" t="s">
        <v>1748</v>
      </c>
      <c r="C1737">
        <v>2</v>
      </c>
      <c r="D1737" t="s">
        <v>2947</v>
      </c>
      <c r="E1737" t="s">
        <v>2949</v>
      </c>
      <c r="F1737" t="s">
        <v>4590</v>
      </c>
      <c r="G1737" s="2">
        <v>45858</v>
      </c>
      <c r="H1737" s="2">
        <v>45871</v>
      </c>
      <c r="I1737" t="s">
        <v>5760</v>
      </c>
      <c r="J1737" t="s">
        <v>5768</v>
      </c>
      <c r="K1737">
        <v>386799.14</v>
      </c>
      <c r="L1737" t="s">
        <v>5774</v>
      </c>
      <c r="M1737">
        <v>13</v>
      </c>
    </row>
    <row r="1738" spans="1:13" x14ac:dyDescent="0.25">
      <c r="A1738">
        <v>1737</v>
      </c>
      <c r="B1738" t="s">
        <v>1749</v>
      </c>
      <c r="C1738">
        <v>13</v>
      </c>
      <c r="D1738" t="s">
        <v>2948</v>
      </c>
      <c r="E1738" t="s">
        <v>2954</v>
      </c>
      <c r="F1738" t="s">
        <v>4591</v>
      </c>
      <c r="G1738" s="2">
        <v>45852</v>
      </c>
      <c r="H1738" s="2">
        <v>45862</v>
      </c>
      <c r="I1738" t="s">
        <v>5765</v>
      </c>
      <c r="J1738" t="s">
        <v>2949</v>
      </c>
      <c r="K1738">
        <v>256232.84</v>
      </c>
      <c r="L1738" t="s">
        <v>5775</v>
      </c>
      <c r="M1738">
        <v>10</v>
      </c>
    </row>
    <row r="1739" spans="1:13" x14ac:dyDescent="0.25">
      <c r="A1739">
        <v>1738</v>
      </c>
      <c r="B1739" t="s">
        <v>1750</v>
      </c>
      <c r="C1739">
        <v>26</v>
      </c>
      <c r="D1739" t="s">
        <v>2947</v>
      </c>
      <c r="E1739" t="s">
        <v>2955</v>
      </c>
      <c r="F1739" t="s">
        <v>4592</v>
      </c>
      <c r="G1739" s="2">
        <v>45819</v>
      </c>
      <c r="H1739" s="2">
        <v>45826</v>
      </c>
      <c r="I1739" t="s">
        <v>5767</v>
      </c>
      <c r="J1739" t="s">
        <v>5772</v>
      </c>
      <c r="K1739">
        <v>50934.31</v>
      </c>
      <c r="L1739" t="s">
        <v>5773</v>
      </c>
      <c r="M1739">
        <v>7</v>
      </c>
    </row>
    <row r="1740" spans="1:13" x14ac:dyDescent="0.25">
      <c r="A1740">
        <v>1739</v>
      </c>
      <c r="B1740" t="s">
        <v>1751</v>
      </c>
      <c r="C1740">
        <v>71</v>
      </c>
      <c r="D1740" t="s">
        <v>2948</v>
      </c>
      <c r="E1740" t="s">
        <v>2949</v>
      </c>
      <c r="F1740" t="s">
        <v>4593</v>
      </c>
      <c r="G1740" s="2">
        <v>45742</v>
      </c>
      <c r="H1740" s="2">
        <v>45756</v>
      </c>
      <c r="I1740" t="s">
        <v>5765</v>
      </c>
      <c r="J1740" t="s">
        <v>5771</v>
      </c>
      <c r="K1740">
        <v>245193.17</v>
      </c>
      <c r="L1740" t="s">
        <v>5775</v>
      </c>
      <c r="M1740">
        <v>14</v>
      </c>
    </row>
    <row r="1741" spans="1:13" x14ac:dyDescent="0.25">
      <c r="A1741">
        <v>1740</v>
      </c>
      <c r="B1741" t="s">
        <v>1752</v>
      </c>
      <c r="C1741">
        <v>3</v>
      </c>
      <c r="D1741" t="s">
        <v>2948</v>
      </c>
      <c r="E1741" t="s">
        <v>2953</v>
      </c>
      <c r="F1741" t="s">
        <v>4594</v>
      </c>
      <c r="G1741" s="2">
        <v>45811</v>
      </c>
      <c r="H1741" s="2">
        <v>45824</v>
      </c>
      <c r="I1741" t="s">
        <v>5759</v>
      </c>
      <c r="J1741" t="s">
        <v>5769</v>
      </c>
      <c r="K1741">
        <v>418547.36</v>
      </c>
      <c r="L1741" t="s">
        <v>5775</v>
      </c>
      <c r="M1741">
        <v>13</v>
      </c>
    </row>
    <row r="1742" spans="1:13" x14ac:dyDescent="0.25">
      <c r="A1742">
        <v>1741</v>
      </c>
      <c r="B1742" t="s">
        <v>1753</v>
      </c>
      <c r="C1742">
        <v>55</v>
      </c>
      <c r="D1742" t="s">
        <v>2948</v>
      </c>
      <c r="E1742" t="s">
        <v>2950</v>
      </c>
      <c r="F1742" t="s">
        <v>4595</v>
      </c>
      <c r="G1742" s="2">
        <v>45862</v>
      </c>
      <c r="H1742" s="2">
        <v>45872</v>
      </c>
      <c r="I1742" t="s">
        <v>5762</v>
      </c>
      <c r="J1742" t="s">
        <v>5770</v>
      </c>
      <c r="K1742">
        <v>449231.94</v>
      </c>
      <c r="L1742" t="s">
        <v>5774</v>
      </c>
      <c r="M1742">
        <v>10</v>
      </c>
    </row>
    <row r="1743" spans="1:13" x14ac:dyDescent="0.25">
      <c r="A1743">
        <v>1742</v>
      </c>
      <c r="B1743" t="s">
        <v>1754</v>
      </c>
      <c r="C1743">
        <v>39</v>
      </c>
      <c r="D1743" t="s">
        <v>2947</v>
      </c>
      <c r="E1743" t="s">
        <v>2951</v>
      </c>
      <c r="F1743" t="s">
        <v>4596</v>
      </c>
      <c r="G1743" s="2">
        <v>45757</v>
      </c>
      <c r="H1743" s="2">
        <v>45767</v>
      </c>
      <c r="I1743" t="s">
        <v>5766</v>
      </c>
      <c r="J1743" t="s">
        <v>2949</v>
      </c>
      <c r="K1743">
        <v>449746.47</v>
      </c>
      <c r="L1743" t="s">
        <v>5773</v>
      </c>
      <c r="M1743">
        <v>10</v>
      </c>
    </row>
    <row r="1744" spans="1:13" x14ac:dyDescent="0.25">
      <c r="A1744">
        <v>1743</v>
      </c>
      <c r="B1744" t="s">
        <v>1755</v>
      </c>
      <c r="C1744">
        <v>75</v>
      </c>
      <c r="D1744" t="s">
        <v>2947</v>
      </c>
      <c r="E1744" t="s">
        <v>2951</v>
      </c>
      <c r="F1744" t="s">
        <v>4597</v>
      </c>
      <c r="G1744" s="2">
        <v>45720</v>
      </c>
      <c r="H1744" s="2">
        <v>45735</v>
      </c>
      <c r="I1744" t="s">
        <v>5767</v>
      </c>
      <c r="J1744" t="s">
        <v>5772</v>
      </c>
      <c r="K1744">
        <v>377736.98</v>
      </c>
      <c r="L1744" t="s">
        <v>5773</v>
      </c>
      <c r="M1744">
        <v>15</v>
      </c>
    </row>
    <row r="1745" spans="1:13" x14ac:dyDescent="0.25">
      <c r="A1745">
        <v>1744</v>
      </c>
      <c r="B1745" t="s">
        <v>1756</v>
      </c>
      <c r="C1745">
        <v>42</v>
      </c>
      <c r="D1745" t="s">
        <v>2947</v>
      </c>
      <c r="E1745" t="s">
        <v>2955</v>
      </c>
      <c r="F1745" t="s">
        <v>4598</v>
      </c>
      <c r="G1745" s="2">
        <v>45905</v>
      </c>
      <c r="H1745" s="2">
        <v>45919</v>
      </c>
      <c r="I1745" t="s">
        <v>5766</v>
      </c>
      <c r="J1745" t="s">
        <v>5768</v>
      </c>
      <c r="K1745">
        <v>144669.21</v>
      </c>
      <c r="L1745" t="s">
        <v>5774</v>
      </c>
      <c r="M1745">
        <v>14</v>
      </c>
    </row>
    <row r="1746" spans="1:13" x14ac:dyDescent="0.25">
      <c r="A1746">
        <v>1745</v>
      </c>
      <c r="B1746" t="s">
        <v>1757</v>
      </c>
      <c r="C1746">
        <v>53</v>
      </c>
      <c r="D1746" t="s">
        <v>2947</v>
      </c>
      <c r="E1746" t="s">
        <v>2951</v>
      </c>
      <c r="F1746" t="s">
        <v>4599</v>
      </c>
      <c r="G1746" s="2">
        <v>45703</v>
      </c>
      <c r="H1746" s="2">
        <v>45713</v>
      </c>
      <c r="I1746" t="s">
        <v>5761</v>
      </c>
      <c r="J1746" t="s">
        <v>5772</v>
      </c>
      <c r="K1746">
        <v>191437</v>
      </c>
      <c r="L1746" t="s">
        <v>5774</v>
      </c>
      <c r="M1746">
        <v>10</v>
      </c>
    </row>
    <row r="1747" spans="1:13" x14ac:dyDescent="0.25">
      <c r="A1747">
        <v>1746</v>
      </c>
      <c r="B1747" t="s">
        <v>1758</v>
      </c>
      <c r="C1747">
        <v>23</v>
      </c>
      <c r="D1747" t="s">
        <v>2948</v>
      </c>
      <c r="E1747" t="s">
        <v>2953</v>
      </c>
      <c r="F1747" t="s">
        <v>4600</v>
      </c>
      <c r="G1747" s="2">
        <v>45575</v>
      </c>
      <c r="H1747" s="2">
        <v>45590</v>
      </c>
      <c r="I1747" t="s">
        <v>5759</v>
      </c>
      <c r="J1747" t="s">
        <v>5770</v>
      </c>
      <c r="K1747">
        <v>494435.43</v>
      </c>
      <c r="L1747" t="s">
        <v>5773</v>
      </c>
      <c r="M1747">
        <v>15</v>
      </c>
    </row>
    <row r="1748" spans="1:13" x14ac:dyDescent="0.25">
      <c r="A1748">
        <v>1747</v>
      </c>
      <c r="B1748" t="s">
        <v>1759</v>
      </c>
      <c r="C1748">
        <v>80</v>
      </c>
      <c r="D1748" t="s">
        <v>2947</v>
      </c>
      <c r="E1748" t="s">
        <v>2954</v>
      </c>
      <c r="F1748" t="s">
        <v>4601</v>
      </c>
      <c r="G1748" s="2">
        <v>45552</v>
      </c>
      <c r="H1748" s="2">
        <v>45562</v>
      </c>
      <c r="I1748" t="s">
        <v>5765</v>
      </c>
      <c r="J1748" t="s">
        <v>5770</v>
      </c>
      <c r="K1748">
        <v>409730.75</v>
      </c>
      <c r="L1748" t="s">
        <v>5773</v>
      </c>
      <c r="M1748">
        <v>10</v>
      </c>
    </row>
    <row r="1749" spans="1:13" x14ac:dyDescent="0.25">
      <c r="A1749">
        <v>1748</v>
      </c>
      <c r="B1749" t="s">
        <v>1760</v>
      </c>
      <c r="C1749">
        <v>62</v>
      </c>
      <c r="D1749" t="s">
        <v>2948</v>
      </c>
      <c r="E1749" t="s">
        <v>2954</v>
      </c>
      <c r="F1749" t="s">
        <v>4602</v>
      </c>
      <c r="G1749" s="2">
        <v>45749</v>
      </c>
      <c r="H1749" s="2">
        <v>45750</v>
      </c>
      <c r="I1749" t="s">
        <v>5766</v>
      </c>
      <c r="J1749" t="s">
        <v>5769</v>
      </c>
      <c r="K1749">
        <v>16083.52</v>
      </c>
      <c r="L1749" t="s">
        <v>5775</v>
      </c>
      <c r="M1749">
        <v>1</v>
      </c>
    </row>
    <row r="1750" spans="1:13" x14ac:dyDescent="0.25">
      <c r="A1750">
        <v>1749</v>
      </c>
      <c r="B1750" t="s">
        <v>1761</v>
      </c>
      <c r="C1750">
        <v>85</v>
      </c>
      <c r="D1750" t="s">
        <v>2947</v>
      </c>
      <c r="E1750" t="s">
        <v>2955</v>
      </c>
      <c r="F1750" t="s">
        <v>4603</v>
      </c>
      <c r="G1750" s="2">
        <v>45578</v>
      </c>
      <c r="H1750" s="2">
        <v>45586</v>
      </c>
      <c r="I1750" t="s">
        <v>5764</v>
      </c>
      <c r="J1750" t="s">
        <v>5768</v>
      </c>
      <c r="K1750">
        <v>92965.46</v>
      </c>
      <c r="L1750" t="s">
        <v>5774</v>
      </c>
      <c r="M1750">
        <v>8</v>
      </c>
    </row>
    <row r="1751" spans="1:13" x14ac:dyDescent="0.25">
      <c r="A1751">
        <v>1750</v>
      </c>
      <c r="B1751" t="s">
        <v>1762</v>
      </c>
      <c r="C1751">
        <v>33</v>
      </c>
      <c r="D1751" t="s">
        <v>2947</v>
      </c>
      <c r="E1751" t="s">
        <v>2952</v>
      </c>
      <c r="F1751" t="s">
        <v>4604</v>
      </c>
      <c r="G1751" s="2">
        <v>45681</v>
      </c>
      <c r="H1751" s="2">
        <v>45685</v>
      </c>
      <c r="I1751" t="s">
        <v>5759</v>
      </c>
      <c r="J1751" t="s">
        <v>2949</v>
      </c>
      <c r="K1751">
        <v>461441.45</v>
      </c>
      <c r="L1751" t="s">
        <v>5773</v>
      </c>
      <c r="M1751">
        <v>4</v>
      </c>
    </row>
    <row r="1752" spans="1:13" x14ac:dyDescent="0.25">
      <c r="A1752">
        <v>1751</v>
      </c>
      <c r="B1752" t="s">
        <v>1763</v>
      </c>
      <c r="C1752">
        <v>17</v>
      </c>
      <c r="D1752" t="s">
        <v>2948</v>
      </c>
      <c r="E1752" t="s">
        <v>2953</v>
      </c>
      <c r="F1752" t="s">
        <v>4605</v>
      </c>
      <c r="G1752" s="2">
        <v>45688</v>
      </c>
      <c r="H1752" s="2">
        <v>45702</v>
      </c>
      <c r="I1752" t="s">
        <v>5765</v>
      </c>
      <c r="J1752" t="s">
        <v>5771</v>
      </c>
      <c r="K1752">
        <v>250063.47</v>
      </c>
      <c r="L1752" t="s">
        <v>5775</v>
      </c>
      <c r="M1752">
        <v>14</v>
      </c>
    </row>
    <row r="1753" spans="1:13" x14ac:dyDescent="0.25">
      <c r="A1753">
        <v>1752</v>
      </c>
      <c r="B1753" t="s">
        <v>1764</v>
      </c>
      <c r="C1753">
        <v>34</v>
      </c>
      <c r="D1753" t="s">
        <v>2948</v>
      </c>
      <c r="E1753" t="s">
        <v>2950</v>
      </c>
      <c r="F1753" t="s">
        <v>4606</v>
      </c>
      <c r="G1753" s="2">
        <v>45557</v>
      </c>
      <c r="H1753" s="2">
        <v>45564</v>
      </c>
      <c r="I1753" t="s">
        <v>5767</v>
      </c>
      <c r="J1753" t="s">
        <v>5772</v>
      </c>
      <c r="K1753">
        <v>141557.22</v>
      </c>
      <c r="L1753" t="s">
        <v>5775</v>
      </c>
      <c r="M1753">
        <v>7</v>
      </c>
    </row>
    <row r="1754" spans="1:13" x14ac:dyDescent="0.25">
      <c r="A1754">
        <v>1753</v>
      </c>
      <c r="B1754" t="s">
        <v>1765</v>
      </c>
      <c r="C1754">
        <v>22</v>
      </c>
      <c r="D1754" t="s">
        <v>2948</v>
      </c>
      <c r="E1754" t="s">
        <v>2951</v>
      </c>
      <c r="F1754" t="s">
        <v>518</v>
      </c>
      <c r="G1754" s="2">
        <v>45858</v>
      </c>
      <c r="H1754" s="2">
        <v>45861</v>
      </c>
      <c r="I1754" t="s">
        <v>5765</v>
      </c>
      <c r="J1754" t="s">
        <v>5772</v>
      </c>
      <c r="K1754">
        <v>235409.9</v>
      </c>
      <c r="L1754" t="s">
        <v>5774</v>
      </c>
      <c r="M1754">
        <v>3</v>
      </c>
    </row>
    <row r="1755" spans="1:13" x14ac:dyDescent="0.25">
      <c r="A1755">
        <v>1754</v>
      </c>
      <c r="B1755" t="s">
        <v>1766</v>
      </c>
      <c r="C1755">
        <v>49</v>
      </c>
      <c r="D1755" t="s">
        <v>2947</v>
      </c>
      <c r="E1755" t="s">
        <v>2949</v>
      </c>
      <c r="F1755" t="s">
        <v>4607</v>
      </c>
      <c r="G1755" s="2">
        <v>45692</v>
      </c>
      <c r="H1755" s="2">
        <v>45698</v>
      </c>
      <c r="I1755" t="s">
        <v>5762</v>
      </c>
      <c r="J1755" t="s">
        <v>5769</v>
      </c>
      <c r="K1755">
        <v>351231.07</v>
      </c>
      <c r="L1755" t="s">
        <v>5774</v>
      </c>
      <c r="M1755">
        <v>6</v>
      </c>
    </row>
    <row r="1756" spans="1:13" x14ac:dyDescent="0.25">
      <c r="A1756">
        <v>1755</v>
      </c>
      <c r="B1756" t="s">
        <v>1767</v>
      </c>
      <c r="C1756">
        <v>34</v>
      </c>
      <c r="D1756" t="s">
        <v>2947</v>
      </c>
      <c r="E1756" t="s">
        <v>2951</v>
      </c>
      <c r="F1756" t="s">
        <v>4608</v>
      </c>
      <c r="G1756" s="2">
        <v>45781</v>
      </c>
      <c r="H1756" s="2">
        <v>45783</v>
      </c>
      <c r="I1756" t="s">
        <v>5767</v>
      </c>
      <c r="J1756" t="s">
        <v>5769</v>
      </c>
      <c r="K1756">
        <v>24207.98</v>
      </c>
      <c r="L1756" t="s">
        <v>5775</v>
      </c>
      <c r="M1756">
        <v>2</v>
      </c>
    </row>
    <row r="1757" spans="1:13" x14ac:dyDescent="0.25">
      <c r="A1757">
        <v>1756</v>
      </c>
      <c r="B1757" t="s">
        <v>1768</v>
      </c>
      <c r="C1757">
        <v>33</v>
      </c>
      <c r="D1757" t="s">
        <v>2948</v>
      </c>
      <c r="E1757" t="s">
        <v>2953</v>
      </c>
      <c r="F1757" t="s">
        <v>4609</v>
      </c>
      <c r="G1757" s="2">
        <v>45754</v>
      </c>
      <c r="H1757" s="2">
        <v>45759</v>
      </c>
      <c r="I1757" t="s">
        <v>5759</v>
      </c>
      <c r="J1757" t="s">
        <v>5770</v>
      </c>
      <c r="K1757">
        <v>222139.98</v>
      </c>
      <c r="L1757" t="s">
        <v>5773</v>
      </c>
      <c r="M1757">
        <v>5</v>
      </c>
    </row>
    <row r="1758" spans="1:13" x14ac:dyDescent="0.25">
      <c r="A1758">
        <v>1757</v>
      </c>
      <c r="B1758" t="s">
        <v>1769</v>
      </c>
      <c r="C1758">
        <v>29</v>
      </c>
      <c r="D1758" t="s">
        <v>2948</v>
      </c>
      <c r="E1758" t="s">
        <v>2949</v>
      </c>
      <c r="F1758" t="s">
        <v>3943</v>
      </c>
      <c r="G1758" s="2">
        <v>45660</v>
      </c>
      <c r="H1758" s="2">
        <v>45664</v>
      </c>
      <c r="I1758" t="s">
        <v>5764</v>
      </c>
      <c r="J1758" t="s">
        <v>5772</v>
      </c>
      <c r="K1758">
        <v>113466.77</v>
      </c>
      <c r="L1758" t="s">
        <v>5773</v>
      </c>
      <c r="M1758">
        <v>4</v>
      </c>
    </row>
    <row r="1759" spans="1:13" x14ac:dyDescent="0.25">
      <c r="A1759">
        <v>1758</v>
      </c>
      <c r="B1759" t="s">
        <v>1770</v>
      </c>
      <c r="C1759">
        <v>17</v>
      </c>
      <c r="D1759" t="s">
        <v>2948</v>
      </c>
      <c r="E1759" t="s">
        <v>2949</v>
      </c>
      <c r="F1759" t="s">
        <v>4610</v>
      </c>
      <c r="G1759" s="2">
        <v>45610</v>
      </c>
      <c r="H1759" s="2">
        <v>45619</v>
      </c>
      <c r="I1759" t="s">
        <v>5763</v>
      </c>
      <c r="J1759" t="s">
        <v>5771</v>
      </c>
      <c r="K1759">
        <v>444580.88</v>
      </c>
      <c r="L1759" t="s">
        <v>5775</v>
      </c>
      <c r="M1759">
        <v>9</v>
      </c>
    </row>
    <row r="1760" spans="1:13" x14ac:dyDescent="0.25">
      <c r="A1760">
        <v>1759</v>
      </c>
      <c r="B1760" t="s">
        <v>1771</v>
      </c>
      <c r="C1760">
        <v>59</v>
      </c>
      <c r="D1760" t="s">
        <v>2947</v>
      </c>
      <c r="E1760" t="s">
        <v>2954</v>
      </c>
      <c r="F1760" t="s">
        <v>4611</v>
      </c>
      <c r="G1760" s="2">
        <v>45734</v>
      </c>
      <c r="H1760" s="2">
        <v>45744</v>
      </c>
      <c r="I1760" t="s">
        <v>5761</v>
      </c>
      <c r="J1760" t="s">
        <v>2949</v>
      </c>
      <c r="K1760">
        <v>257098.28</v>
      </c>
      <c r="L1760" t="s">
        <v>5774</v>
      </c>
      <c r="M1760">
        <v>10</v>
      </c>
    </row>
    <row r="1761" spans="1:13" x14ac:dyDescent="0.25">
      <c r="A1761">
        <v>1760</v>
      </c>
      <c r="B1761" t="s">
        <v>1772</v>
      </c>
      <c r="C1761">
        <v>70</v>
      </c>
      <c r="D1761" t="s">
        <v>2948</v>
      </c>
      <c r="E1761" t="s">
        <v>2950</v>
      </c>
      <c r="F1761" t="s">
        <v>4612</v>
      </c>
      <c r="G1761" s="2">
        <v>45736</v>
      </c>
      <c r="H1761" s="2">
        <v>45750</v>
      </c>
      <c r="I1761" t="s">
        <v>5759</v>
      </c>
      <c r="J1761" t="s">
        <v>5769</v>
      </c>
      <c r="K1761">
        <v>304777.78000000003</v>
      </c>
      <c r="L1761" t="s">
        <v>5774</v>
      </c>
      <c r="M1761">
        <v>14</v>
      </c>
    </row>
    <row r="1762" spans="1:13" x14ac:dyDescent="0.25">
      <c r="A1762">
        <v>1761</v>
      </c>
      <c r="B1762" t="s">
        <v>1773</v>
      </c>
      <c r="C1762">
        <v>34</v>
      </c>
      <c r="D1762" t="s">
        <v>2947</v>
      </c>
      <c r="E1762" t="s">
        <v>2952</v>
      </c>
      <c r="F1762" t="s">
        <v>4613</v>
      </c>
      <c r="G1762" s="2">
        <v>45637</v>
      </c>
      <c r="H1762" s="2">
        <v>45650</v>
      </c>
      <c r="I1762" t="s">
        <v>5767</v>
      </c>
      <c r="J1762" t="s">
        <v>5770</v>
      </c>
      <c r="K1762">
        <v>146121.10999999999</v>
      </c>
      <c r="L1762" t="s">
        <v>5775</v>
      </c>
      <c r="M1762">
        <v>13</v>
      </c>
    </row>
    <row r="1763" spans="1:13" x14ac:dyDescent="0.25">
      <c r="A1763">
        <v>1762</v>
      </c>
      <c r="B1763" t="s">
        <v>1774</v>
      </c>
      <c r="C1763">
        <v>80</v>
      </c>
      <c r="D1763" t="s">
        <v>2948</v>
      </c>
      <c r="E1763" t="s">
        <v>2952</v>
      </c>
      <c r="F1763" t="s">
        <v>4614</v>
      </c>
      <c r="G1763" s="2">
        <v>45683</v>
      </c>
      <c r="H1763" s="2">
        <v>45686</v>
      </c>
      <c r="I1763" t="s">
        <v>5760</v>
      </c>
      <c r="J1763" t="s">
        <v>5769</v>
      </c>
      <c r="K1763">
        <v>97730.16</v>
      </c>
      <c r="L1763" t="s">
        <v>5773</v>
      </c>
      <c r="M1763">
        <v>3</v>
      </c>
    </row>
    <row r="1764" spans="1:13" x14ac:dyDescent="0.25">
      <c r="A1764">
        <v>1763</v>
      </c>
      <c r="B1764" t="s">
        <v>1775</v>
      </c>
      <c r="C1764">
        <v>40</v>
      </c>
      <c r="D1764" t="s">
        <v>2948</v>
      </c>
      <c r="E1764" t="s">
        <v>2952</v>
      </c>
      <c r="F1764" t="s">
        <v>4615</v>
      </c>
      <c r="G1764" s="2">
        <v>45636</v>
      </c>
      <c r="H1764" s="2">
        <v>45643</v>
      </c>
      <c r="I1764" t="s">
        <v>5763</v>
      </c>
      <c r="J1764" t="s">
        <v>5770</v>
      </c>
      <c r="K1764">
        <v>387224</v>
      </c>
      <c r="L1764" t="s">
        <v>5775</v>
      </c>
      <c r="M1764">
        <v>7</v>
      </c>
    </row>
    <row r="1765" spans="1:13" x14ac:dyDescent="0.25">
      <c r="A1765">
        <v>1764</v>
      </c>
      <c r="B1765" t="s">
        <v>1776</v>
      </c>
      <c r="C1765">
        <v>30</v>
      </c>
      <c r="D1765" t="s">
        <v>2948</v>
      </c>
      <c r="E1765" t="s">
        <v>2955</v>
      </c>
      <c r="F1765" t="s">
        <v>4616</v>
      </c>
      <c r="G1765" s="2">
        <v>45914</v>
      </c>
      <c r="H1765" s="2">
        <v>45920</v>
      </c>
      <c r="I1765" t="s">
        <v>5767</v>
      </c>
      <c r="J1765" t="s">
        <v>5769</v>
      </c>
      <c r="K1765">
        <v>378668.62</v>
      </c>
      <c r="L1765" t="s">
        <v>5775</v>
      </c>
      <c r="M1765">
        <v>6</v>
      </c>
    </row>
    <row r="1766" spans="1:13" x14ac:dyDescent="0.25">
      <c r="A1766">
        <v>1765</v>
      </c>
      <c r="B1766" t="s">
        <v>1777</v>
      </c>
      <c r="C1766">
        <v>67</v>
      </c>
      <c r="D1766" t="s">
        <v>2947</v>
      </c>
      <c r="E1766" t="s">
        <v>2954</v>
      </c>
      <c r="F1766" t="s">
        <v>4617</v>
      </c>
      <c r="G1766" s="2">
        <v>45706</v>
      </c>
      <c r="H1766" s="2">
        <v>45720</v>
      </c>
      <c r="I1766" t="s">
        <v>5764</v>
      </c>
      <c r="J1766" t="s">
        <v>5771</v>
      </c>
      <c r="K1766">
        <v>103980.37</v>
      </c>
      <c r="L1766" t="s">
        <v>5773</v>
      </c>
      <c r="M1766">
        <v>14</v>
      </c>
    </row>
    <row r="1767" spans="1:13" x14ac:dyDescent="0.25">
      <c r="A1767">
        <v>1766</v>
      </c>
      <c r="B1767" t="s">
        <v>1778</v>
      </c>
      <c r="C1767">
        <v>8</v>
      </c>
      <c r="D1767" t="s">
        <v>2948</v>
      </c>
      <c r="E1767" t="s">
        <v>2953</v>
      </c>
      <c r="F1767" t="s">
        <v>3216</v>
      </c>
      <c r="G1767" s="2">
        <v>45802</v>
      </c>
      <c r="H1767" s="2">
        <v>45808</v>
      </c>
      <c r="I1767" t="s">
        <v>5759</v>
      </c>
      <c r="J1767" t="s">
        <v>5771</v>
      </c>
      <c r="K1767">
        <v>415994.97</v>
      </c>
      <c r="L1767" t="s">
        <v>5775</v>
      </c>
      <c r="M1767">
        <v>6</v>
      </c>
    </row>
    <row r="1768" spans="1:13" x14ac:dyDescent="0.25">
      <c r="A1768">
        <v>1767</v>
      </c>
      <c r="B1768" t="s">
        <v>1779</v>
      </c>
      <c r="C1768">
        <v>67</v>
      </c>
      <c r="D1768" t="s">
        <v>2947</v>
      </c>
      <c r="E1768" t="s">
        <v>2951</v>
      </c>
      <c r="F1768" t="s">
        <v>339</v>
      </c>
      <c r="G1768" s="2">
        <v>45732</v>
      </c>
      <c r="H1768" s="2">
        <v>45743</v>
      </c>
      <c r="I1768" t="s">
        <v>5762</v>
      </c>
      <c r="J1768" t="s">
        <v>5771</v>
      </c>
      <c r="K1768">
        <v>388593.03</v>
      </c>
      <c r="L1768" t="s">
        <v>5773</v>
      </c>
      <c r="M1768">
        <v>11</v>
      </c>
    </row>
    <row r="1769" spans="1:13" x14ac:dyDescent="0.25">
      <c r="A1769">
        <v>1768</v>
      </c>
      <c r="B1769" t="s">
        <v>1780</v>
      </c>
      <c r="C1769">
        <v>60</v>
      </c>
      <c r="D1769" t="s">
        <v>2948</v>
      </c>
      <c r="E1769" t="s">
        <v>2952</v>
      </c>
      <c r="F1769" t="s">
        <v>4618</v>
      </c>
      <c r="G1769" s="2">
        <v>45803</v>
      </c>
      <c r="H1769" s="2">
        <v>45808</v>
      </c>
      <c r="I1769" t="s">
        <v>5765</v>
      </c>
      <c r="J1769" t="s">
        <v>2949</v>
      </c>
      <c r="K1769">
        <v>172958.14</v>
      </c>
      <c r="L1769" t="s">
        <v>5775</v>
      </c>
      <c r="M1769">
        <v>5</v>
      </c>
    </row>
    <row r="1770" spans="1:13" x14ac:dyDescent="0.25">
      <c r="A1770">
        <v>1769</v>
      </c>
      <c r="B1770" t="s">
        <v>1781</v>
      </c>
      <c r="C1770">
        <v>42</v>
      </c>
      <c r="D1770" t="s">
        <v>2947</v>
      </c>
      <c r="E1770" t="s">
        <v>2951</v>
      </c>
      <c r="F1770" t="s">
        <v>4619</v>
      </c>
      <c r="G1770" s="2">
        <v>45700</v>
      </c>
      <c r="H1770" s="2">
        <v>45710</v>
      </c>
      <c r="I1770" t="s">
        <v>5764</v>
      </c>
      <c r="J1770" t="s">
        <v>5768</v>
      </c>
      <c r="K1770">
        <v>16014.86</v>
      </c>
      <c r="L1770" t="s">
        <v>5775</v>
      </c>
      <c r="M1770">
        <v>10</v>
      </c>
    </row>
    <row r="1771" spans="1:13" x14ac:dyDescent="0.25">
      <c r="A1771">
        <v>1770</v>
      </c>
      <c r="B1771" t="s">
        <v>1782</v>
      </c>
      <c r="C1771">
        <v>54</v>
      </c>
      <c r="D1771" t="s">
        <v>2948</v>
      </c>
      <c r="E1771" t="s">
        <v>2951</v>
      </c>
      <c r="F1771" t="s">
        <v>4620</v>
      </c>
      <c r="G1771" s="2">
        <v>45823</v>
      </c>
      <c r="H1771" s="2">
        <v>45837</v>
      </c>
      <c r="I1771" t="s">
        <v>5759</v>
      </c>
      <c r="J1771" t="s">
        <v>5769</v>
      </c>
      <c r="K1771">
        <v>433565.7</v>
      </c>
      <c r="L1771" t="s">
        <v>5774</v>
      </c>
      <c r="M1771">
        <v>14</v>
      </c>
    </row>
    <row r="1772" spans="1:13" x14ac:dyDescent="0.25">
      <c r="A1772">
        <v>1771</v>
      </c>
      <c r="B1772" t="s">
        <v>1783</v>
      </c>
      <c r="C1772">
        <v>35</v>
      </c>
      <c r="D1772" t="s">
        <v>2947</v>
      </c>
      <c r="E1772" t="s">
        <v>2952</v>
      </c>
      <c r="F1772" t="s">
        <v>4621</v>
      </c>
      <c r="G1772" s="2">
        <v>45895</v>
      </c>
      <c r="H1772" s="2">
        <v>45902</v>
      </c>
      <c r="I1772" t="s">
        <v>5765</v>
      </c>
      <c r="J1772" t="s">
        <v>2949</v>
      </c>
      <c r="K1772">
        <v>105472.11</v>
      </c>
      <c r="L1772" t="s">
        <v>5774</v>
      </c>
      <c r="M1772">
        <v>7</v>
      </c>
    </row>
    <row r="1773" spans="1:13" x14ac:dyDescent="0.25">
      <c r="A1773">
        <v>1772</v>
      </c>
      <c r="B1773" t="s">
        <v>1784</v>
      </c>
      <c r="C1773">
        <v>16</v>
      </c>
      <c r="D1773" t="s">
        <v>2948</v>
      </c>
      <c r="E1773" t="s">
        <v>2949</v>
      </c>
      <c r="F1773" t="s">
        <v>4622</v>
      </c>
      <c r="G1773" s="2">
        <v>45881</v>
      </c>
      <c r="H1773" s="2">
        <v>45887</v>
      </c>
      <c r="I1773" t="s">
        <v>5765</v>
      </c>
      <c r="J1773" t="s">
        <v>5770</v>
      </c>
      <c r="K1773">
        <v>453974.72</v>
      </c>
      <c r="L1773" t="s">
        <v>5775</v>
      </c>
      <c r="M1773">
        <v>6</v>
      </c>
    </row>
    <row r="1774" spans="1:13" x14ac:dyDescent="0.25">
      <c r="A1774">
        <v>1773</v>
      </c>
      <c r="B1774" t="s">
        <v>1785</v>
      </c>
      <c r="C1774">
        <v>34</v>
      </c>
      <c r="D1774" t="s">
        <v>2947</v>
      </c>
      <c r="E1774" t="s">
        <v>2950</v>
      </c>
      <c r="F1774" t="s">
        <v>4623</v>
      </c>
      <c r="G1774" s="2">
        <v>45665</v>
      </c>
      <c r="H1774" s="2">
        <v>45678</v>
      </c>
      <c r="I1774" t="s">
        <v>5767</v>
      </c>
      <c r="J1774" t="s">
        <v>5768</v>
      </c>
      <c r="K1774">
        <v>236747.08</v>
      </c>
      <c r="L1774" t="s">
        <v>5775</v>
      </c>
      <c r="M1774">
        <v>13</v>
      </c>
    </row>
    <row r="1775" spans="1:13" x14ac:dyDescent="0.25">
      <c r="A1775">
        <v>1774</v>
      </c>
      <c r="B1775" t="s">
        <v>1786</v>
      </c>
      <c r="C1775">
        <v>38</v>
      </c>
      <c r="D1775" t="s">
        <v>2947</v>
      </c>
      <c r="E1775" t="s">
        <v>2955</v>
      </c>
      <c r="F1775" t="s">
        <v>4624</v>
      </c>
      <c r="G1775" s="2">
        <v>45674</v>
      </c>
      <c r="H1775" s="2">
        <v>45689</v>
      </c>
      <c r="I1775" t="s">
        <v>5765</v>
      </c>
      <c r="J1775" t="s">
        <v>5772</v>
      </c>
      <c r="K1775">
        <v>446109.98</v>
      </c>
      <c r="L1775" t="s">
        <v>5775</v>
      </c>
      <c r="M1775">
        <v>15</v>
      </c>
    </row>
    <row r="1776" spans="1:13" x14ac:dyDescent="0.25">
      <c r="A1776">
        <v>1775</v>
      </c>
      <c r="B1776" t="s">
        <v>1787</v>
      </c>
      <c r="C1776">
        <v>42</v>
      </c>
      <c r="D1776" t="s">
        <v>2948</v>
      </c>
      <c r="E1776" t="s">
        <v>2949</v>
      </c>
      <c r="F1776" t="s">
        <v>4625</v>
      </c>
      <c r="G1776" s="2">
        <v>45696</v>
      </c>
      <c r="H1776" s="2">
        <v>45704</v>
      </c>
      <c r="I1776" t="s">
        <v>5762</v>
      </c>
      <c r="J1776" t="s">
        <v>5771</v>
      </c>
      <c r="K1776">
        <v>239603.71</v>
      </c>
      <c r="L1776" t="s">
        <v>5775</v>
      </c>
      <c r="M1776">
        <v>8</v>
      </c>
    </row>
    <row r="1777" spans="1:13" x14ac:dyDescent="0.25">
      <c r="A1777">
        <v>1776</v>
      </c>
      <c r="B1777" t="s">
        <v>1788</v>
      </c>
      <c r="C1777">
        <v>76</v>
      </c>
      <c r="D1777" t="s">
        <v>2947</v>
      </c>
      <c r="E1777" t="s">
        <v>2952</v>
      </c>
      <c r="F1777" t="s">
        <v>1022</v>
      </c>
      <c r="G1777" s="2">
        <v>45821</v>
      </c>
      <c r="H1777" s="2">
        <v>45835</v>
      </c>
      <c r="I1777" t="s">
        <v>5764</v>
      </c>
      <c r="J1777" t="s">
        <v>5772</v>
      </c>
      <c r="K1777">
        <v>272702.34999999998</v>
      </c>
      <c r="L1777" t="s">
        <v>5774</v>
      </c>
      <c r="M1777">
        <v>14</v>
      </c>
    </row>
    <row r="1778" spans="1:13" x14ac:dyDescent="0.25">
      <c r="A1778">
        <v>1777</v>
      </c>
      <c r="B1778" t="s">
        <v>1789</v>
      </c>
      <c r="C1778">
        <v>48</v>
      </c>
      <c r="D1778" t="s">
        <v>2947</v>
      </c>
      <c r="E1778" t="s">
        <v>2950</v>
      </c>
      <c r="F1778" t="s">
        <v>4626</v>
      </c>
      <c r="G1778" s="2">
        <v>45901</v>
      </c>
      <c r="H1778" s="2">
        <v>45908</v>
      </c>
      <c r="I1778" t="s">
        <v>5765</v>
      </c>
      <c r="J1778" t="s">
        <v>5772</v>
      </c>
      <c r="K1778">
        <v>170201.35</v>
      </c>
      <c r="L1778" t="s">
        <v>5773</v>
      </c>
      <c r="M1778">
        <v>7</v>
      </c>
    </row>
    <row r="1779" spans="1:13" x14ac:dyDescent="0.25">
      <c r="A1779">
        <v>1778</v>
      </c>
      <c r="B1779" t="s">
        <v>1790</v>
      </c>
      <c r="C1779">
        <v>82</v>
      </c>
      <c r="D1779" t="s">
        <v>2948</v>
      </c>
      <c r="E1779" t="s">
        <v>2952</v>
      </c>
      <c r="F1779" t="s">
        <v>4627</v>
      </c>
      <c r="G1779" s="2">
        <v>45809</v>
      </c>
      <c r="H1779" s="2">
        <v>45823</v>
      </c>
      <c r="I1779" t="s">
        <v>5765</v>
      </c>
      <c r="J1779" t="s">
        <v>5772</v>
      </c>
      <c r="K1779">
        <v>76733.45</v>
      </c>
      <c r="L1779" t="s">
        <v>5773</v>
      </c>
      <c r="M1779">
        <v>14</v>
      </c>
    </row>
    <row r="1780" spans="1:13" x14ac:dyDescent="0.25">
      <c r="A1780">
        <v>1779</v>
      </c>
      <c r="B1780" t="s">
        <v>1791</v>
      </c>
      <c r="C1780">
        <v>72</v>
      </c>
      <c r="D1780" t="s">
        <v>2947</v>
      </c>
      <c r="E1780" t="s">
        <v>2952</v>
      </c>
      <c r="F1780" t="s">
        <v>4628</v>
      </c>
      <c r="G1780" s="2">
        <v>45908</v>
      </c>
      <c r="H1780" s="2">
        <v>45911</v>
      </c>
      <c r="I1780" t="s">
        <v>5759</v>
      </c>
      <c r="J1780" t="s">
        <v>2949</v>
      </c>
      <c r="K1780">
        <v>382607.35999999999</v>
      </c>
      <c r="L1780" t="s">
        <v>5773</v>
      </c>
      <c r="M1780">
        <v>3</v>
      </c>
    </row>
    <row r="1781" spans="1:13" x14ac:dyDescent="0.25">
      <c r="A1781">
        <v>1780</v>
      </c>
      <c r="B1781" t="s">
        <v>1792</v>
      </c>
      <c r="C1781">
        <v>68</v>
      </c>
      <c r="D1781" t="s">
        <v>2948</v>
      </c>
      <c r="E1781" t="s">
        <v>2951</v>
      </c>
      <c r="F1781" t="s">
        <v>4629</v>
      </c>
      <c r="G1781" s="2">
        <v>45553</v>
      </c>
      <c r="H1781" s="2">
        <v>45563</v>
      </c>
      <c r="I1781" t="s">
        <v>5764</v>
      </c>
      <c r="J1781" t="s">
        <v>5769</v>
      </c>
      <c r="K1781">
        <v>6646.15</v>
      </c>
      <c r="L1781" t="s">
        <v>5775</v>
      </c>
      <c r="M1781">
        <v>10</v>
      </c>
    </row>
    <row r="1782" spans="1:13" x14ac:dyDescent="0.25">
      <c r="A1782">
        <v>1781</v>
      </c>
      <c r="B1782" t="s">
        <v>1793</v>
      </c>
      <c r="C1782">
        <v>61</v>
      </c>
      <c r="D1782" t="s">
        <v>2948</v>
      </c>
      <c r="E1782" t="s">
        <v>2952</v>
      </c>
      <c r="F1782" t="s">
        <v>4630</v>
      </c>
      <c r="G1782" s="2">
        <v>45849</v>
      </c>
      <c r="H1782" s="2">
        <v>45862</v>
      </c>
      <c r="I1782" t="s">
        <v>5762</v>
      </c>
      <c r="J1782" t="s">
        <v>5770</v>
      </c>
      <c r="K1782">
        <v>455159.79</v>
      </c>
      <c r="L1782" t="s">
        <v>5773</v>
      </c>
      <c r="M1782">
        <v>13</v>
      </c>
    </row>
    <row r="1783" spans="1:13" x14ac:dyDescent="0.25">
      <c r="A1783">
        <v>1782</v>
      </c>
      <c r="B1783" t="s">
        <v>1794</v>
      </c>
      <c r="C1783">
        <v>60</v>
      </c>
      <c r="D1783" t="s">
        <v>2948</v>
      </c>
      <c r="E1783" t="s">
        <v>2952</v>
      </c>
      <c r="F1783" t="s">
        <v>4631</v>
      </c>
      <c r="G1783" s="2">
        <v>45612</v>
      </c>
      <c r="H1783" s="2">
        <v>45624</v>
      </c>
      <c r="I1783" t="s">
        <v>5763</v>
      </c>
      <c r="J1783" t="s">
        <v>5768</v>
      </c>
      <c r="K1783">
        <v>452140.71</v>
      </c>
      <c r="L1783" t="s">
        <v>5773</v>
      </c>
      <c r="M1783">
        <v>12</v>
      </c>
    </row>
    <row r="1784" spans="1:13" x14ac:dyDescent="0.25">
      <c r="A1784">
        <v>1783</v>
      </c>
      <c r="B1784" t="s">
        <v>1795</v>
      </c>
      <c r="C1784">
        <v>50</v>
      </c>
      <c r="D1784" t="s">
        <v>2948</v>
      </c>
      <c r="E1784" t="s">
        <v>2954</v>
      </c>
      <c r="F1784" t="s">
        <v>4632</v>
      </c>
      <c r="G1784" s="2">
        <v>45671</v>
      </c>
      <c r="H1784" s="2">
        <v>45677</v>
      </c>
      <c r="I1784" t="s">
        <v>5759</v>
      </c>
      <c r="J1784" t="s">
        <v>5768</v>
      </c>
      <c r="K1784">
        <v>75579.3</v>
      </c>
      <c r="L1784" t="s">
        <v>5775</v>
      </c>
      <c r="M1784">
        <v>6</v>
      </c>
    </row>
    <row r="1785" spans="1:13" x14ac:dyDescent="0.25">
      <c r="A1785">
        <v>1784</v>
      </c>
      <c r="B1785" t="s">
        <v>1796</v>
      </c>
      <c r="C1785">
        <v>63</v>
      </c>
      <c r="D1785" t="s">
        <v>2948</v>
      </c>
      <c r="E1785" t="s">
        <v>2952</v>
      </c>
      <c r="F1785" t="s">
        <v>3404</v>
      </c>
      <c r="G1785" s="2">
        <v>45732</v>
      </c>
      <c r="H1785" s="2">
        <v>45740</v>
      </c>
      <c r="I1785" t="s">
        <v>5764</v>
      </c>
      <c r="J1785" t="s">
        <v>5771</v>
      </c>
      <c r="K1785">
        <v>322377.05</v>
      </c>
      <c r="L1785" t="s">
        <v>5773</v>
      </c>
      <c r="M1785">
        <v>8</v>
      </c>
    </row>
    <row r="1786" spans="1:13" x14ac:dyDescent="0.25">
      <c r="A1786">
        <v>1785</v>
      </c>
      <c r="B1786" t="s">
        <v>1797</v>
      </c>
      <c r="C1786">
        <v>35</v>
      </c>
      <c r="D1786" t="s">
        <v>2948</v>
      </c>
      <c r="E1786" t="s">
        <v>2950</v>
      </c>
      <c r="F1786" t="s">
        <v>4633</v>
      </c>
      <c r="G1786" s="2">
        <v>45638</v>
      </c>
      <c r="H1786" s="2">
        <v>45653</v>
      </c>
      <c r="I1786" t="s">
        <v>5762</v>
      </c>
      <c r="J1786" t="s">
        <v>5772</v>
      </c>
      <c r="K1786">
        <v>405332.82</v>
      </c>
      <c r="L1786" t="s">
        <v>5775</v>
      </c>
      <c r="M1786">
        <v>15</v>
      </c>
    </row>
    <row r="1787" spans="1:13" x14ac:dyDescent="0.25">
      <c r="A1787">
        <v>1786</v>
      </c>
      <c r="B1787" t="s">
        <v>1798</v>
      </c>
      <c r="C1787">
        <v>47</v>
      </c>
      <c r="D1787" t="s">
        <v>2948</v>
      </c>
      <c r="E1787" t="s">
        <v>2949</v>
      </c>
      <c r="F1787" t="s">
        <v>4634</v>
      </c>
      <c r="G1787" s="2">
        <v>45828</v>
      </c>
      <c r="H1787" s="2">
        <v>45842</v>
      </c>
      <c r="I1787" t="s">
        <v>5759</v>
      </c>
      <c r="J1787" t="s">
        <v>5770</v>
      </c>
      <c r="K1787">
        <v>115203.42</v>
      </c>
      <c r="L1787" t="s">
        <v>5774</v>
      </c>
      <c r="M1787">
        <v>14</v>
      </c>
    </row>
    <row r="1788" spans="1:13" x14ac:dyDescent="0.25">
      <c r="A1788">
        <v>1787</v>
      </c>
      <c r="B1788" t="s">
        <v>1799</v>
      </c>
      <c r="C1788">
        <v>45</v>
      </c>
      <c r="D1788" t="s">
        <v>2947</v>
      </c>
      <c r="E1788" t="s">
        <v>2953</v>
      </c>
      <c r="F1788" t="s">
        <v>4635</v>
      </c>
      <c r="G1788" s="2">
        <v>45840</v>
      </c>
      <c r="H1788" s="2">
        <v>45854</v>
      </c>
      <c r="I1788" t="s">
        <v>5766</v>
      </c>
      <c r="J1788" t="s">
        <v>5769</v>
      </c>
      <c r="K1788">
        <v>471803.1</v>
      </c>
      <c r="L1788" t="s">
        <v>5775</v>
      </c>
      <c r="M1788">
        <v>14</v>
      </c>
    </row>
    <row r="1789" spans="1:13" x14ac:dyDescent="0.25">
      <c r="A1789">
        <v>1788</v>
      </c>
      <c r="B1789" t="s">
        <v>1800</v>
      </c>
      <c r="C1789">
        <v>37</v>
      </c>
      <c r="D1789" t="s">
        <v>2947</v>
      </c>
      <c r="E1789" t="s">
        <v>2954</v>
      </c>
      <c r="F1789" t="s">
        <v>4636</v>
      </c>
      <c r="G1789" s="2">
        <v>45811</v>
      </c>
      <c r="H1789" s="2">
        <v>45818</v>
      </c>
      <c r="I1789" t="s">
        <v>5762</v>
      </c>
      <c r="J1789" t="s">
        <v>5772</v>
      </c>
      <c r="K1789">
        <v>254846.21</v>
      </c>
      <c r="L1789" t="s">
        <v>5773</v>
      </c>
      <c r="M1789">
        <v>7</v>
      </c>
    </row>
    <row r="1790" spans="1:13" x14ac:dyDescent="0.25">
      <c r="A1790">
        <v>1789</v>
      </c>
      <c r="B1790" t="s">
        <v>1801</v>
      </c>
      <c r="C1790">
        <v>7</v>
      </c>
      <c r="D1790" t="s">
        <v>2947</v>
      </c>
      <c r="E1790" t="s">
        <v>2950</v>
      </c>
      <c r="F1790" t="s">
        <v>4637</v>
      </c>
      <c r="G1790" s="2">
        <v>45782</v>
      </c>
      <c r="H1790" s="2">
        <v>45787</v>
      </c>
      <c r="I1790" t="s">
        <v>5765</v>
      </c>
      <c r="J1790" t="s">
        <v>2949</v>
      </c>
      <c r="K1790">
        <v>435551.83</v>
      </c>
      <c r="L1790" t="s">
        <v>5774</v>
      </c>
      <c r="M1790">
        <v>5</v>
      </c>
    </row>
    <row r="1791" spans="1:13" x14ac:dyDescent="0.25">
      <c r="A1791">
        <v>1790</v>
      </c>
      <c r="B1791" t="s">
        <v>1802</v>
      </c>
      <c r="C1791">
        <v>29</v>
      </c>
      <c r="D1791" t="s">
        <v>2947</v>
      </c>
      <c r="E1791" t="s">
        <v>2954</v>
      </c>
      <c r="F1791" t="s">
        <v>4638</v>
      </c>
      <c r="G1791" s="2">
        <v>45650</v>
      </c>
      <c r="H1791" s="2">
        <v>45665</v>
      </c>
      <c r="I1791" t="s">
        <v>5761</v>
      </c>
      <c r="J1791" t="s">
        <v>5772</v>
      </c>
      <c r="K1791">
        <v>220800.22</v>
      </c>
      <c r="L1791" t="s">
        <v>5773</v>
      </c>
      <c r="M1791">
        <v>15</v>
      </c>
    </row>
    <row r="1792" spans="1:13" x14ac:dyDescent="0.25">
      <c r="A1792">
        <v>1791</v>
      </c>
      <c r="B1792" t="s">
        <v>1803</v>
      </c>
      <c r="C1792">
        <v>86</v>
      </c>
      <c r="D1792" t="s">
        <v>2947</v>
      </c>
      <c r="E1792" t="s">
        <v>2951</v>
      </c>
      <c r="F1792" t="s">
        <v>4639</v>
      </c>
      <c r="G1792" s="2">
        <v>45616</v>
      </c>
      <c r="H1792" s="2">
        <v>45625</v>
      </c>
      <c r="I1792" t="s">
        <v>5758</v>
      </c>
      <c r="J1792" t="s">
        <v>5771</v>
      </c>
      <c r="K1792">
        <v>438620.25</v>
      </c>
      <c r="L1792" t="s">
        <v>5774</v>
      </c>
      <c r="M1792">
        <v>9</v>
      </c>
    </row>
    <row r="1793" spans="1:13" x14ac:dyDescent="0.25">
      <c r="A1793">
        <v>1792</v>
      </c>
      <c r="B1793" t="s">
        <v>1804</v>
      </c>
      <c r="C1793">
        <v>24</v>
      </c>
      <c r="D1793" t="s">
        <v>2947</v>
      </c>
      <c r="E1793" t="s">
        <v>2952</v>
      </c>
      <c r="F1793" t="s">
        <v>4640</v>
      </c>
      <c r="G1793" s="2">
        <v>45639</v>
      </c>
      <c r="H1793" s="2">
        <v>45650</v>
      </c>
      <c r="I1793" t="s">
        <v>5759</v>
      </c>
      <c r="J1793" t="s">
        <v>5772</v>
      </c>
      <c r="K1793">
        <v>191131.51</v>
      </c>
      <c r="L1793" t="s">
        <v>5775</v>
      </c>
      <c r="M1793">
        <v>11</v>
      </c>
    </row>
    <row r="1794" spans="1:13" x14ac:dyDescent="0.25">
      <c r="A1794">
        <v>1793</v>
      </c>
      <c r="B1794" t="s">
        <v>1805</v>
      </c>
      <c r="C1794">
        <v>51</v>
      </c>
      <c r="D1794" t="s">
        <v>2947</v>
      </c>
      <c r="E1794" t="s">
        <v>2954</v>
      </c>
      <c r="F1794" t="s">
        <v>1415</v>
      </c>
      <c r="G1794" s="2">
        <v>45650</v>
      </c>
      <c r="H1794" s="2">
        <v>45651</v>
      </c>
      <c r="I1794" t="s">
        <v>5760</v>
      </c>
      <c r="J1794" t="s">
        <v>5771</v>
      </c>
      <c r="K1794">
        <v>155385.96</v>
      </c>
      <c r="L1794" t="s">
        <v>5773</v>
      </c>
      <c r="M1794">
        <v>1</v>
      </c>
    </row>
    <row r="1795" spans="1:13" x14ac:dyDescent="0.25">
      <c r="A1795">
        <v>1794</v>
      </c>
      <c r="B1795" t="s">
        <v>1806</v>
      </c>
      <c r="C1795">
        <v>70</v>
      </c>
      <c r="D1795" t="s">
        <v>2948</v>
      </c>
      <c r="E1795" t="s">
        <v>2954</v>
      </c>
      <c r="F1795" t="s">
        <v>4641</v>
      </c>
      <c r="G1795" s="2">
        <v>45602</v>
      </c>
      <c r="H1795" s="2">
        <v>45613</v>
      </c>
      <c r="I1795" t="s">
        <v>5766</v>
      </c>
      <c r="J1795" t="s">
        <v>5772</v>
      </c>
      <c r="K1795">
        <v>355439.78</v>
      </c>
      <c r="L1795" t="s">
        <v>5774</v>
      </c>
      <c r="M1795">
        <v>11</v>
      </c>
    </row>
    <row r="1796" spans="1:13" x14ac:dyDescent="0.25">
      <c r="A1796">
        <v>1795</v>
      </c>
      <c r="B1796" t="s">
        <v>1807</v>
      </c>
      <c r="C1796">
        <v>22</v>
      </c>
      <c r="D1796" t="s">
        <v>2947</v>
      </c>
      <c r="E1796" t="s">
        <v>2954</v>
      </c>
      <c r="F1796" t="s">
        <v>4642</v>
      </c>
      <c r="G1796" s="2">
        <v>45825</v>
      </c>
      <c r="H1796" s="2">
        <v>45826</v>
      </c>
      <c r="I1796" t="s">
        <v>5759</v>
      </c>
      <c r="J1796" t="s">
        <v>5772</v>
      </c>
      <c r="K1796">
        <v>144800.79</v>
      </c>
      <c r="L1796" t="s">
        <v>5773</v>
      </c>
      <c r="M1796">
        <v>1</v>
      </c>
    </row>
    <row r="1797" spans="1:13" x14ac:dyDescent="0.25">
      <c r="A1797">
        <v>1796</v>
      </c>
      <c r="B1797" t="s">
        <v>1808</v>
      </c>
      <c r="C1797">
        <v>21</v>
      </c>
      <c r="D1797" t="s">
        <v>2947</v>
      </c>
      <c r="E1797" t="s">
        <v>2950</v>
      </c>
      <c r="F1797" t="s">
        <v>4643</v>
      </c>
      <c r="G1797" s="2">
        <v>45895</v>
      </c>
      <c r="H1797" s="2">
        <v>45910</v>
      </c>
      <c r="I1797" t="s">
        <v>5765</v>
      </c>
      <c r="J1797" t="s">
        <v>5770</v>
      </c>
      <c r="K1797">
        <v>416035.22</v>
      </c>
      <c r="L1797" t="s">
        <v>5773</v>
      </c>
      <c r="M1797">
        <v>15</v>
      </c>
    </row>
    <row r="1798" spans="1:13" x14ac:dyDescent="0.25">
      <c r="A1798">
        <v>1797</v>
      </c>
      <c r="B1798" t="s">
        <v>1809</v>
      </c>
      <c r="C1798">
        <v>6</v>
      </c>
      <c r="D1798" t="s">
        <v>2948</v>
      </c>
      <c r="E1798" t="s">
        <v>2955</v>
      </c>
      <c r="F1798" t="s">
        <v>4644</v>
      </c>
      <c r="G1798" s="2">
        <v>45849</v>
      </c>
      <c r="H1798" s="2">
        <v>45860</v>
      </c>
      <c r="I1798" t="s">
        <v>5761</v>
      </c>
      <c r="J1798" t="s">
        <v>5768</v>
      </c>
      <c r="K1798">
        <v>16339.76</v>
      </c>
      <c r="L1798" t="s">
        <v>5773</v>
      </c>
      <c r="M1798">
        <v>11</v>
      </c>
    </row>
    <row r="1799" spans="1:13" x14ac:dyDescent="0.25">
      <c r="A1799">
        <v>1798</v>
      </c>
      <c r="B1799" t="s">
        <v>1810</v>
      </c>
      <c r="C1799">
        <v>35</v>
      </c>
      <c r="D1799" t="s">
        <v>2947</v>
      </c>
      <c r="E1799" t="s">
        <v>2954</v>
      </c>
      <c r="F1799" t="s">
        <v>4645</v>
      </c>
      <c r="G1799" s="2">
        <v>45826</v>
      </c>
      <c r="H1799" s="2">
        <v>45834</v>
      </c>
      <c r="I1799" t="s">
        <v>5758</v>
      </c>
      <c r="J1799" t="s">
        <v>5769</v>
      </c>
      <c r="K1799">
        <v>86617.54</v>
      </c>
      <c r="L1799" t="s">
        <v>5775</v>
      </c>
      <c r="M1799">
        <v>8</v>
      </c>
    </row>
    <row r="1800" spans="1:13" x14ac:dyDescent="0.25">
      <c r="A1800">
        <v>1799</v>
      </c>
      <c r="B1800" t="s">
        <v>1811</v>
      </c>
      <c r="C1800">
        <v>53</v>
      </c>
      <c r="D1800" t="s">
        <v>2947</v>
      </c>
      <c r="E1800" t="s">
        <v>2949</v>
      </c>
      <c r="F1800" t="s">
        <v>4646</v>
      </c>
      <c r="G1800" s="2">
        <v>45697</v>
      </c>
      <c r="H1800" s="2">
        <v>45706</v>
      </c>
      <c r="I1800" t="s">
        <v>5762</v>
      </c>
      <c r="J1800" t="s">
        <v>5771</v>
      </c>
      <c r="K1800">
        <v>343874.62</v>
      </c>
      <c r="L1800" t="s">
        <v>5774</v>
      </c>
      <c r="M1800">
        <v>9</v>
      </c>
    </row>
    <row r="1801" spans="1:13" x14ac:dyDescent="0.25">
      <c r="A1801">
        <v>1800</v>
      </c>
      <c r="B1801" t="s">
        <v>1812</v>
      </c>
      <c r="C1801">
        <v>33</v>
      </c>
      <c r="D1801" t="s">
        <v>2948</v>
      </c>
      <c r="E1801" t="s">
        <v>2951</v>
      </c>
      <c r="F1801" t="s">
        <v>4647</v>
      </c>
      <c r="G1801" s="2">
        <v>45873</v>
      </c>
      <c r="H1801" s="2">
        <v>45880</v>
      </c>
      <c r="I1801" t="s">
        <v>5766</v>
      </c>
      <c r="J1801" t="s">
        <v>2949</v>
      </c>
      <c r="K1801">
        <v>19351.66</v>
      </c>
      <c r="L1801" t="s">
        <v>5774</v>
      </c>
      <c r="M1801">
        <v>7</v>
      </c>
    </row>
    <row r="1802" spans="1:13" x14ac:dyDescent="0.25">
      <c r="A1802">
        <v>1801</v>
      </c>
      <c r="B1802" t="s">
        <v>1813</v>
      </c>
      <c r="C1802">
        <v>69</v>
      </c>
      <c r="D1802" t="s">
        <v>2947</v>
      </c>
      <c r="E1802" t="s">
        <v>2952</v>
      </c>
      <c r="F1802" t="s">
        <v>4648</v>
      </c>
      <c r="G1802" s="2">
        <v>45693</v>
      </c>
      <c r="H1802" s="2">
        <v>45708</v>
      </c>
      <c r="I1802" t="s">
        <v>5759</v>
      </c>
      <c r="J1802" t="s">
        <v>2949</v>
      </c>
      <c r="K1802">
        <v>333863.71999999997</v>
      </c>
      <c r="L1802" t="s">
        <v>5773</v>
      </c>
      <c r="M1802">
        <v>15</v>
      </c>
    </row>
    <row r="1803" spans="1:13" x14ac:dyDescent="0.25">
      <c r="A1803">
        <v>1802</v>
      </c>
      <c r="B1803" t="s">
        <v>1814</v>
      </c>
      <c r="C1803">
        <v>47</v>
      </c>
      <c r="D1803" t="s">
        <v>2948</v>
      </c>
      <c r="E1803" t="s">
        <v>2950</v>
      </c>
      <c r="F1803" t="s">
        <v>4649</v>
      </c>
      <c r="G1803" s="2">
        <v>45812</v>
      </c>
      <c r="H1803" s="2">
        <v>45813</v>
      </c>
      <c r="I1803" t="s">
        <v>5758</v>
      </c>
      <c r="J1803" t="s">
        <v>5769</v>
      </c>
      <c r="K1803">
        <v>29114.69</v>
      </c>
      <c r="L1803" t="s">
        <v>5773</v>
      </c>
      <c r="M1803">
        <v>1</v>
      </c>
    </row>
    <row r="1804" spans="1:13" x14ac:dyDescent="0.25">
      <c r="A1804">
        <v>1803</v>
      </c>
      <c r="B1804" t="s">
        <v>1815</v>
      </c>
      <c r="C1804">
        <v>65</v>
      </c>
      <c r="D1804" t="s">
        <v>2948</v>
      </c>
      <c r="E1804" t="s">
        <v>2952</v>
      </c>
      <c r="F1804" t="s">
        <v>4650</v>
      </c>
      <c r="G1804" s="2">
        <v>45777</v>
      </c>
      <c r="H1804" s="2">
        <v>45778</v>
      </c>
      <c r="I1804" t="s">
        <v>5765</v>
      </c>
      <c r="J1804" t="s">
        <v>5769</v>
      </c>
      <c r="K1804">
        <v>215437.58</v>
      </c>
      <c r="L1804" t="s">
        <v>5773</v>
      </c>
      <c r="M1804">
        <v>1</v>
      </c>
    </row>
    <row r="1805" spans="1:13" x14ac:dyDescent="0.25">
      <c r="A1805">
        <v>1804</v>
      </c>
      <c r="B1805" t="s">
        <v>1816</v>
      </c>
      <c r="C1805">
        <v>46</v>
      </c>
      <c r="D1805" t="s">
        <v>2948</v>
      </c>
      <c r="E1805" t="s">
        <v>2950</v>
      </c>
      <c r="F1805" t="s">
        <v>4651</v>
      </c>
      <c r="G1805" s="2">
        <v>45827</v>
      </c>
      <c r="H1805" s="2">
        <v>45834</v>
      </c>
      <c r="I1805" t="s">
        <v>5759</v>
      </c>
      <c r="J1805" t="s">
        <v>5768</v>
      </c>
      <c r="K1805">
        <v>68728.98</v>
      </c>
      <c r="L1805" t="s">
        <v>5775</v>
      </c>
      <c r="M1805">
        <v>7</v>
      </c>
    </row>
    <row r="1806" spans="1:13" x14ac:dyDescent="0.25">
      <c r="A1806">
        <v>1805</v>
      </c>
      <c r="B1806" t="s">
        <v>1817</v>
      </c>
      <c r="C1806">
        <v>44</v>
      </c>
      <c r="D1806" t="s">
        <v>2947</v>
      </c>
      <c r="E1806" t="s">
        <v>2955</v>
      </c>
      <c r="F1806" t="s">
        <v>4652</v>
      </c>
      <c r="G1806" s="2">
        <v>45846</v>
      </c>
      <c r="H1806" s="2">
        <v>45855</v>
      </c>
      <c r="I1806" t="s">
        <v>5761</v>
      </c>
      <c r="J1806" t="s">
        <v>5770</v>
      </c>
      <c r="K1806">
        <v>366745.21</v>
      </c>
      <c r="L1806" t="s">
        <v>5774</v>
      </c>
      <c r="M1806">
        <v>9</v>
      </c>
    </row>
    <row r="1807" spans="1:13" x14ac:dyDescent="0.25">
      <c r="A1807">
        <v>1806</v>
      </c>
      <c r="B1807" t="s">
        <v>1818</v>
      </c>
      <c r="C1807">
        <v>50</v>
      </c>
      <c r="D1807" t="s">
        <v>2948</v>
      </c>
      <c r="E1807" t="s">
        <v>2952</v>
      </c>
      <c r="F1807" t="s">
        <v>4653</v>
      </c>
      <c r="G1807" s="2">
        <v>45688</v>
      </c>
      <c r="H1807" s="2">
        <v>45698</v>
      </c>
      <c r="I1807" t="s">
        <v>5767</v>
      </c>
      <c r="J1807" t="s">
        <v>5768</v>
      </c>
      <c r="K1807">
        <v>112701.33</v>
      </c>
      <c r="L1807" t="s">
        <v>5773</v>
      </c>
      <c r="M1807">
        <v>10</v>
      </c>
    </row>
    <row r="1808" spans="1:13" x14ac:dyDescent="0.25">
      <c r="A1808">
        <v>1807</v>
      </c>
      <c r="B1808" t="s">
        <v>1819</v>
      </c>
      <c r="C1808">
        <v>70</v>
      </c>
      <c r="D1808" t="s">
        <v>2947</v>
      </c>
      <c r="E1808" t="s">
        <v>2955</v>
      </c>
      <c r="F1808" t="s">
        <v>4654</v>
      </c>
      <c r="G1808" s="2">
        <v>45904</v>
      </c>
      <c r="H1808" s="2">
        <v>45916</v>
      </c>
      <c r="I1808" t="s">
        <v>5758</v>
      </c>
      <c r="J1808" t="s">
        <v>5771</v>
      </c>
      <c r="K1808">
        <v>214876.77</v>
      </c>
      <c r="L1808" t="s">
        <v>5775</v>
      </c>
      <c r="M1808">
        <v>12</v>
      </c>
    </row>
    <row r="1809" spans="1:13" x14ac:dyDescent="0.25">
      <c r="A1809">
        <v>1808</v>
      </c>
      <c r="B1809" t="s">
        <v>1820</v>
      </c>
      <c r="C1809">
        <v>47</v>
      </c>
      <c r="D1809" t="s">
        <v>2948</v>
      </c>
      <c r="E1809" t="s">
        <v>2951</v>
      </c>
      <c r="F1809" t="s">
        <v>4655</v>
      </c>
      <c r="G1809" s="2">
        <v>45860</v>
      </c>
      <c r="H1809" s="2">
        <v>45868</v>
      </c>
      <c r="I1809" t="s">
        <v>5765</v>
      </c>
      <c r="J1809" t="s">
        <v>5770</v>
      </c>
      <c r="K1809">
        <v>402369.99</v>
      </c>
      <c r="L1809" t="s">
        <v>5775</v>
      </c>
      <c r="M1809">
        <v>8</v>
      </c>
    </row>
    <row r="1810" spans="1:13" x14ac:dyDescent="0.25">
      <c r="A1810">
        <v>1809</v>
      </c>
      <c r="B1810" t="s">
        <v>1821</v>
      </c>
      <c r="C1810">
        <v>37</v>
      </c>
      <c r="D1810" t="s">
        <v>2947</v>
      </c>
      <c r="E1810" t="s">
        <v>2955</v>
      </c>
      <c r="F1810" t="s">
        <v>4656</v>
      </c>
      <c r="G1810" s="2">
        <v>45741</v>
      </c>
      <c r="H1810" s="2">
        <v>45747</v>
      </c>
      <c r="I1810" t="s">
        <v>5761</v>
      </c>
      <c r="J1810" t="s">
        <v>5772</v>
      </c>
      <c r="K1810">
        <v>167750.49</v>
      </c>
      <c r="L1810" t="s">
        <v>5774</v>
      </c>
      <c r="M1810">
        <v>6</v>
      </c>
    </row>
    <row r="1811" spans="1:13" x14ac:dyDescent="0.25">
      <c r="A1811">
        <v>1810</v>
      </c>
      <c r="B1811" t="s">
        <v>1822</v>
      </c>
      <c r="C1811">
        <v>50</v>
      </c>
      <c r="D1811" t="s">
        <v>2947</v>
      </c>
      <c r="E1811" t="s">
        <v>2955</v>
      </c>
      <c r="F1811" t="s">
        <v>4657</v>
      </c>
      <c r="G1811" s="2">
        <v>45830</v>
      </c>
      <c r="H1811" s="2">
        <v>45832</v>
      </c>
      <c r="I1811" t="s">
        <v>5762</v>
      </c>
      <c r="J1811" t="s">
        <v>5771</v>
      </c>
      <c r="K1811">
        <v>379513.44</v>
      </c>
      <c r="L1811" t="s">
        <v>5774</v>
      </c>
      <c r="M1811">
        <v>2</v>
      </c>
    </row>
    <row r="1812" spans="1:13" x14ac:dyDescent="0.25">
      <c r="A1812">
        <v>1811</v>
      </c>
      <c r="B1812" t="s">
        <v>1823</v>
      </c>
      <c r="C1812">
        <v>15</v>
      </c>
      <c r="D1812" t="s">
        <v>2948</v>
      </c>
      <c r="E1812" t="s">
        <v>2949</v>
      </c>
      <c r="F1812" t="s">
        <v>4658</v>
      </c>
      <c r="G1812" s="2">
        <v>45689</v>
      </c>
      <c r="H1812" s="2">
        <v>45694</v>
      </c>
      <c r="I1812" t="s">
        <v>5763</v>
      </c>
      <c r="J1812" t="s">
        <v>5771</v>
      </c>
      <c r="K1812">
        <v>276797.34999999998</v>
      </c>
      <c r="L1812" t="s">
        <v>5773</v>
      </c>
      <c r="M1812">
        <v>5</v>
      </c>
    </row>
    <row r="1813" spans="1:13" x14ac:dyDescent="0.25">
      <c r="A1813">
        <v>1812</v>
      </c>
      <c r="B1813" t="s">
        <v>1824</v>
      </c>
      <c r="C1813">
        <v>48</v>
      </c>
      <c r="D1813" t="s">
        <v>2947</v>
      </c>
      <c r="E1813" t="s">
        <v>2955</v>
      </c>
      <c r="F1813" t="s">
        <v>4659</v>
      </c>
      <c r="G1813" s="2">
        <v>45763</v>
      </c>
      <c r="H1813" s="2">
        <v>45775</v>
      </c>
      <c r="I1813" t="s">
        <v>5759</v>
      </c>
      <c r="J1813" t="s">
        <v>2949</v>
      </c>
      <c r="K1813">
        <v>135259.54999999999</v>
      </c>
      <c r="L1813" t="s">
        <v>5773</v>
      </c>
      <c r="M1813">
        <v>12</v>
      </c>
    </row>
    <row r="1814" spans="1:13" x14ac:dyDescent="0.25">
      <c r="A1814">
        <v>1813</v>
      </c>
      <c r="B1814" t="s">
        <v>1825</v>
      </c>
      <c r="C1814">
        <v>87</v>
      </c>
      <c r="D1814" t="s">
        <v>2947</v>
      </c>
      <c r="E1814" t="s">
        <v>2951</v>
      </c>
      <c r="F1814" t="s">
        <v>4660</v>
      </c>
      <c r="G1814" s="2">
        <v>45660</v>
      </c>
      <c r="H1814" s="2">
        <v>45667</v>
      </c>
      <c r="I1814" t="s">
        <v>5765</v>
      </c>
      <c r="J1814" t="s">
        <v>5770</v>
      </c>
      <c r="K1814">
        <v>94402.9</v>
      </c>
      <c r="L1814" t="s">
        <v>5775</v>
      </c>
      <c r="M1814">
        <v>7</v>
      </c>
    </row>
    <row r="1815" spans="1:13" x14ac:dyDescent="0.25">
      <c r="A1815">
        <v>1814</v>
      </c>
      <c r="B1815" t="s">
        <v>1826</v>
      </c>
      <c r="C1815">
        <v>53</v>
      </c>
      <c r="D1815" t="s">
        <v>2948</v>
      </c>
      <c r="E1815" t="s">
        <v>2951</v>
      </c>
      <c r="F1815" t="s">
        <v>4661</v>
      </c>
      <c r="G1815" s="2">
        <v>45683</v>
      </c>
      <c r="H1815" s="2">
        <v>45688</v>
      </c>
      <c r="I1815" t="s">
        <v>5763</v>
      </c>
      <c r="J1815" t="s">
        <v>5769</v>
      </c>
      <c r="K1815">
        <v>351513.38</v>
      </c>
      <c r="L1815" t="s">
        <v>5774</v>
      </c>
      <c r="M1815">
        <v>5</v>
      </c>
    </row>
    <row r="1816" spans="1:13" x14ac:dyDescent="0.25">
      <c r="A1816">
        <v>1815</v>
      </c>
      <c r="B1816" t="s">
        <v>1827</v>
      </c>
      <c r="C1816">
        <v>10</v>
      </c>
      <c r="D1816" t="s">
        <v>2948</v>
      </c>
      <c r="E1816" t="s">
        <v>2949</v>
      </c>
      <c r="F1816" t="s">
        <v>4662</v>
      </c>
      <c r="G1816" s="2">
        <v>45665</v>
      </c>
      <c r="H1816" s="2">
        <v>45676</v>
      </c>
      <c r="I1816" t="s">
        <v>5766</v>
      </c>
      <c r="J1816" t="s">
        <v>5771</v>
      </c>
      <c r="K1816">
        <v>448193.31</v>
      </c>
      <c r="L1816" t="s">
        <v>5773</v>
      </c>
      <c r="M1816">
        <v>11</v>
      </c>
    </row>
    <row r="1817" spans="1:13" x14ac:dyDescent="0.25">
      <c r="A1817">
        <v>1816</v>
      </c>
      <c r="B1817" t="s">
        <v>1828</v>
      </c>
      <c r="C1817">
        <v>79</v>
      </c>
      <c r="D1817" t="s">
        <v>2948</v>
      </c>
      <c r="E1817" t="s">
        <v>2954</v>
      </c>
      <c r="F1817" t="s">
        <v>4663</v>
      </c>
      <c r="G1817" s="2">
        <v>45647</v>
      </c>
      <c r="H1817" s="2">
        <v>45655</v>
      </c>
      <c r="I1817" t="s">
        <v>5766</v>
      </c>
      <c r="J1817" t="s">
        <v>2949</v>
      </c>
      <c r="K1817">
        <v>17568.36</v>
      </c>
      <c r="L1817" t="s">
        <v>5774</v>
      </c>
      <c r="M1817">
        <v>8</v>
      </c>
    </row>
    <row r="1818" spans="1:13" x14ac:dyDescent="0.25">
      <c r="A1818">
        <v>1817</v>
      </c>
      <c r="B1818" t="s">
        <v>1829</v>
      </c>
      <c r="C1818">
        <v>65</v>
      </c>
      <c r="D1818" t="s">
        <v>2947</v>
      </c>
      <c r="E1818" t="s">
        <v>2951</v>
      </c>
      <c r="F1818" t="s">
        <v>4664</v>
      </c>
      <c r="G1818" s="2">
        <v>45680</v>
      </c>
      <c r="H1818" s="2">
        <v>45690</v>
      </c>
      <c r="I1818" t="s">
        <v>5763</v>
      </c>
      <c r="J1818" t="s">
        <v>2949</v>
      </c>
      <c r="K1818">
        <v>315064.88</v>
      </c>
      <c r="L1818" t="s">
        <v>5773</v>
      </c>
      <c r="M1818">
        <v>10</v>
      </c>
    </row>
    <row r="1819" spans="1:13" x14ac:dyDescent="0.25">
      <c r="A1819">
        <v>1818</v>
      </c>
      <c r="B1819" t="s">
        <v>1830</v>
      </c>
      <c r="C1819">
        <v>59</v>
      </c>
      <c r="D1819" t="s">
        <v>2947</v>
      </c>
      <c r="E1819" t="s">
        <v>2954</v>
      </c>
      <c r="F1819" t="s">
        <v>4665</v>
      </c>
      <c r="G1819" s="2">
        <v>45719</v>
      </c>
      <c r="H1819" s="2">
        <v>45733</v>
      </c>
      <c r="I1819" t="s">
        <v>5762</v>
      </c>
      <c r="J1819" t="s">
        <v>5769</v>
      </c>
      <c r="K1819">
        <v>490102.06</v>
      </c>
      <c r="L1819" t="s">
        <v>5775</v>
      </c>
      <c r="M1819">
        <v>14</v>
      </c>
    </row>
    <row r="1820" spans="1:13" x14ac:dyDescent="0.25">
      <c r="A1820">
        <v>1819</v>
      </c>
      <c r="B1820" t="s">
        <v>1831</v>
      </c>
      <c r="C1820">
        <v>60</v>
      </c>
      <c r="D1820" t="s">
        <v>2947</v>
      </c>
      <c r="E1820" t="s">
        <v>2950</v>
      </c>
      <c r="F1820" t="s">
        <v>4666</v>
      </c>
      <c r="G1820" s="2">
        <v>45625</v>
      </c>
      <c r="H1820" s="2">
        <v>45632</v>
      </c>
      <c r="I1820" t="s">
        <v>5765</v>
      </c>
      <c r="J1820" t="s">
        <v>5770</v>
      </c>
      <c r="K1820">
        <v>85579.199999999997</v>
      </c>
      <c r="L1820" t="s">
        <v>5775</v>
      </c>
      <c r="M1820">
        <v>7</v>
      </c>
    </row>
    <row r="1821" spans="1:13" x14ac:dyDescent="0.25">
      <c r="A1821">
        <v>1820</v>
      </c>
      <c r="B1821" t="s">
        <v>1832</v>
      </c>
      <c r="C1821">
        <v>83</v>
      </c>
      <c r="D1821" t="s">
        <v>2948</v>
      </c>
      <c r="E1821" t="s">
        <v>2955</v>
      </c>
      <c r="F1821" t="s">
        <v>4667</v>
      </c>
      <c r="G1821" s="2">
        <v>45559</v>
      </c>
      <c r="H1821" s="2">
        <v>45573</v>
      </c>
      <c r="I1821" t="s">
        <v>5767</v>
      </c>
      <c r="J1821" t="s">
        <v>5769</v>
      </c>
      <c r="K1821">
        <v>121781.65</v>
      </c>
      <c r="L1821" t="s">
        <v>5774</v>
      </c>
      <c r="M1821">
        <v>14</v>
      </c>
    </row>
    <row r="1822" spans="1:13" x14ac:dyDescent="0.25">
      <c r="A1822">
        <v>1821</v>
      </c>
      <c r="B1822" t="s">
        <v>1833</v>
      </c>
      <c r="C1822">
        <v>88</v>
      </c>
      <c r="D1822" t="s">
        <v>2948</v>
      </c>
      <c r="E1822" t="s">
        <v>2953</v>
      </c>
      <c r="F1822" t="s">
        <v>4668</v>
      </c>
      <c r="G1822" s="2">
        <v>45905</v>
      </c>
      <c r="H1822" s="2">
        <v>45920</v>
      </c>
      <c r="I1822" t="s">
        <v>5761</v>
      </c>
      <c r="J1822" t="s">
        <v>5772</v>
      </c>
      <c r="K1822">
        <v>208110.35</v>
      </c>
      <c r="L1822" t="s">
        <v>5775</v>
      </c>
      <c r="M1822">
        <v>15</v>
      </c>
    </row>
    <row r="1823" spans="1:13" x14ac:dyDescent="0.25">
      <c r="A1823">
        <v>1822</v>
      </c>
      <c r="B1823" t="s">
        <v>1834</v>
      </c>
      <c r="C1823">
        <v>43</v>
      </c>
      <c r="D1823" t="s">
        <v>2947</v>
      </c>
      <c r="E1823" t="s">
        <v>2955</v>
      </c>
      <c r="F1823" t="s">
        <v>4669</v>
      </c>
      <c r="G1823" s="2">
        <v>45819</v>
      </c>
      <c r="H1823" s="2">
        <v>45822</v>
      </c>
      <c r="I1823" t="s">
        <v>5765</v>
      </c>
      <c r="J1823" t="s">
        <v>5769</v>
      </c>
      <c r="K1823">
        <v>339829.02</v>
      </c>
      <c r="L1823" t="s">
        <v>5774</v>
      </c>
      <c r="M1823">
        <v>3</v>
      </c>
    </row>
    <row r="1824" spans="1:13" x14ac:dyDescent="0.25">
      <c r="A1824">
        <v>1823</v>
      </c>
      <c r="B1824" t="s">
        <v>1835</v>
      </c>
      <c r="C1824">
        <v>16</v>
      </c>
      <c r="D1824" t="s">
        <v>2947</v>
      </c>
      <c r="E1824" t="s">
        <v>2955</v>
      </c>
      <c r="F1824" t="s">
        <v>4670</v>
      </c>
      <c r="G1824" s="2">
        <v>45720</v>
      </c>
      <c r="H1824" s="2">
        <v>45725</v>
      </c>
      <c r="I1824" t="s">
        <v>5759</v>
      </c>
      <c r="J1824" t="s">
        <v>5769</v>
      </c>
      <c r="K1824">
        <v>36119.71</v>
      </c>
      <c r="L1824" t="s">
        <v>5773</v>
      </c>
      <c r="M1824">
        <v>5</v>
      </c>
    </row>
    <row r="1825" spans="1:13" x14ac:dyDescent="0.25">
      <c r="A1825">
        <v>1824</v>
      </c>
      <c r="B1825" t="s">
        <v>1836</v>
      </c>
      <c r="C1825">
        <v>42</v>
      </c>
      <c r="D1825" t="s">
        <v>2947</v>
      </c>
      <c r="E1825" t="s">
        <v>2953</v>
      </c>
      <c r="F1825" t="s">
        <v>4671</v>
      </c>
      <c r="G1825" s="2">
        <v>45787</v>
      </c>
      <c r="H1825" s="2">
        <v>45798</v>
      </c>
      <c r="I1825" t="s">
        <v>5761</v>
      </c>
      <c r="J1825" t="s">
        <v>5769</v>
      </c>
      <c r="K1825">
        <v>414221.54</v>
      </c>
      <c r="L1825" t="s">
        <v>5775</v>
      </c>
      <c r="M1825">
        <v>11</v>
      </c>
    </row>
    <row r="1826" spans="1:13" x14ac:dyDescent="0.25">
      <c r="A1826">
        <v>1825</v>
      </c>
      <c r="B1826" t="s">
        <v>1837</v>
      </c>
      <c r="C1826">
        <v>88</v>
      </c>
      <c r="D1826" t="s">
        <v>2948</v>
      </c>
      <c r="E1826" t="s">
        <v>2951</v>
      </c>
      <c r="F1826" t="s">
        <v>4672</v>
      </c>
      <c r="G1826" s="2">
        <v>45586</v>
      </c>
      <c r="H1826" s="2">
        <v>45594</v>
      </c>
      <c r="I1826" t="s">
        <v>5763</v>
      </c>
      <c r="J1826" t="s">
        <v>5768</v>
      </c>
      <c r="K1826">
        <v>162792.73000000001</v>
      </c>
      <c r="L1826" t="s">
        <v>5775</v>
      </c>
      <c r="M1826">
        <v>8</v>
      </c>
    </row>
    <row r="1827" spans="1:13" x14ac:dyDescent="0.25">
      <c r="A1827">
        <v>1826</v>
      </c>
      <c r="B1827" t="s">
        <v>1838</v>
      </c>
      <c r="C1827">
        <v>36</v>
      </c>
      <c r="D1827" t="s">
        <v>2948</v>
      </c>
      <c r="E1827" t="s">
        <v>2949</v>
      </c>
      <c r="F1827" t="s">
        <v>4673</v>
      </c>
      <c r="G1827" s="2">
        <v>45648</v>
      </c>
      <c r="H1827" s="2">
        <v>45657</v>
      </c>
      <c r="I1827" t="s">
        <v>5760</v>
      </c>
      <c r="J1827" t="s">
        <v>5769</v>
      </c>
      <c r="K1827">
        <v>438012.1</v>
      </c>
      <c r="L1827" t="s">
        <v>5775</v>
      </c>
      <c r="M1827">
        <v>9</v>
      </c>
    </row>
    <row r="1828" spans="1:13" x14ac:dyDescent="0.25">
      <c r="A1828">
        <v>1827</v>
      </c>
      <c r="B1828" t="s">
        <v>1839</v>
      </c>
      <c r="C1828">
        <v>90</v>
      </c>
      <c r="D1828" t="s">
        <v>2947</v>
      </c>
      <c r="E1828" t="s">
        <v>2949</v>
      </c>
      <c r="F1828" t="s">
        <v>4674</v>
      </c>
      <c r="G1828" s="2">
        <v>45894</v>
      </c>
      <c r="H1828" s="2">
        <v>45897</v>
      </c>
      <c r="I1828" t="s">
        <v>5762</v>
      </c>
      <c r="J1828" t="s">
        <v>5768</v>
      </c>
      <c r="K1828">
        <v>472293.77</v>
      </c>
      <c r="L1828" t="s">
        <v>5774</v>
      </c>
      <c r="M1828">
        <v>3</v>
      </c>
    </row>
    <row r="1829" spans="1:13" x14ac:dyDescent="0.25">
      <c r="A1829">
        <v>1828</v>
      </c>
      <c r="B1829" t="s">
        <v>1840</v>
      </c>
      <c r="C1829">
        <v>68</v>
      </c>
      <c r="D1829" t="s">
        <v>2948</v>
      </c>
      <c r="E1829" t="s">
        <v>2952</v>
      </c>
      <c r="F1829" t="s">
        <v>4675</v>
      </c>
      <c r="G1829" s="2">
        <v>45840</v>
      </c>
      <c r="H1829" s="2">
        <v>45855</v>
      </c>
      <c r="I1829" t="s">
        <v>5767</v>
      </c>
      <c r="J1829" t="s">
        <v>5770</v>
      </c>
      <c r="K1829">
        <v>349270.9</v>
      </c>
      <c r="L1829" t="s">
        <v>5773</v>
      </c>
      <c r="M1829">
        <v>15</v>
      </c>
    </row>
    <row r="1830" spans="1:13" x14ac:dyDescent="0.25">
      <c r="A1830">
        <v>1829</v>
      </c>
      <c r="B1830" t="s">
        <v>1841</v>
      </c>
      <c r="C1830">
        <v>77</v>
      </c>
      <c r="D1830" t="s">
        <v>2948</v>
      </c>
      <c r="E1830" t="s">
        <v>2953</v>
      </c>
      <c r="F1830" t="s">
        <v>4676</v>
      </c>
      <c r="G1830" s="2">
        <v>45861</v>
      </c>
      <c r="H1830" s="2">
        <v>45862</v>
      </c>
      <c r="I1830" t="s">
        <v>5759</v>
      </c>
      <c r="J1830" t="s">
        <v>5772</v>
      </c>
      <c r="K1830">
        <v>9422.6200000000008</v>
      </c>
      <c r="L1830" t="s">
        <v>5775</v>
      </c>
      <c r="M1830">
        <v>1</v>
      </c>
    </row>
    <row r="1831" spans="1:13" x14ac:dyDescent="0.25">
      <c r="A1831">
        <v>1830</v>
      </c>
      <c r="B1831" t="s">
        <v>1842</v>
      </c>
      <c r="C1831">
        <v>21</v>
      </c>
      <c r="D1831" t="s">
        <v>2948</v>
      </c>
      <c r="E1831" t="s">
        <v>2950</v>
      </c>
      <c r="F1831" t="s">
        <v>4677</v>
      </c>
      <c r="G1831" s="2">
        <v>45847</v>
      </c>
      <c r="H1831" s="2">
        <v>45852</v>
      </c>
      <c r="I1831" t="s">
        <v>5767</v>
      </c>
      <c r="J1831" t="s">
        <v>5768</v>
      </c>
      <c r="K1831">
        <v>429217.72</v>
      </c>
      <c r="L1831" t="s">
        <v>5775</v>
      </c>
      <c r="M1831">
        <v>5</v>
      </c>
    </row>
    <row r="1832" spans="1:13" x14ac:dyDescent="0.25">
      <c r="A1832">
        <v>1831</v>
      </c>
      <c r="B1832" t="s">
        <v>1843</v>
      </c>
      <c r="C1832">
        <v>36</v>
      </c>
      <c r="D1832" t="s">
        <v>2947</v>
      </c>
      <c r="E1832" t="s">
        <v>2951</v>
      </c>
      <c r="F1832" t="s">
        <v>4678</v>
      </c>
      <c r="G1832" s="2">
        <v>45549</v>
      </c>
      <c r="H1832" s="2">
        <v>45557</v>
      </c>
      <c r="I1832" t="s">
        <v>5763</v>
      </c>
      <c r="J1832" t="s">
        <v>5768</v>
      </c>
      <c r="K1832">
        <v>341959.78</v>
      </c>
      <c r="L1832" t="s">
        <v>5773</v>
      </c>
      <c r="M1832">
        <v>8</v>
      </c>
    </row>
    <row r="1833" spans="1:13" x14ac:dyDescent="0.25">
      <c r="A1833">
        <v>1832</v>
      </c>
      <c r="B1833" t="s">
        <v>1844</v>
      </c>
      <c r="C1833">
        <v>51</v>
      </c>
      <c r="D1833" t="s">
        <v>2948</v>
      </c>
      <c r="E1833" t="s">
        <v>2954</v>
      </c>
      <c r="F1833" t="s">
        <v>4679</v>
      </c>
      <c r="G1833" s="2">
        <v>45571</v>
      </c>
      <c r="H1833" s="2">
        <v>45576</v>
      </c>
      <c r="I1833" t="s">
        <v>5758</v>
      </c>
      <c r="J1833" t="s">
        <v>5771</v>
      </c>
      <c r="K1833">
        <v>351204.17</v>
      </c>
      <c r="L1833" t="s">
        <v>5774</v>
      </c>
      <c r="M1833">
        <v>5</v>
      </c>
    </row>
    <row r="1834" spans="1:13" x14ac:dyDescent="0.25">
      <c r="A1834">
        <v>1833</v>
      </c>
      <c r="B1834" t="s">
        <v>1845</v>
      </c>
      <c r="C1834">
        <v>24</v>
      </c>
      <c r="D1834" t="s">
        <v>2948</v>
      </c>
      <c r="E1834" t="s">
        <v>2955</v>
      </c>
      <c r="F1834" t="s">
        <v>4680</v>
      </c>
      <c r="G1834" s="2">
        <v>45869</v>
      </c>
      <c r="H1834" s="2">
        <v>45882</v>
      </c>
      <c r="I1834" t="s">
        <v>5767</v>
      </c>
      <c r="J1834" t="s">
        <v>5769</v>
      </c>
      <c r="K1834">
        <v>149055</v>
      </c>
      <c r="L1834" t="s">
        <v>5775</v>
      </c>
      <c r="M1834">
        <v>13</v>
      </c>
    </row>
    <row r="1835" spans="1:13" x14ac:dyDescent="0.25">
      <c r="A1835">
        <v>1834</v>
      </c>
      <c r="B1835" t="s">
        <v>1846</v>
      </c>
      <c r="C1835">
        <v>35</v>
      </c>
      <c r="D1835" t="s">
        <v>2948</v>
      </c>
      <c r="E1835" t="s">
        <v>2949</v>
      </c>
      <c r="F1835" t="s">
        <v>4681</v>
      </c>
      <c r="G1835" s="2">
        <v>45740</v>
      </c>
      <c r="H1835" s="2">
        <v>45744</v>
      </c>
      <c r="I1835" t="s">
        <v>5762</v>
      </c>
      <c r="J1835" t="s">
        <v>5771</v>
      </c>
      <c r="K1835">
        <v>257162.77</v>
      </c>
      <c r="L1835" t="s">
        <v>5773</v>
      </c>
      <c r="M1835">
        <v>4</v>
      </c>
    </row>
    <row r="1836" spans="1:13" x14ac:dyDescent="0.25">
      <c r="A1836">
        <v>1835</v>
      </c>
      <c r="B1836" t="s">
        <v>1847</v>
      </c>
      <c r="C1836">
        <v>18</v>
      </c>
      <c r="D1836" t="s">
        <v>2947</v>
      </c>
      <c r="E1836" t="s">
        <v>2950</v>
      </c>
      <c r="F1836" t="s">
        <v>4682</v>
      </c>
      <c r="G1836" s="2">
        <v>45712</v>
      </c>
      <c r="H1836" s="2">
        <v>45722</v>
      </c>
      <c r="I1836" t="s">
        <v>5760</v>
      </c>
      <c r="J1836" t="s">
        <v>5769</v>
      </c>
      <c r="K1836">
        <v>150802.29999999999</v>
      </c>
      <c r="L1836" t="s">
        <v>5775</v>
      </c>
      <c r="M1836">
        <v>10</v>
      </c>
    </row>
    <row r="1837" spans="1:13" x14ac:dyDescent="0.25">
      <c r="A1837">
        <v>1836</v>
      </c>
      <c r="B1837" t="s">
        <v>1848</v>
      </c>
      <c r="C1837">
        <v>12</v>
      </c>
      <c r="D1837" t="s">
        <v>2948</v>
      </c>
      <c r="E1837" t="s">
        <v>2953</v>
      </c>
      <c r="F1837" t="s">
        <v>4683</v>
      </c>
      <c r="G1837" s="2">
        <v>45596</v>
      </c>
      <c r="H1837" s="2">
        <v>45611</v>
      </c>
      <c r="I1837" t="s">
        <v>5766</v>
      </c>
      <c r="J1837" t="s">
        <v>2949</v>
      </c>
      <c r="K1837">
        <v>350081</v>
      </c>
      <c r="L1837" t="s">
        <v>5775</v>
      </c>
      <c r="M1837">
        <v>15</v>
      </c>
    </row>
    <row r="1838" spans="1:13" x14ac:dyDescent="0.25">
      <c r="A1838">
        <v>1837</v>
      </c>
      <c r="B1838" t="s">
        <v>1849</v>
      </c>
      <c r="C1838">
        <v>82</v>
      </c>
      <c r="D1838" t="s">
        <v>2948</v>
      </c>
      <c r="E1838" t="s">
        <v>2955</v>
      </c>
      <c r="F1838" t="s">
        <v>4684</v>
      </c>
      <c r="G1838" s="2">
        <v>45586</v>
      </c>
      <c r="H1838" s="2">
        <v>45589</v>
      </c>
      <c r="I1838" t="s">
        <v>5763</v>
      </c>
      <c r="J1838" t="s">
        <v>5769</v>
      </c>
      <c r="K1838">
        <v>207405.19</v>
      </c>
      <c r="L1838" t="s">
        <v>5775</v>
      </c>
      <c r="M1838">
        <v>3</v>
      </c>
    </row>
    <row r="1839" spans="1:13" x14ac:dyDescent="0.25">
      <c r="A1839">
        <v>1838</v>
      </c>
      <c r="B1839" t="s">
        <v>1850</v>
      </c>
      <c r="C1839">
        <v>57</v>
      </c>
      <c r="D1839" t="s">
        <v>2948</v>
      </c>
      <c r="E1839" t="s">
        <v>2954</v>
      </c>
      <c r="F1839" t="s">
        <v>4685</v>
      </c>
      <c r="G1839" s="2">
        <v>45871</v>
      </c>
      <c r="H1839" s="2">
        <v>45884</v>
      </c>
      <c r="I1839" t="s">
        <v>5765</v>
      </c>
      <c r="J1839" t="s">
        <v>5772</v>
      </c>
      <c r="K1839">
        <v>100773.55</v>
      </c>
      <c r="L1839" t="s">
        <v>5774</v>
      </c>
      <c r="M1839">
        <v>13</v>
      </c>
    </row>
    <row r="1840" spans="1:13" x14ac:dyDescent="0.25">
      <c r="A1840">
        <v>1839</v>
      </c>
      <c r="B1840" t="s">
        <v>1851</v>
      </c>
      <c r="C1840">
        <v>76</v>
      </c>
      <c r="D1840" t="s">
        <v>2948</v>
      </c>
      <c r="E1840" t="s">
        <v>2954</v>
      </c>
      <c r="F1840" t="s">
        <v>4686</v>
      </c>
      <c r="G1840" s="2">
        <v>45759</v>
      </c>
      <c r="H1840" s="2">
        <v>45762</v>
      </c>
      <c r="I1840" t="s">
        <v>5766</v>
      </c>
      <c r="J1840" t="s">
        <v>5771</v>
      </c>
      <c r="K1840">
        <v>494750.02</v>
      </c>
      <c r="L1840" t="s">
        <v>5775</v>
      </c>
      <c r="M1840">
        <v>3</v>
      </c>
    </row>
    <row r="1841" spans="1:13" x14ac:dyDescent="0.25">
      <c r="A1841">
        <v>1840</v>
      </c>
      <c r="B1841" t="s">
        <v>1852</v>
      </c>
      <c r="C1841">
        <v>49</v>
      </c>
      <c r="D1841" t="s">
        <v>2947</v>
      </c>
      <c r="E1841" t="s">
        <v>2955</v>
      </c>
      <c r="F1841" t="s">
        <v>4687</v>
      </c>
      <c r="G1841" s="2">
        <v>45652</v>
      </c>
      <c r="H1841" s="2">
        <v>45665</v>
      </c>
      <c r="I1841" t="s">
        <v>5762</v>
      </c>
      <c r="J1841" t="s">
        <v>5771</v>
      </c>
      <c r="K1841">
        <v>77306.720000000001</v>
      </c>
      <c r="L1841" t="s">
        <v>5775</v>
      </c>
      <c r="M1841">
        <v>13</v>
      </c>
    </row>
    <row r="1842" spans="1:13" x14ac:dyDescent="0.25">
      <c r="A1842">
        <v>1841</v>
      </c>
      <c r="B1842" t="s">
        <v>1853</v>
      </c>
      <c r="C1842">
        <v>60</v>
      </c>
      <c r="D1842" t="s">
        <v>2947</v>
      </c>
      <c r="E1842" t="s">
        <v>2950</v>
      </c>
      <c r="F1842" t="s">
        <v>4688</v>
      </c>
      <c r="G1842" s="2">
        <v>45815</v>
      </c>
      <c r="H1842" s="2">
        <v>45819</v>
      </c>
      <c r="I1842" t="s">
        <v>5762</v>
      </c>
      <c r="J1842" t="s">
        <v>2949</v>
      </c>
      <c r="K1842">
        <v>423532.31</v>
      </c>
      <c r="L1842" t="s">
        <v>5774</v>
      </c>
      <c r="M1842">
        <v>4</v>
      </c>
    </row>
    <row r="1843" spans="1:13" x14ac:dyDescent="0.25">
      <c r="A1843">
        <v>1842</v>
      </c>
      <c r="B1843" t="s">
        <v>1854</v>
      </c>
      <c r="C1843">
        <v>9</v>
      </c>
      <c r="D1843" t="s">
        <v>2948</v>
      </c>
      <c r="E1843" t="s">
        <v>2949</v>
      </c>
      <c r="F1843" t="s">
        <v>4689</v>
      </c>
      <c r="G1843" s="2">
        <v>45843</v>
      </c>
      <c r="H1843" s="2">
        <v>45852</v>
      </c>
      <c r="I1843" t="s">
        <v>5766</v>
      </c>
      <c r="J1843" t="s">
        <v>5768</v>
      </c>
      <c r="K1843">
        <v>89711.95</v>
      </c>
      <c r="L1843" t="s">
        <v>5774</v>
      </c>
      <c r="M1843">
        <v>9</v>
      </c>
    </row>
    <row r="1844" spans="1:13" x14ac:dyDescent="0.25">
      <c r="A1844">
        <v>1843</v>
      </c>
      <c r="B1844" t="s">
        <v>1855</v>
      </c>
      <c r="C1844">
        <v>67</v>
      </c>
      <c r="D1844" t="s">
        <v>2947</v>
      </c>
      <c r="E1844" t="s">
        <v>2951</v>
      </c>
      <c r="F1844" t="s">
        <v>4690</v>
      </c>
      <c r="G1844" s="2">
        <v>45732</v>
      </c>
      <c r="H1844" s="2">
        <v>45746</v>
      </c>
      <c r="I1844" t="s">
        <v>5765</v>
      </c>
      <c r="J1844" t="s">
        <v>5769</v>
      </c>
      <c r="K1844">
        <v>453751.31</v>
      </c>
      <c r="L1844" t="s">
        <v>5773</v>
      </c>
      <c r="M1844">
        <v>14</v>
      </c>
    </row>
    <row r="1845" spans="1:13" x14ac:dyDescent="0.25">
      <c r="A1845">
        <v>1844</v>
      </c>
      <c r="B1845" t="s">
        <v>1856</v>
      </c>
      <c r="C1845">
        <v>31</v>
      </c>
      <c r="D1845" t="s">
        <v>2948</v>
      </c>
      <c r="E1845" t="s">
        <v>2952</v>
      </c>
      <c r="F1845" t="s">
        <v>4691</v>
      </c>
      <c r="G1845" s="2">
        <v>45681</v>
      </c>
      <c r="H1845" s="2">
        <v>45694</v>
      </c>
      <c r="I1845" t="s">
        <v>5765</v>
      </c>
      <c r="J1845" t="s">
        <v>5772</v>
      </c>
      <c r="K1845">
        <v>159242.70000000001</v>
      </c>
      <c r="L1845" t="s">
        <v>5775</v>
      </c>
      <c r="M1845">
        <v>13</v>
      </c>
    </row>
    <row r="1846" spans="1:13" x14ac:dyDescent="0.25">
      <c r="A1846">
        <v>1845</v>
      </c>
      <c r="B1846" t="s">
        <v>1857</v>
      </c>
      <c r="C1846">
        <v>84</v>
      </c>
      <c r="D1846" t="s">
        <v>2947</v>
      </c>
      <c r="E1846" t="s">
        <v>2949</v>
      </c>
      <c r="F1846" t="s">
        <v>4692</v>
      </c>
      <c r="G1846" s="2">
        <v>45713</v>
      </c>
      <c r="H1846" s="2">
        <v>45715</v>
      </c>
      <c r="I1846" t="s">
        <v>5766</v>
      </c>
      <c r="J1846" t="s">
        <v>5769</v>
      </c>
      <c r="K1846">
        <v>423556.84</v>
      </c>
      <c r="L1846" t="s">
        <v>5774</v>
      </c>
      <c r="M1846">
        <v>2</v>
      </c>
    </row>
    <row r="1847" spans="1:13" x14ac:dyDescent="0.25">
      <c r="A1847">
        <v>1846</v>
      </c>
      <c r="B1847" t="s">
        <v>1858</v>
      </c>
      <c r="C1847">
        <v>34</v>
      </c>
      <c r="D1847" t="s">
        <v>2947</v>
      </c>
      <c r="E1847" t="s">
        <v>2950</v>
      </c>
      <c r="F1847" t="s">
        <v>4693</v>
      </c>
      <c r="G1847" s="2">
        <v>45833</v>
      </c>
      <c r="H1847" s="2">
        <v>45843</v>
      </c>
      <c r="I1847" t="s">
        <v>5760</v>
      </c>
      <c r="J1847" t="s">
        <v>5768</v>
      </c>
      <c r="K1847">
        <v>458257.53</v>
      </c>
      <c r="L1847" t="s">
        <v>5773</v>
      </c>
      <c r="M1847">
        <v>10</v>
      </c>
    </row>
    <row r="1848" spans="1:13" x14ac:dyDescent="0.25">
      <c r="A1848">
        <v>1847</v>
      </c>
      <c r="B1848" t="s">
        <v>1859</v>
      </c>
      <c r="C1848">
        <v>62</v>
      </c>
      <c r="D1848" t="s">
        <v>2947</v>
      </c>
      <c r="E1848" t="s">
        <v>2953</v>
      </c>
      <c r="F1848" t="s">
        <v>4694</v>
      </c>
      <c r="G1848" s="2">
        <v>45650</v>
      </c>
      <c r="H1848" s="2">
        <v>45658</v>
      </c>
      <c r="I1848" t="s">
        <v>5760</v>
      </c>
      <c r="J1848" t="s">
        <v>5770</v>
      </c>
      <c r="K1848">
        <v>381934.92</v>
      </c>
      <c r="L1848" t="s">
        <v>5773</v>
      </c>
      <c r="M1848">
        <v>8</v>
      </c>
    </row>
    <row r="1849" spans="1:13" x14ac:dyDescent="0.25">
      <c r="A1849">
        <v>1848</v>
      </c>
      <c r="B1849" t="s">
        <v>1860</v>
      </c>
      <c r="C1849">
        <v>27</v>
      </c>
      <c r="D1849" t="s">
        <v>2947</v>
      </c>
      <c r="E1849" t="s">
        <v>2950</v>
      </c>
      <c r="F1849" t="s">
        <v>4695</v>
      </c>
      <c r="G1849" s="2">
        <v>45829</v>
      </c>
      <c r="H1849" s="2">
        <v>45843</v>
      </c>
      <c r="I1849" t="s">
        <v>5759</v>
      </c>
      <c r="J1849" t="s">
        <v>5769</v>
      </c>
      <c r="K1849">
        <v>442750.15</v>
      </c>
      <c r="L1849" t="s">
        <v>5775</v>
      </c>
      <c r="M1849">
        <v>14</v>
      </c>
    </row>
    <row r="1850" spans="1:13" x14ac:dyDescent="0.25">
      <c r="A1850">
        <v>1849</v>
      </c>
      <c r="B1850" t="s">
        <v>1861</v>
      </c>
      <c r="C1850">
        <v>12</v>
      </c>
      <c r="D1850" t="s">
        <v>2948</v>
      </c>
      <c r="E1850" t="s">
        <v>2951</v>
      </c>
      <c r="F1850" t="s">
        <v>4696</v>
      </c>
      <c r="G1850" s="2">
        <v>45607</v>
      </c>
      <c r="H1850" s="2">
        <v>45611</v>
      </c>
      <c r="I1850" t="s">
        <v>5759</v>
      </c>
      <c r="J1850" t="s">
        <v>5770</v>
      </c>
      <c r="K1850">
        <v>148713.71</v>
      </c>
      <c r="L1850" t="s">
        <v>5773</v>
      </c>
      <c r="M1850">
        <v>4</v>
      </c>
    </row>
    <row r="1851" spans="1:13" x14ac:dyDescent="0.25">
      <c r="A1851">
        <v>1850</v>
      </c>
      <c r="B1851" t="s">
        <v>1862</v>
      </c>
      <c r="C1851">
        <v>71</v>
      </c>
      <c r="D1851" t="s">
        <v>2947</v>
      </c>
      <c r="E1851" t="s">
        <v>2950</v>
      </c>
      <c r="F1851" t="s">
        <v>4697</v>
      </c>
      <c r="G1851" s="2">
        <v>45586</v>
      </c>
      <c r="H1851" s="2">
        <v>45592</v>
      </c>
      <c r="I1851" t="s">
        <v>5759</v>
      </c>
      <c r="J1851" t="s">
        <v>5770</v>
      </c>
      <c r="K1851">
        <v>330876.99</v>
      </c>
      <c r="L1851" t="s">
        <v>5774</v>
      </c>
      <c r="M1851">
        <v>6</v>
      </c>
    </row>
    <row r="1852" spans="1:13" x14ac:dyDescent="0.25">
      <c r="A1852">
        <v>1851</v>
      </c>
      <c r="B1852" t="s">
        <v>1863</v>
      </c>
      <c r="C1852">
        <v>80</v>
      </c>
      <c r="D1852" t="s">
        <v>2948</v>
      </c>
      <c r="E1852" t="s">
        <v>2952</v>
      </c>
      <c r="F1852" t="s">
        <v>4698</v>
      </c>
      <c r="G1852" s="2">
        <v>45712</v>
      </c>
      <c r="H1852" s="2">
        <v>45719</v>
      </c>
      <c r="I1852" t="s">
        <v>5760</v>
      </c>
      <c r="J1852" t="s">
        <v>5772</v>
      </c>
      <c r="K1852">
        <v>326927.40000000002</v>
      </c>
      <c r="L1852" t="s">
        <v>5775</v>
      </c>
      <c r="M1852">
        <v>7</v>
      </c>
    </row>
    <row r="1853" spans="1:13" x14ac:dyDescent="0.25">
      <c r="A1853">
        <v>1852</v>
      </c>
      <c r="B1853" t="s">
        <v>1864</v>
      </c>
      <c r="C1853">
        <v>80</v>
      </c>
      <c r="D1853" t="s">
        <v>2948</v>
      </c>
      <c r="E1853" t="s">
        <v>2955</v>
      </c>
      <c r="F1853" t="s">
        <v>4699</v>
      </c>
      <c r="G1853" s="2">
        <v>45630</v>
      </c>
      <c r="H1853" s="2">
        <v>45631</v>
      </c>
      <c r="I1853" t="s">
        <v>5760</v>
      </c>
      <c r="J1853" t="s">
        <v>2949</v>
      </c>
      <c r="K1853">
        <v>285595.64</v>
      </c>
      <c r="L1853" t="s">
        <v>5775</v>
      </c>
      <c r="M1853">
        <v>1</v>
      </c>
    </row>
    <row r="1854" spans="1:13" x14ac:dyDescent="0.25">
      <c r="A1854">
        <v>1853</v>
      </c>
      <c r="B1854" t="s">
        <v>1865</v>
      </c>
      <c r="C1854">
        <v>88</v>
      </c>
      <c r="D1854" t="s">
        <v>2947</v>
      </c>
      <c r="E1854" t="s">
        <v>2954</v>
      </c>
      <c r="F1854" t="s">
        <v>184</v>
      </c>
      <c r="G1854" s="2">
        <v>45879</v>
      </c>
      <c r="H1854" s="2">
        <v>45885</v>
      </c>
      <c r="I1854" t="s">
        <v>5760</v>
      </c>
      <c r="J1854" t="s">
        <v>5769</v>
      </c>
      <c r="K1854">
        <v>279795.84000000003</v>
      </c>
      <c r="L1854" t="s">
        <v>5775</v>
      </c>
      <c r="M1854">
        <v>6</v>
      </c>
    </row>
    <row r="1855" spans="1:13" x14ac:dyDescent="0.25">
      <c r="A1855">
        <v>1854</v>
      </c>
      <c r="B1855" t="s">
        <v>1866</v>
      </c>
      <c r="C1855">
        <v>20</v>
      </c>
      <c r="D1855" t="s">
        <v>2948</v>
      </c>
      <c r="E1855" t="s">
        <v>2954</v>
      </c>
      <c r="F1855" t="s">
        <v>4700</v>
      </c>
      <c r="G1855" s="2">
        <v>45693</v>
      </c>
      <c r="H1855" s="2">
        <v>45708</v>
      </c>
      <c r="I1855" t="s">
        <v>5761</v>
      </c>
      <c r="J1855" t="s">
        <v>5771</v>
      </c>
      <c r="K1855">
        <v>218287.22</v>
      </c>
      <c r="L1855" t="s">
        <v>5773</v>
      </c>
      <c r="M1855">
        <v>15</v>
      </c>
    </row>
    <row r="1856" spans="1:13" x14ac:dyDescent="0.25">
      <c r="A1856">
        <v>1855</v>
      </c>
      <c r="B1856" t="s">
        <v>1867</v>
      </c>
      <c r="C1856">
        <v>38</v>
      </c>
      <c r="D1856" t="s">
        <v>2947</v>
      </c>
      <c r="E1856" t="s">
        <v>2949</v>
      </c>
      <c r="F1856" t="s">
        <v>4701</v>
      </c>
      <c r="G1856" s="2">
        <v>45828</v>
      </c>
      <c r="H1856" s="2">
        <v>45836</v>
      </c>
      <c r="I1856" t="s">
        <v>5766</v>
      </c>
      <c r="J1856" t="s">
        <v>5769</v>
      </c>
      <c r="K1856">
        <v>347350.33</v>
      </c>
      <c r="L1856" t="s">
        <v>5774</v>
      </c>
      <c r="M1856">
        <v>8</v>
      </c>
    </row>
    <row r="1857" spans="1:13" x14ac:dyDescent="0.25">
      <c r="A1857">
        <v>1856</v>
      </c>
      <c r="B1857" t="s">
        <v>1868</v>
      </c>
      <c r="C1857">
        <v>86</v>
      </c>
      <c r="D1857" t="s">
        <v>2948</v>
      </c>
      <c r="E1857" t="s">
        <v>2955</v>
      </c>
      <c r="F1857" t="s">
        <v>4702</v>
      </c>
      <c r="G1857" s="2">
        <v>45737</v>
      </c>
      <c r="H1857" s="2">
        <v>45748</v>
      </c>
      <c r="I1857" t="s">
        <v>5758</v>
      </c>
      <c r="J1857" t="s">
        <v>2949</v>
      </c>
      <c r="K1857">
        <v>478762.36</v>
      </c>
      <c r="L1857" t="s">
        <v>5775</v>
      </c>
      <c r="M1857">
        <v>11</v>
      </c>
    </row>
    <row r="1858" spans="1:13" x14ac:dyDescent="0.25">
      <c r="A1858">
        <v>1857</v>
      </c>
      <c r="B1858" t="s">
        <v>1869</v>
      </c>
      <c r="C1858">
        <v>49</v>
      </c>
      <c r="D1858" t="s">
        <v>2948</v>
      </c>
      <c r="E1858" t="s">
        <v>2951</v>
      </c>
      <c r="F1858" t="s">
        <v>4703</v>
      </c>
      <c r="G1858" s="2">
        <v>45644</v>
      </c>
      <c r="H1858" s="2">
        <v>45656</v>
      </c>
      <c r="I1858" t="s">
        <v>5759</v>
      </c>
      <c r="J1858" t="s">
        <v>5768</v>
      </c>
      <c r="K1858">
        <v>372199.02</v>
      </c>
      <c r="L1858" t="s">
        <v>5773</v>
      </c>
      <c r="M1858">
        <v>12</v>
      </c>
    </row>
    <row r="1859" spans="1:13" x14ac:dyDescent="0.25">
      <c r="A1859">
        <v>1858</v>
      </c>
      <c r="B1859" t="s">
        <v>1870</v>
      </c>
      <c r="C1859">
        <v>86</v>
      </c>
      <c r="D1859" t="s">
        <v>2947</v>
      </c>
      <c r="E1859" t="s">
        <v>2953</v>
      </c>
      <c r="F1859" t="s">
        <v>4704</v>
      </c>
      <c r="G1859" s="2">
        <v>45634</v>
      </c>
      <c r="H1859" s="2">
        <v>45642</v>
      </c>
      <c r="I1859" t="s">
        <v>5761</v>
      </c>
      <c r="J1859" t="s">
        <v>5770</v>
      </c>
      <c r="K1859">
        <v>20237.73</v>
      </c>
      <c r="L1859" t="s">
        <v>5774</v>
      </c>
      <c r="M1859">
        <v>8</v>
      </c>
    </row>
    <row r="1860" spans="1:13" x14ac:dyDescent="0.25">
      <c r="A1860">
        <v>1859</v>
      </c>
      <c r="B1860" t="s">
        <v>1871</v>
      </c>
      <c r="C1860">
        <v>19</v>
      </c>
      <c r="D1860" t="s">
        <v>2947</v>
      </c>
      <c r="E1860" t="s">
        <v>2953</v>
      </c>
      <c r="F1860" t="s">
        <v>4705</v>
      </c>
      <c r="G1860" s="2">
        <v>45777</v>
      </c>
      <c r="H1860" s="2">
        <v>45785</v>
      </c>
      <c r="I1860" t="s">
        <v>5762</v>
      </c>
      <c r="J1860" t="s">
        <v>2949</v>
      </c>
      <c r="K1860">
        <v>466164.18</v>
      </c>
      <c r="L1860" t="s">
        <v>5773</v>
      </c>
      <c r="M1860">
        <v>8</v>
      </c>
    </row>
    <row r="1861" spans="1:13" x14ac:dyDescent="0.25">
      <c r="A1861">
        <v>1860</v>
      </c>
      <c r="B1861" t="s">
        <v>1872</v>
      </c>
      <c r="C1861">
        <v>12</v>
      </c>
      <c r="D1861" t="s">
        <v>2947</v>
      </c>
      <c r="E1861" t="s">
        <v>2952</v>
      </c>
      <c r="F1861" t="s">
        <v>4706</v>
      </c>
      <c r="G1861" s="2">
        <v>45642</v>
      </c>
      <c r="H1861" s="2">
        <v>45656</v>
      </c>
      <c r="I1861" t="s">
        <v>5765</v>
      </c>
      <c r="J1861" t="s">
        <v>5768</v>
      </c>
      <c r="K1861">
        <v>473048.7</v>
      </c>
      <c r="L1861" t="s">
        <v>5775</v>
      </c>
      <c r="M1861">
        <v>14</v>
      </c>
    </row>
    <row r="1862" spans="1:13" x14ac:dyDescent="0.25">
      <c r="A1862">
        <v>1861</v>
      </c>
      <c r="B1862" t="s">
        <v>1873</v>
      </c>
      <c r="C1862">
        <v>78</v>
      </c>
      <c r="D1862" t="s">
        <v>2947</v>
      </c>
      <c r="E1862" t="s">
        <v>2954</v>
      </c>
      <c r="F1862" t="s">
        <v>4707</v>
      </c>
      <c r="G1862" s="2">
        <v>45713</v>
      </c>
      <c r="H1862" s="2">
        <v>45722</v>
      </c>
      <c r="I1862" t="s">
        <v>5760</v>
      </c>
      <c r="J1862" t="s">
        <v>2949</v>
      </c>
      <c r="K1862">
        <v>339094.02</v>
      </c>
      <c r="L1862" t="s">
        <v>5775</v>
      </c>
      <c r="M1862">
        <v>9</v>
      </c>
    </row>
    <row r="1863" spans="1:13" x14ac:dyDescent="0.25">
      <c r="A1863">
        <v>1862</v>
      </c>
      <c r="B1863" t="s">
        <v>1874</v>
      </c>
      <c r="C1863">
        <v>11</v>
      </c>
      <c r="D1863" t="s">
        <v>2947</v>
      </c>
      <c r="E1863" t="s">
        <v>2952</v>
      </c>
      <c r="F1863" t="s">
        <v>4708</v>
      </c>
      <c r="G1863" s="2">
        <v>45908</v>
      </c>
      <c r="H1863" s="2">
        <v>45916</v>
      </c>
      <c r="I1863" t="s">
        <v>5762</v>
      </c>
      <c r="J1863" t="s">
        <v>5772</v>
      </c>
      <c r="K1863">
        <v>183058.72</v>
      </c>
      <c r="L1863" t="s">
        <v>5774</v>
      </c>
      <c r="M1863">
        <v>8</v>
      </c>
    </row>
    <row r="1864" spans="1:13" x14ac:dyDescent="0.25">
      <c r="A1864">
        <v>1863</v>
      </c>
      <c r="B1864" t="s">
        <v>1875</v>
      </c>
      <c r="C1864">
        <v>46</v>
      </c>
      <c r="D1864" t="s">
        <v>2948</v>
      </c>
      <c r="E1864" t="s">
        <v>2951</v>
      </c>
      <c r="F1864" t="s">
        <v>4709</v>
      </c>
      <c r="G1864" s="2">
        <v>45651</v>
      </c>
      <c r="H1864" s="2">
        <v>45657</v>
      </c>
      <c r="I1864" t="s">
        <v>5766</v>
      </c>
      <c r="J1864" t="s">
        <v>2949</v>
      </c>
      <c r="K1864">
        <v>316419.48</v>
      </c>
      <c r="L1864" t="s">
        <v>5775</v>
      </c>
      <c r="M1864">
        <v>6</v>
      </c>
    </row>
    <row r="1865" spans="1:13" x14ac:dyDescent="0.25">
      <c r="A1865">
        <v>1864</v>
      </c>
      <c r="B1865" t="s">
        <v>1876</v>
      </c>
      <c r="C1865">
        <v>8</v>
      </c>
      <c r="D1865" t="s">
        <v>2948</v>
      </c>
      <c r="E1865" t="s">
        <v>2953</v>
      </c>
      <c r="F1865" t="s">
        <v>4710</v>
      </c>
      <c r="G1865" s="2">
        <v>45697</v>
      </c>
      <c r="H1865" s="2">
        <v>45702</v>
      </c>
      <c r="I1865" t="s">
        <v>5758</v>
      </c>
      <c r="J1865" t="s">
        <v>5769</v>
      </c>
      <c r="K1865">
        <v>88992.5</v>
      </c>
      <c r="L1865" t="s">
        <v>5774</v>
      </c>
      <c r="M1865">
        <v>5</v>
      </c>
    </row>
    <row r="1866" spans="1:13" x14ac:dyDescent="0.25">
      <c r="A1866">
        <v>1865</v>
      </c>
      <c r="B1866" t="s">
        <v>1877</v>
      </c>
      <c r="C1866">
        <v>52</v>
      </c>
      <c r="D1866" t="s">
        <v>2947</v>
      </c>
      <c r="E1866" t="s">
        <v>2955</v>
      </c>
      <c r="F1866" t="s">
        <v>4711</v>
      </c>
      <c r="G1866" s="2">
        <v>45637</v>
      </c>
      <c r="H1866" s="2">
        <v>45649</v>
      </c>
      <c r="I1866" t="s">
        <v>5766</v>
      </c>
      <c r="J1866" t="s">
        <v>5770</v>
      </c>
      <c r="K1866">
        <v>40237.06</v>
      </c>
      <c r="L1866" t="s">
        <v>5773</v>
      </c>
      <c r="M1866">
        <v>12</v>
      </c>
    </row>
    <row r="1867" spans="1:13" x14ac:dyDescent="0.25">
      <c r="A1867">
        <v>1866</v>
      </c>
      <c r="B1867" t="s">
        <v>1878</v>
      </c>
      <c r="C1867">
        <v>68</v>
      </c>
      <c r="D1867" t="s">
        <v>2948</v>
      </c>
      <c r="E1867" t="s">
        <v>2951</v>
      </c>
      <c r="F1867" t="s">
        <v>4712</v>
      </c>
      <c r="G1867" s="2">
        <v>45748</v>
      </c>
      <c r="H1867" s="2">
        <v>45753</v>
      </c>
      <c r="I1867" t="s">
        <v>5762</v>
      </c>
      <c r="J1867" t="s">
        <v>2949</v>
      </c>
      <c r="K1867">
        <v>422398.93</v>
      </c>
      <c r="L1867" t="s">
        <v>5775</v>
      </c>
      <c r="M1867">
        <v>5</v>
      </c>
    </row>
    <row r="1868" spans="1:13" x14ac:dyDescent="0.25">
      <c r="A1868">
        <v>1867</v>
      </c>
      <c r="B1868" t="s">
        <v>1879</v>
      </c>
      <c r="C1868">
        <v>4</v>
      </c>
      <c r="D1868" t="s">
        <v>2948</v>
      </c>
      <c r="E1868" t="s">
        <v>2952</v>
      </c>
      <c r="F1868" t="s">
        <v>4713</v>
      </c>
      <c r="G1868" s="2">
        <v>45622</v>
      </c>
      <c r="H1868" s="2">
        <v>45632</v>
      </c>
      <c r="I1868" t="s">
        <v>5765</v>
      </c>
      <c r="J1868" t="s">
        <v>2949</v>
      </c>
      <c r="K1868">
        <v>398509.17</v>
      </c>
      <c r="L1868" t="s">
        <v>5775</v>
      </c>
      <c r="M1868">
        <v>10</v>
      </c>
    </row>
    <row r="1869" spans="1:13" x14ac:dyDescent="0.25">
      <c r="A1869">
        <v>1868</v>
      </c>
      <c r="B1869" t="s">
        <v>1880</v>
      </c>
      <c r="C1869">
        <v>1</v>
      </c>
      <c r="D1869" t="s">
        <v>2947</v>
      </c>
      <c r="E1869" t="s">
        <v>2951</v>
      </c>
      <c r="F1869" t="s">
        <v>4714</v>
      </c>
      <c r="G1869" s="2">
        <v>45900</v>
      </c>
      <c r="H1869" s="2">
        <v>45908</v>
      </c>
      <c r="I1869" t="s">
        <v>5767</v>
      </c>
      <c r="J1869" t="s">
        <v>5772</v>
      </c>
      <c r="K1869">
        <v>129621.19</v>
      </c>
      <c r="L1869" t="s">
        <v>5775</v>
      </c>
      <c r="M1869">
        <v>8</v>
      </c>
    </row>
    <row r="1870" spans="1:13" x14ac:dyDescent="0.25">
      <c r="A1870">
        <v>1869</v>
      </c>
      <c r="B1870" t="s">
        <v>1881</v>
      </c>
      <c r="C1870">
        <v>55</v>
      </c>
      <c r="D1870" t="s">
        <v>2947</v>
      </c>
      <c r="E1870" t="s">
        <v>2950</v>
      </c>
      <c r="F1870" t="s">
        <v>4715</v>
      </c>
      <c r="G1870" s="2">
        <v>45900</v>
      </c>
      <c r="H1870" s="2">
        <v>45911</v>
      </c>
      <c r="I1870" t="s">
        <v>5763</v>
      </c>
      <c r="J1870" t="s">
        <v>5768</v>
      </c>
      <c r="K1870">
        <v>54961.15</v>
      </c>
      <c r="L1870" t="s">
        <v>5775</v>
      </c>
      <c r="M1870">
        <v>11</v>
      </c>
    </row>
    <row r="1871" spans="1:13" x14ac:dyDescent="0.25">
      <c r="A1871">
        <v>1870</v>
      </c>
      <c r="B1871" t="s">
        <v>1882</v>
      </c>
      <c r="C1871">
        <v>36</v>
      </c>
      <c r="D1871" t="s">
        <v>2948</v>
      </c>
      <c r="E1871" t="s">
        <v>2953</v>
      </c>
      <c r="F1871" t="s">
        <v>4716</v>
      </c>
      <c r="G1871" s="2">
        <v>45604</v>
      </c>
      <c r="H1871" s="2">
        <v>45618</v>
      </c>
      <c r="I1871" t="s">
        <v>5760</v>
      </c>
      <c r="J1871" t="s">
        <v>5772</v>
      </c>
      <c r="K1871">
        <v>41288.83</v>
      </c>
      <c r="L1871" t="s">
        <v>5774</v>
      </c>
      <c r="M1871">
        <v>14</v>
      </c>
    </row>
    <row r="1872" spans="1:13" x14ac:dyDescent="0.25">
      <c r="A1872">
        <v>1871</v>
      </c>
      <c r="B1872" t="s">
        <v>1883</v>
      </c>
      <c r="C1872">
        <v>22</v>
      </c>
      <c r="D1872" t="s">
        <v>2948</v>
      </c>
      <c r="E1872" t="s">
        <v>2954</v>
      </c>
      <c r="F1872" t="s">
        <v>4717</v>
      </c>
      <c r="G1872" s="2">
        <v>45905</v>
      </c>
      <c r="H1872" s="2">
        <v>45914</v>
      </c>
      <c r="I1872" t="s">
        <v>5761</v>
      </c>
      <c r="J1872" t="s">
        <v>5768</v>
      </c>
      <c r="K1872">
        <v>69615.3</v>
      </c>
      <c r="L1872" t="s">
        <v>5774</v>
      </c>
      <c r="M1872">
        <v>9</v>
      </c>
    </row>
    <row r="1873" spans="1:13" x14ac:dyDescent="0.25">
      <c r="A1873">
        <v>1872</v>
      </c>
      <c r="B1873" t="s">
        <v>1884</v>
      </c>
      <c r="C1873">
        <v>7</v>
      </c>
      <c r="D1873" t="s">
        <v>2947</v>
      </c>
      <c r="E1873" t="s">
        <v>2949</v>
      </c>
      <c r="F1873" t="s">
        <v>4718</v>
      </c>
      <c r="G1873" s="2">
        <v>45801</v>
      </c>
      <c r="H1873" s="2">
        <v>45802</v>
      </c>
      <c r="I1873" t="s">
        <v>5761</v>
      </c>
      <c r="J1873" t="s">
        <v>5768</v>
      </c>
      <c r="K1873">
        <v>242907.73</v>
      </c>
      <c r="L1873" t="s">
        <v>5773</v>
      </c>
      <c r="M1873">
        <v>1</v>
      </c>
    </row>
    <row r="1874" spans="1:13" x14ac:dyDescent="0.25">
      <c r="A1874">
        <v>1873</v>
      </c>
      <c r="B1874" t="s">
        <v>1885</v>
      </c>
      <c r="C1874">
        <v>50</v>
      </c>
      <c r="D1874" t="s">
        <v>2948</v>
      </c>
      <c r="E1874" t="s">
        <v>2952</v>
      </c>
      <c r="F1874" t="s">
        <v>4719</v>
      </c>
      <c r="G1874" s="2">
        <v>45906</v>
      </c>
      <c r="H1874" s="2">
        <v>45915</v>
      </c>
      <c r="I1874" t="s">
        <v>5758</v>
      </c>
      <c r="J1874" t="s">
        <v>5771</v>
      </c>
      <c r="K1874">
        <v>149188.88</v>
      </c>
      <c r="L1874" t="s">
        <v>5775</v>
      </c>
      <c r="M1874">
        <v>9</v>
      </c>
    </row>
    <row r="1875" spans="1:13" x14ac:dyDescent="0.25">
      <c r="A1875">
        <v>1874</v>
      </c>
      <c r="B1875" t="s">
        <v>1886</v>
      </c>
      <c r="C1875">
        <v>35</v>
      </c>
      <c r="D1875" t="s">
        <v>2947</v>
      </c>
      <c r="E1875" t="s">
        <v>2954</v>
      </c>
      <c r="F1875" t="s">
        <v>4720</v>
      </c>
      <c r="G1875" s="2">
        <v>45890</v>
      </c>
      <c r="H1875" s="2">
        <v>45895</v>
      </c>
      <c r="I1875" t="s">
        <v>5758</v>
      </c>
      <c r="J1875" t="s">
        <v>5769</v>
      </c>
      <c r="K1875">
        <v>252957.58</v>
      </c>
      <c r="L1875" t="s">
        <v>5774</v>
      </c>
      <c r="M1875">
        <v>5</v>
      </c>
    </row>
    <row r="1876" spans="1:13" x14ac:dyDescent="0.25">
      <c r="A1876">
        <v>1875</v>
      </c>
      <c r="B1876" t="s">
        <v>1887</v>
      </c>
      <c r="C1876">
        <v>60</v>
      </c>
      <c r="D1876" t="s">
        <v>2947</v>
      </c>
      <c r="E1876" t="s">
        <v>2954</v>
      </c>
      <c r="F1876" t="s">
        <v>4721</v>
      </c>
      <c r="G1876" s="2">
        <v>45840</v>
      </c>
      <c r="H1876" s="2">
        <v>45852</v>
      </c>
      <c r="I1876" t="s">
        <v>5764</v>
      </c>
      <c r="J1876" t="s">
        <v>5772</v>
      </c>
      <c r="K1876">
        <v>67024.7</v>
      </c>
      <c r="L1876" t="s">
        <v>5774</v>
      </c>
      <c r="M1876">
        <v>12</v>
      </c>
    </row>
    <row r="1877" spans="1:13" x14ac:dyDescent="0.25">
      <c r="A1877">
        <v>1876</v>
      </c>
      <c r="B1877" t="s">
        <v>1888</v>
      </c>
      <c r="C1877">
        <v>50</v>
      </c>
      <c r="D1877" t="s">
        <v>2947</v>
      </c>
      <c r="E1877" t="s">
        <v>2953</v>
      </c>
      <c r="F1877" t="s">
        <v>4722</v>
      </c>
      <c r="G1877" s="2">
        <v>45796</v>
      </c>
      <c r="H1877" s="2">
        <v>45803</v>
      </c>
      <c r="I1877" t="s">
        <v>5758</v>
      </c>
      <c r="J1877" t="s">
        <v>5772</v>
      </c>
      <c r="K1877">
        <v>122292.93</v>
      </c>
      <c r="L1877" t="s">
        <v>5775</v>
      </c>
      <c r="M1877">
        <v>7</v>
      </c>
    </row>
    <row r="1878" spans="1:13" x14ac:dyDescent="0.25">
      <c r="A1878">
        <v>1877</v>
      </c>
      <c r="B1878" t="s">
        <v>1889</v>
      </c>
      <c r="C1878">
        <v>57</v>
      </c>
      <c r="D1878" t="s">
        <v>2948</v>
      </c>
      <c r="E1878" t="s">
        <v>2954</v>
      </c>
      <c r="F1878" t="s">
        <v>4723</v>
      </c>
      <c r="G1878" s="2">
        <v>45677</v>
      </c>
      <c r="H1878" s="2">
        <v>45679</v>
      </c>
      <c r="I1878" t="s">
        <v>5763</v>
      </c>
      <c r="J1878" t="s">
        <v>5768</v>
      </c>
      <c r="K1878">
        <v>381688.1</v>
      </c>
      <c r="L1878" t="s">
        <v>5773</v>
      </c>
      <c r="M1878">
        <v>2</v>
      </c>
    </row>
    <row r="1879" spans="1:13" x14ac:dyDescent="0.25">
      <c r="A1879">
        <v>1878</v>
      </c>
      <c r="B1879" t="s">
        <v>1890</v>
      </c>
      <c r="C1879">
        <v>30</v>
      </c>
      <c r="D1879" t="s">
        <v>2948</v>
      </c>
      <c r="E1879" t="s">
        <v>2955</v>
      </c>
      <c r="F1879" t="s">
        <v>4724</v>
      </c>
      <c r="G1879" s="2">
        <v>45630</v>
      </c>
      <c r="H1879" s="2">
        <v>45631</v>
      </c>
      <c r="I1879" t="s">
        <v>5767</v>
      </c>
      <c r="J1879" t="s">
        <v>5769</v>
      </c>
      <c r="K1879">
        <v>382097.66</v>
      </c>
      <c r="L1879" t="s">
        <v>5773</v>
      </c>
      <c r="M1879">
        <v>1</v>
      </c>
    </row>
    <row r="1880" spans="1:13" x14ac:dyDescent="0.25">
      <c r="A1880">
        <v>1879</v>
      </c>
      <c r="B1880" t="s">
        <v>1891</v>
      </c>
      <c r="C1880">
        <v>35</v>
      </c>
      <c r="D1880" t="s">
        <v>2947</v>
      </c>
      <c r="E1880" t="s">
        <v>2951</v>
      </c>
      <c r="F1880" t="s">
        <v>4725</v>
      </c>
      <c r="G1880" s="2">
        <v>45579</v>
      </c>
      <c r="H1880" s="2">
        <v>45591</v>
      </c>
      <c r="I1880" t="s">
        <v>5758</v>
      </c>
      <c r="J1880" t="s">
        <v>5770</v>
      </c>
      <c r="K1880">
        <v>69608.12</v>
      </c>
      <c r="L1880" t="s">
        <v>5775</v>
      </c>
      <c r="M1880">
        <v>12</v>
      </c>
    </row>
    <row r="1881" spans="1:13" x14ac:dyDescent="0.25">
      <c r="A1881">
        <v>1880</v>
      </c>
      <c r="B1881" t="s">
        <v>1892</v>
      </c>
      <c r="C1881">
        <v>37</v>
      </c>
      <c r="D1881" t="s">
        <v>2948</v>
      </c>
      <c r="E1881" t="s">
        <v>2952</v>
      </c>
      <c r="F1881" t="s">
        <v>4726</v>
      </c>
      <c r="G1881" s="2">
        <v>45874</v>
      </c>
      <c r="H1881" s="2">
        <v>45883</v>
      </c>
      <c r="I1881" t="s">
        <v>5766</v>
      </c>
      <c r="J1881" t="s">
        <v>5770</v>
      </c>
      <c r="K1881">
        <v>377223.59</v>
      </c>
      <c r="L1881" t="s">
        <v>5773</v>
      </c>
      <c r="M1881">
        <v>9</v>
      </c>
    </row>
    <row r="1882" spans="1:13" x14ac:dyDescent="0.25">
      <c r="A1882">
        <v>1881</v>
      </c>
      <c r="B1882" t="s">
        <v>1893</v>
      </c>
      <c r="C1882">
        <v>48</v>
      </c>
      <c r="D1882" t="s">
        <v>2947</v>
      </c>
      <c r="E1882" t="s">
        <v>2949</v>
      </c>
      <c r="F1882" t="s">
        <v>4727</v>
      </c>
      <c r="G1882" s="2">
        <v>45910</v>
      </c>
      <c r="H1882" s="2">
        <v>45913</v>
      </c>
      <c r="I1882" t="s">
        <v>5765</v>
      </c>
      <c r="J1882" t="s">
        <v>5768</v>
      </c>
      <c r="K1882">
        <v>152292.79</v>
      </c>
      <c r="L1882" t="s">
        <v>5775</v>
      </c>
      <c r="M1882">
        <v>3</v>
      </c>
    </row>
    <row r="1883" spans="1:13" x14ac:dyDescent="0.25">
      <c r="A1883">
        <v>1882</v>
      </c>
      <c r="B1883" t="s">
        <v>1894</v>
      </c>
      <c r="C1883">
        <v>48</v>
      </c>
      <c r="D1883" t="s">
        <v>2947</v>
      </c>
      <c r="E1883" t="s">
        <v>2949</v>
      </c>
      <c r="F1883" t="s">
        <v>4728</v>
      </c>
      <c r="G1883" s="2">
        <v>45695</v>
      </c>
      <c r="H1883" s="2">
        <v>45702</v>
      </c>
      <c r="I1883" t="s">
        <v>5758</v>
      </c>
      <c r="J1883" t="s">
        <v>5770</v>
      </c>
      <c r="K1883">
        <v>191732.78</v>
      </c>
      <c r="L1883" t="s">
        <v>5774</v>
      </c>
      <c r="M1883">
        <v>7</v>
      </c>
    </row>
    <row r="1884" spans="1:13" x14ac:dyDescent="0.25">
      <c r="A1884">
        <v>1883</v>
      </c>
      <c r="B1884" t="s">
        <v>1895</v>
      </c>
      <c r="C1884">
        <v>69</v>
      </c>
      <c r="D1884" t="s">
        <v>2947</v>
      </c>
      <c r="E1884" t="s">
        <v>2953</v>
      </c>
      <c r="F1884" t="s">
        <v>4729</v>
      </c>
      <c r="G1884" s="2">
        <v>45825</v>
      </c>
      <c r="H1884" s="2">
        <v>45826</v>
      </c>
      <c r="I1884" t="s">
        <v>5761</v>
      </c>
      <c r="J1884" t="s">
        <v>5769</v>
      </c>
      <c r="K1884">
        <v>465431.43</v>
      </c>
      <c r="L1884" t="s">
        <v>5774</v>
      </c>
      <c r="M1884">
        <v>1</v>
      </c>
    </row>
    <row r="1885" spans="1:13" x14ac:dyDescent="0.25">
      <c r="A1885">
        <v>1884</v>
      </c>
      <c r="B1885" t="s">
        <v>1896</v>
      </c>
      <c r="C1885">
        <v>3</v>
      </c>
      <c r="D1885" t="s">
        <v>2948</v>
      </c>
      <c r="E1885" t="s">
        <v>2954</v>
      </c>
      <c r="F1885" t="s">
        <v>4730</v>
      </c>
      <c r="G1885" s="2">
        <v>45553</v>
      </c>
      <c r="H1885" s="2">
        <v>45562</v>
      </c>
      <c r="I1885" t="s">
        <v>5759</v>
      </c>
      <c r="J1885" t="s">
        <v>5770</v>
      </c>
      <c r="K1885">
        <v>15694.67</v>
      </c>
      <c r="L1885" t="s">
        <v>5773</v>
      </c>
      <c r="M1885">
        <v>9</v>
      </c>
    </row>
    <row r="1886" spans="1:13" x14ac:dyDescent="0.25">
      <c r="A1886">
        <v>1885</v>
      </c>
      <c r="B1886" t="s">
        <v>1897</v>
      </c>
      <c r="C1886">
        <v>8</v>
      </c>
      <c r="D1886" t="s">
        <v>2947</v>
      </c>
      <c r="E1886" t="s">
        <v>2949</v>
      </c>
      <c r="F1886" t="s">
        <v>4731</v>
      </c>
      <c r="G1886" s="2">
        <v>45664</v>
      </c>
      <c r="H1886" s="2">
        <v>45668</v>
      </c>
      <c r="I1886" t="s">
        <v>5760</v>
      </c>
      <c r="J1886" t="s">
        <v>5771</v>
      </c>
      <c r="K1886">
        <v>315459.69</v>
      </c>
      <c r="L1886" t="s">
        <v>5774</v>
      </c>
      <c r="M1886">
        <v>4</v>
      </c>
    </row>
    <row r="1887" spans="1:13" x14ac:dyDescent="0.25">
      <c r="A1887">
        <v>1886</v>
      </c>
      <c r="B1887" t="s">
        <v>1898</v>
      </c>
      <c r="C1887">
        <v>76</v>
      </c>
      <c r="D1887" t="s">
        <v>2948</v>
      </c>
      <c r="E1887" t="s">
        <v>2952</v>
      </c>
      <c r="F1887" t="s">
        <v>4732</v>
      </c>
      <c r="G1887" s="2">
        <v>45754</v>
      </c>
      <c r="H1887" s="2">
        <v>45766</v>
      </c>
      <c r="I1887" t="s">
        <v>5765</v>
      </c>
      <c r="J1887" t="s">
        <v>5768</v>
      </c>
      <c r="K1887">
        <v>429517.42</v>
      </c>
      <c r="L1887" t="s">
        <v>5775</v>
      </c>
      <c r="M1887">
        <v>12</v>
      </c>
    </row>
    <row r="1888" spans="1:13" x14ac:dyDescent="0.25">
      <c r="A1888">
        <v>1887</v>
      </c>
      <c r="B1888" t="s">
        <v>1899</v>
      </c>
      <c r="C1888">
        <v>58</v>
      </c>
      <c r="D1888" t="s">
        <v>2948</v>
      </c>
      <c r="E1888" t="s">
        <v>2955</v>
      </c>
      <c r="F1888" t="s">
        <v>4733</v>
      </c>
      <c r="G1888" s="2">
        <v>45722</v>
      </c>
      <c r="H1888" s="2">
        <v>45725</v>
      </c>
      <c r="I1888" t="s">
        <v>5767</v>
      </c>
      <c r="J1888" t="s">
        <v>5771</v>
      </c>
      <c r="K1888">
        <v>395094.08</v>
      </c>
      <c r="L1888" t="s">
        <v>5775</v>
      </c>
      <c r="M1888">
        <v>3</v>
      </c>
    </row>
    <row r="1889" spans="1:13" x14ac:dyDescent="0.25">
      <c r="A1889">
        <v>1888</v>
      </c>
      <c r="B1889" t="s">
        <v>1900</v>
      </c>
      <c r="C1889">
        <v>56</v>
      </c>
      <c r="D1889" t="s">
        <v>2947</v>
      </c>
      <c r="E1889" t="s">
        <v>2949</v>
      </c>
      <c r="F1889" t="s">
        <v>4734</v>
      </c>
      <c r="G1889" s="2">
        <v>45703</v>
      </c>
      <c r="H1889" s="2">
        <v>45718</v>
      </c>
      <c r="I1889" t="s">
        <v>5763</v>
      </c>
      <c r="J1889" t="s">
        <v>2949</v>
      </c>
      <c r="K1889">
        <v>157500.20000000001</v>
      </c>
      <c r="L1889" t="s">
        <v>5775</v>
      </c>
      <c r="M1889">
        <v>15</v>
      </c>
    </row>
    <row r="1890" spans="1:13" x14ac:dyDescent="0.25">
      <c r="A1890">
        <v>1889</v>
      </c>
      <c r="B1890" t="s">
        <v>1901</v>
      </c>
      <c r="C1890">
        <v>21</v>
      </c>
      <c r="D1890" t="s">
        <v>2948</v>
      </c>
      <c r="E1890" t="s">
        <v>2952</v>
      </c>
      <c r="F1890" t="s">
        <v>4735</v>
      </c>
      <c r="G1890" s="2">
        <v>45627</v>
      </c>
      <c r="H1890" s="2">
        <v>45641</v>
      </c>
      <c r="I1890" t="s">
        <v>5766</v>
      </c>
      <c r="J1890" t="s">
        <v>5771</v>
      </c>
      <c r="K1890">
        <v>292460.45</v>
      </c>
      <c r="L1890" t="s">
        <v>5775</v>
      </c>
      <c r="M1890">
        <v>14</v>
      </c>
    </row>
    <row r="1891" spans="1:13" x14ac:dyDescent="0.25">
      <c r="A1891">
        <v>1890</v>
      </c>
      <c r="B1891" t="s">
        <v>1902</v>
      </c>
      <c r="C1891">
        <v>72</v>
      </c>
      <c r="D1891" t="s">
        <v>2947</v>
      </c>
      <c r="E1891" t="s">
        <v>2952</v>
      </c>
      <c r="F1891" t="s">
        <v>4736</v>
      </c>
      <c r="G1891" s="2">
        <v>45722</v>
      </c>
      <c r="H1891" s="2">
        <v>45730</v>
      </c>
      <c r="I1891" t="s">
        <v>5766</v>
      </c>
      <c r="J1891" t="s">
        <v>5772</v>
      </c>
      <c r="K1891">
        <v>277336.46000000002</v>
      </c>
      <c r="L1891" t="s">
        <v>5774</v>
      </c>
      <c r="M1891">
        <v>8</v>
      </c>
    </row>
    <row r="1892" spans="1:13" x14ac:dyDescent="0.25">
      <c r="A1892">
        <v>1891</v>
      </c>
      <c r="B1892" t="s">
        <v>1903</v>
      </c>
      <c r="C1892">
        <v>63</v>
      </c>
      <c r="D1892" t="s">
        <v>2948</v>
      </c>
      <c r="E1892" t="s">
        <v>2952</v>
      </c>
      <c r="F1892" t="s">
        <v>4737</v>
      </c>
      <c r="G1892" s="2">
        <v>45799</v>
      </c>
      <c r="H1892" s="2">
        <v>45806</v>
      </c>
      <c r="I1892" t="s">
        <v>5761</v>
      </c>
      <c r="J1892" t="s">
        <v>5768</v>
      </c>
      <c r="K1892">
        <v>289520.17</v>
      </c>
      <c r="L1892" t="s">
        <v>5773</v>
      </c>
      <c r="M1892">
        <v>7</v>
      </c>
    </row>
    <row r="1893" spans="1:13" x14ac:dyDescent="0.25">
      <c r="A1893">
        <v>1892</v>
      </c>
      <c r="B1893" t="s">
        <v>1904</v>
      </c>
      <c r="C1893">
        <v>61</v>
      </c>
      <c r="D1893" t="s">
        <v>2948</v>
      </c>
      <c r="E1893" t="s">
        <v>2950</v>
      </c>
      <c r="F1893" t="s">
        <v>4738</v>
      </c>
      <c r="G1893" s="2">
        <v>45838</v>
      </c>
      <c r="H1893" s="2">
        <v>45840</v>
      </c>
      <c r="I1893" t="s">
        <v>5760</v>
      </c>
      <c r="J1893" t="s">
        <v>5768</v>
      </c>
      <c r="K1893">
        <v>73098.44</v>
      </c>
      <c r="L1893" t="s">
        <v>5775</v>
      </c>
      <c r="M1893">
        <v>2</v>
      </c>
    </row>
    <row r="1894" spans="1:13" x14ac:dyDescent="0.25">
      <c r="A1894">
        <v>1893</v>
      </c>
      <c r="B1894" t="s">
        <v>1905</v>
      </c>
      <c r="C1894">
        <v>2</v>
      </c>
      <c r="D1894" t="s">
        <v>2948</v>
      </c>
      <c r="E1894" t="s">
        <v>2950</v>
      </c>
      <c r="F1894" t="s">
        <v>4739</v>
      </c>
      <c r="G1894" s="2">
        <v>45834</v>
      </c>
      <c r="H1894" s="2">
        <v>45844</v>
      </c>
      <c r="I1894" t="s">
        <v>5765</v>
      </c>
      <c r="J1894" t="s">
        <v>5772</v>
      </c>
      <c r="K1894">
        <v>139848.18</v>
      </c>
      <c r="L1894" t="s">
        <v>5773</v>
      </c>
      <c r="M1894">
        <v>10</v>
      </c>
    </row>
    <row r="1895" spans="1:13" x14ac:dyDescent="0.25">
      <c r="A1895">
        <v>1894</v>
      </c>
      <c r="B1895" t="s">
        <v>1906</v>
      </c>
      <c r="C1895">
        <v>53</v>
      </c>
      <c r="D1895" t="s">
        <v>2947</v>
      </c>
      <c r="E1895" t="s">
        <v>2951</v>
      </c>
      <c r="F1895" t="s">
        <v>4740</v>
      </c>
      <c r="G1895" s="2">
        <v>45906</v>
      </c>
      <c r="H1895" s="2">
        <v>45914</v>
      </c>
      <c r="I1895" t="s">
        <v>5762</v>
      </c>
      <c r="J1895" t="s">
        <v>5769</v>
      </c>
      <c r="K1895">
        <v>192057.73</v>
      </c>
      <c r="L1895" t="s">
        <v>5775</v>
      </c>
      <c r="M1895">
        <v>8</v>
      </c>
    </row>
    <row r="1896" spans="1:13" x14ac:dyDescent="0.25">
      <c r="A1896">
        <v>1895</v>
      </c>
      <c r="B1896" t="s">
        <v>1907</v>
      </c>
      <c r="C1896">
        <v>30</v>
      </c>
      <c r="D1896" t="s">
        <v>2948</v>
      </c>
      <c r="E1896" t="s">
        <v>2953</v>
      </c>
      <c r="F1896" t="s">
        <v>4741</v>
      </c>
      <c r="G1896" s="2">
        <v>45616</v>
      </c>
      <c r="H1896" s="2">
        <v>45619</v>
      </c>
      <c r="I1896" t="s">
        <v>5762</v>
      </c>
      <c r="J1896" t="s">
        <v>5772</v>
      </c>
      <c r="K1896">
        <v>499198.73</v>
      </c>
      <c r="L1896" t="s">
        <v>5775</v>
      </c>
      <c r="M1896">
        <v>3</v>
      </c>
    </row>
    <row r="1897" spans="1:13" x14ac:dyDescent="0.25">
      <c r="A1897">
        <v>1896</v>
      </c>
      <c r="B1897" t="s">
        <v>1908</v>
      </c>
      <c r="C1897">
        <v>14</v>
      </c>
      <c r="D1897" t="s">
        <v>2947</v>
      </c>
      <c r="E1897" t="s">
        <v>2951</v>
      </c>
      <c r="F1897" t="s">
        <v>4742</v>
      </c>
      <c r="G1897" s="2">
        <v>45582</v>
      </c>
      <c r="H1897" s="2">
        <v>45592</v>
      </c>
      <c r="I1897" t="s">
        <v>5767</v>
      </c>
      <c r="J1897" t="s">
        <v>2949</v>
      </c>
      <c r="K1897">
        <v>192643.64</v>
      </c>
      <c r="L1897" t="s">
        <v>5775</v>
      </c>
      <c r="M1897">
        <v>10</v>
      </c>
    </row>
    <row r="1898" spans="1:13" x14ac:dyDescent="0.25">
      <c r="A1898">
        <v>1897</v>
      </c>
      <c r="B1898" t="s">
        <v>1909</v>
      </c>
      <c r="C1898">
        <v>52</v>
      </c>
      <c r="D1898" t="s">
        <v>2947</v>
      </c>
      <c r="E1898" t="s">
        <v>2951</v>
      </c>
      <c r="F1898" t="s">
        <v>4743</v>
      </c>
      <c r="G1898" s="2">
        <v>45827</v>
      </c>
      <c r="H1898" s="2">
        <v>45829</v>
      </c>
      <c r="I1898" t="s">
        <v>5764</v>
      </c>
      <c r="J1898" t="s">
        <v>5768</v>
      </c>
      <c r="K1898">
        <v>20893.080000000002</v>
      </c>
      <c r="L1898" t="s">
        <v>5773</v>
      </c>
      <c r="M1898">
        <v>2</v>
      </c>
    </row>
    <row r="1899" spans="1:13" x14ac:dyDescent="0.25">
      <c r="A1899">
        <v>1898</v>
      </c>
      <c r="B1899" t="s">
        <v>1910</v>
      </c>
      <c r="C1899">
        <v>65</v>
      </c>
      <c r="D1899" t="s">
        <v>2948</v>
      </c>
      <c r="E1899" t="s">
        <v>2952</v>
      </c>
      <c r="F1899" t="s">
        <v>4744</v>
      </c>
      <c r="G1899" s="2">
        <v>45907</v>
      </c>
      <c r="H1899" s="2">
        <v>45915</v>
      </c>
      <c r="I1899" t="s">
        <v>5760</v>
      </c>
      <c r="J1899" t="s">
        <v>5772</v>
      </c>
      <c r="K1899">
        <v>391696.74</v>
      </c>
      <c r="L1899" t="s">
        <v>5773</v>
      </c>
      <c r="M1899">
        <v>8</v>
      </c>
    </row>
    <row r="1900" spans="1:13" x14ac:dyDescent="0.25">
      <c r="A1900">
        <v>1899</v>
      </c>
      <c r="B1900" t="s">
        <v>1911</v>
      </c>
      <c r="C1900">
        <v>23</v>
      </c>
      <c r="D1900" t="s">
        <v>2947</v>
      </c>
      <c r="E1900" t="s">
        <v>2953</v>
      </c>
      <c r="F1900" t="s">
        <v>4745</v>
      </c>
      <c r="G1900" s="2">
        <v>45690</v>
      </c>
      <c r="H1900" s="2">
        <v>45697</v>
      </c>
      <c r="I1900" t="s">
        <v>5763</v>
      </c>
      <c r="J1900" t="s">
        <v>5771</v>
      </c>
      <c r="K1900">
        <v>116252.28</v>
      </c>
      <c r="L1900" t="s">
        <v>5775</v>
      </c>
      <c r="M1900">
        <v>7</v>
      </c>
    </row>
    <row r="1901" spans="1:13" x14ac:dyDescent="0.25">
      <c r="A1901">
        <v>1900</v>
      </c>
      <c r="B1901" t="s">
        <v>1912</v>
      </c>
      <c r="C1901">
        <v>77</v>
      </c>
      <c r="D1901" t="s">
        <v>2947</v>
      </c>
      <c r="E1901" t="s">
        <v>2954</v>
      </c>
      <c r="F1901" t="s">
        <v>4746</v>
      </c>
      <c r="G1901" s="2">
        <v>45673</v>
      </c>
      <c r="H1901" s="2">
        <v>45687</v>
      </c>
      <c r="I1901" t="s">
        <v>5764</v>
      </c>
      <c r="J1901" t="s">
        <v>2949</v>
      </c>
      <c r="K1901">
        <v>468338.91</v>
      </c>
      <c r="L1901" t="s">
        <v>5775</v>
      </c>
      <c r="M1901">
        <v>14</v>
      </c>
    </row>
    <row r="1902" spans="1:13" x14ac:dyDescent="0.25">
      <c r="A1902">
        <v>1901</v>
      </c>
      <c r="B1902" t="s">
        <v>1913</v>
      </c>
      <c r="C1902">
        <v>44</v>
      </c>
      <c r="D1902" t="s">
        <v>2947</v>
      </c>
      <c r="E1902" t="s">
        <v>2950</v>
      </c>
      <c r="F1902" t="s">
        <v>4747</v>
      </c>
      <c r="G1902" s="2">
        <v>45606</v>
      </c>
      <c r="H1902" s="2">
        <v>45608</v>
      </c>
      <c r="I1902" t="s">
        <v>5761</v>
      </c>
      <c r="J1902" t="s">
        <v>5770</v>
      </c>
      <c r="K1902">
        <v>7967.4</v>
      </c>
      <c r="L1902" t="s">
        <v>5773</v>
      </c>
      <c r="M1902">
        <v>2</v>
      </c>
    </row>
    <row r="1903" spans="1:13" x14ac:dyDescent="0.25">
      <c r="A1903">
        <v>1902</v>
      </c>
      <c r="B1903" t="s">
        <v>1914</v>
      </c>
      <c r="C1903">
        <v>72</v>
      </c>
      <c r="D1903" t="s">
        <v>2947</v>
      </c>
      <c r="E1903" t="s">
        <v>2951</v>
      </c>
      <c r="F1903" t="s">
        <v>4748</v>
      </c>
      <c r="G1903" s="2">
        <v>45669</v>
      </c>
      <c r="H1903" s="2">
        <v>45681</v>
      </c>
      <c r="I1903" t="s">
        <v>5760</v>
      </c>
      <c r="J1903" t="s">
        <v>5772</v>
      </c>
      <c r="K1903">
        <v>309989.68</v>
      </c>
      <c r="L1903" t="s">
        <v>5774</v>
      </c>
      <c r="M1903">
        <v>12</v>
      </c>
    </row>
    <row r="1904" spans="1:13" x14ac:dyDescent="0.25">
      <c r="A1904">
        <v>1903</v>
      </c>
      <c r="B1904" t="s">
        <v>1915</v>
      </c>
      <c r="C1904">
        <v>21</v>
      </c>
      <c r="D1904" t="s">
        <v>2947</v>
      </c>
      <c r="E1904" t="s">
        <v>2951</v>
      </c>
      <c r="F1904" t="s">
        <v>4749</v>
      </c>
      <c r="G1904" s="2">
        <v>45733</v>
      </c>
      <c r="H1904" s="2">
        <v>45740</v>
      </c>
      <c r="I1904" t="s">
        <v>5759</v>
      </c>
      <c r="J1904" t="s">
        <v>5769</v>
      </c>
      <c r="K1904">
        <v>279281.51</v>
      </c>
      <c r="L1904" t="s">
        <v>5774</v>
      </c>
      <c r="M1904">
        <v>7</v>
      </c>
    </row>
    <row r="1905" spans="1:13" x14ac:dyDescent="0.25">
      <c r="A1905">
        <v>1904</v>
      </c>
      <c r="B1905" t="s">
        <v>1916</v>
      </c>
      <c r="C1905">
        <v>82</v>
      </c>
      <c r="D1905" t="s">
        <v>2948</v>
      </c>
      <c r="E1905" t="s">
        <v>2950</v>
      </c>
      <c r="F1905" t="s">
        <v>4750</v>
      </c>
      <c r="G1905" s="2">
        <v>45654</v>
      </c>
      <c r="H1905" s="2">
        <v>45661</v>
      </c>
      <c r="I1905" t="s">
        <v>5767</v>
      </c>
      <c r="J1905" t="s">
        <v>5771</v>
      </c>
      <c r="K1905">
        <v>29786.68</v>
      </c>
      <c r="L1905" t="s">
        <v>5774</v>
      </c>
      <c r="M1905">
        <v>7</v>
      </c>
    </row>
    <row r="1906" spans="1:13" x14ac:dyDescent="0.25">
      <c r="A1906">
        <v>1905</v>
      </c>
      <c r="B1906" t="s">
        <v>1917</v>
      </c>
      <c r="C1906">
        <v>32</v>
      </c>
      <c r="D1906" t="s">
        <v>2947</v>
      </c>
      <c r="E1906" t="s">
        <v>2950</v>
      </c>
      <c r="F1906" t="s">
        <v>4751</v>
      </c>
      <c r="G1906" s="2">
        <v>45903</v>
      </c>
      <c r="H1906" s="2">
        <v>45911</v>
      </c>
      <c r="I1906" t="s">
        <v>5760</v>
      </c>
      <c r="J1906" t="s">
        <v>5770</v>
      </c>
      <c r="K1906">
        <v>155606.32</v>
      </c>
      <c r="L1906" t="s">
        <v>5775</v>
      </c>
      <c r="M1906">
        <v>8</v>
      </c>
    </row>
    <row r="1907" spans="1:13" x14ac:dyDescent="0.25">
      <c r="A1907">
        <v>1906</v>
      </c>
      <c r="B1907" t="s">
        <v>1918</v>
      </c>
      <c r="C1907">
        <v>53</v>
      </c>
      <c r="D1907" t="s">
        <v>2948</v>
      </c>
      <c r="E1907" t="s">
        <v>2954</v>
      </c>
      <c r="F1907" t="s">
        <v>4752</v>
      </c>
      <c r="G1907" s="2">
        <v>45912</v>
      </c>
      <c r="H1907" s="2">
        <v>45924</v>
      </c>
      <c r="I1907" t="s">
        <v>5761</v>
      </c>
      <c r="J1907" t="s">
        <v>5772</v>
      </c>
      <c r="K1907">
        <v>172682.16</v>
      </c>
      <c r="L1907" t="s">
        <v>5775</v>
      </c>
      <c r="M1907">
        <v>12</v>
      </c>
    </row>
    <row r="1908" spans="1:13" x14ac:dyDescent="0.25">
      <c r="A1908">
        <v>1907</v>
      </c>
      <c r="B1908" t="s">
        <v>1919</v>
      </c>
      <c r="C1908">
        <v>34</v>
      </c>
      <c r="D1908" t="s">
        <v>2947</v>
      </c>
      <c r="E1908" t="s">
        <v>2953</v>
      </c>
      <c r="F1908" t="s">
        <v>4753</v>
      </c>
      <c r="G1908" s="2">
        <v>45789</v>
      </c>
      <c r="H1908" s="2">
        <v>45796</v>
      </c>
      <c r="I1908" t="s">
        <v>5766</v>
      </c>
      <c r="J1908" t="s">
        <v>5769</v>
      </c>
      <c r="K1908">
        <v>181648.68</v>
      </c>
      <c r="L1908" t="s">
        <v>5773</v>
      </c>
      <c r="M1908">
        <v>7</v>
      </c>
    </row>
    <row r="1909" spans="1:13" x14ac:dyDescent="0.25">
      <c r="A1909">
        <v>1908</v>
      </c>
      <c r="B1909" t="s">
        <v>1920</v>
      </c>
      <c r="C1909">
        <v>31</v>
      </c>
      <c r="D1909" t="s">
        <v>2947</v>
      </c>
      <c r="E1909" t="s">
        <v>2949</v>
      </c>
      <c r="F1909" t="s">
        <v>4754</v>
      </c>
      <c r="G1909" s="2">
        <v>45762</v>
      </c>
      <c r="H1909" s="2">
        <v>45771</v>
      </c>
      <c r="I1909" t="s">
        <v>5758</v>
      </c>
      <c r="J1909" t="s">
        <v>5770</v>
      </c>
      <c r="K1909">
        <v>30399.61</v>
      </c>
      <c r="L1909" t="s">
        <v>5775</v>
      </c>
      <c r="M1909">
        <v>9</v>
      </c>
    </row>
    <row r="1910" spans="1:13" x14ac:dyDescent="0.25">
      <c r="A1910">
        <v>1909</v>
      </c>
      <c r="B1910" t="s">
        <v>1921</v>
      </c>
      <c r="C1910">
        <v>73</v>
      </c>
      <c r="D1910" t="s">
        <v>2948</v>
      </c>
      <c r="E1910" t="s">
        <v>2951</v>
      </c>
      <c r="F1910" t="s">
        <v>4755</v>
      </c>
      <c r="G1910" s="2">
        <v>45556</v>
      </c>
      <c r="H1910" s="2">
        <v>45559</v>
      </c>
      <c r="I1910" t="s">
        <v>5763</v>
      </c>
      <c r="J1910" t="s">
        <v>2949</v>
      </c>
      <c r="K1910">
        <v>431277.09</v>
      </c>
      <c r="L1910" t="s">
        <v>5774</v>
      </c>
      <c r="M1910">
        <v>3</v>
      </c>
    </row>
    <row r="1911" spans="1:13" x14ac:dyDescent="0.25">
      <c r="A1911">
        <v>1910</v>
      </c>
      <c r="B1911" t="s">
        <v>1922</v>
      </c>
      <c r="C1911">
        <v>7</v>
      </c>
      <c r="D1911" t="s">
        <v>2948</v>
      </c>
      <c r="E1911" t="s">
        <v>2951</v>
      </c>
      <c r="F1911" t="s">
        <v>4756</v>
      </c>
      <c r="G1911" s="2">
        <v>45854</v>
      </c>
      <c r="H1911" s="2">
        <v>45864</v>
      </c>
      <c r="I1911" t="s">
        <v>5765</v>
      </c>
      <c r="J1911" t="s">
        <v>5768</v>
      </c>
      <c r="K1911">
        <v>410045.86</v>
      </c>
      <c r="L1911" t="s">
        <v>5775</v>
      </c>
      <c r="M1911">
        <v>10</v>
      </c>
    </row>
    <row r="1912" spans="1:13" x14ac:dyDescent="0.25">
      <c r="A1912">
        <v>1911</v>
      </c>
      <c r="B1912" t="s">
        <v>1923</v>
      </c>
      <c r="C1912">
        <v>67</v>
      </c>
      <c r="D1912" t="s">
        <v>2947</v>
      </c>
      <c r="E1912" t="s">
        <v>2955</v>
      </c>
      <c r="F1912" t="s">
        <v>4757</v>
      </c>
      <c r="G1912" s="2">
        <v>45633</v>
      </c>
      <c r="H1912" s="2">
        <v>45638</v>
      </c>
      <c r="I1912" t="s">
        <v>5758</v>
      </c>
      <c r="J1912" t="s">
        <v>5770</v>
      </c>
      <c r="K1912">
        <v>430157.47</v>
      </c>
      <c r="L1912" t="s">
        <v>5773</v>
      </c>
      <c r="M1912">
        <v>5</v>
      </c>
    </row>
    <row r="1913" spans="1:13" x14ac:dyDescent="0.25">
      <c r="A1913">
        <v>1912</v>
      </c>
      <c r="B1913" t="s">
        <v>1924</v>
      </c>
      <c r="C1913">
        <v>82</v>
      </c>
      <c r="D1913" t="s">
        <v>2947</v>
      </c>
      <c r="E1913" t="s">
        <v>2954</v>
      </c>
      <c r="F1913" t="s">
        <v>4758</v>
      </c>
      <c r="G1913" s="2">
        <v>45609</v>
      </c>
      <c r="H1913" s="2">
        <v>45616</v>
      </c>
      <c r="I1913" t="s">
        <v>5765</v>
      </c>
      <c r="J1913" t="s">
        <v>5771</v>
      </c>
      <c r="K1913">
        <v>487907.18</v>
      </c>
      <c r="L1913" t="s">
        <v>5775</v>
      </c>
      <c r="M1913">
        <v>7</v>
      </c>
    </row>
    <row r="1914" spans="1:13" x14ac:dyDescent="0.25">
      <c r="A1914">
        <v>1913</v>
      </c>
      <c r="B1914" t="s">
        <v>1925</v>
      </c>
      <c r="C1914">
        <v>74</v>
      </c>
      <c r="D1914" t="s">
        <v>2948</v>
      </c>
      <c r="E1914" t="s">
        <v>2950</v>
      </c>
      <c r="F1914" t="s">
        <v>4759</v>
      </c>
      <c r="G1914" s="2">
        <v>45631</v>
      </c>
      <c r="H1914" s="2">
        <v>45642</v>
      </c>
      <c r="I1914" t="s">
        <v>5765</v>
      </c>
      <c r="J1914" t="s">
        <v>2949</v>
      </c>
      <c r="K1914">
        <v>152830.28</v>
      </c>
      <c r="L1914" t="s">
        <v>5773</v>
      </c>
      <c r="M1914">
        <v>11</v>
      </c>
    </row>
    <row r="1915" spans="1:13" x14ac:dyDescent="0.25">
      <c r="A1915">
        <v>1914</v>
      </c>
      <c r="B1915" t="s">
        <v>1926</v>
      </c>
      <c r="C1915">
        <v>16</v>
      </c>
      <c r="D1915" t="s">
        <v>2948</v>
      </c>
      <c r="E1915" t="s">
        <v>2950</v>
      </c>
      <c r="F1915" t="s">
        <v>4760</v>
      </c>
      <c r="G1915" s="2">
        <v>45914</v>
      </c>
      <c r="H1915" s="2">
        <v>45929</v>
      </c>
      <c r="I1915" t="s">
        <v>5763</v>
      </c>
      <c r="J1915" t="s">
        <v>5770</v>
      </c>
      <c r="K1915">
        <v>495326.7</v>
      </c>
      <c r="L1915" t="s">
        <v>5773</v>
      </c>
      <c r="M1915">
        <v>15</v>
      </c>
    </row>
    <row r="1916" spans="1:13" x14ac:dyDescent="0.25">
      <c r="A1916">
        <v>1915</v>
      </c>
      <c r="B1916" t="s">
        <v>1927</v>
      </c>
      <c r="C1916">
        <v>18</v>
      </c>
      <c r="D1916" t="s">
        <v>2948</v>
      </c>
      <c r="E1916" t="s">
        <v>2950</v>
      </c>
      <c r="F1916" t="s">
        <v>4761</v>
      </c>
      <c r="G1916" s="2">
        <v>45788</v>
      </c>
      <c r="H1916" s="2">
        <v>45799</v>
      </c>
      <c r="I1916" t="s">
        <v>5760</v>
      </c>
      <c r="J1916" t="s">
        <v>5769</v>
      </c>
      <c r="K1916">
        <v>103696.69</v>
      </c>
      <c r="L1916" t="s">
        <v>5773</v>
      </c>
      <c r="M1916">
        <v>11</v>
      </c>
    </row>
    <row r="1917" spans="1:13" x14ac:dyDescent="0.25">
      <c r="A1917">
        <v>1916</v>
      </c>
      <c r="B1917" t="s">
        <v>1928</v>
      </c>
      <c r="C1917">
        <v>39</v>
      </c>
      <c r="D1917" t="s">
        <v>2948</v>
      </c>
      <c r="E1917" t="s">
        <v>2954</v>
      </c>
      <c r="F1917" t="s">
        <v>4762</v>
      </c>
      <c r="G1917" s="2">
        <v>45815</v>
      </c>
      <c r="H1917" s="2">
        <v>45824</v>
      </c>
      <c r="I1917" t="s">
        <v>5764</v>
      </c>
      <c r="J1917" t="s">
        <v>5768</v>
      </c>
      <c r="K1917">
        <v>249747.94</v>
      </c>
      <c r="L1917" t="s">
        <v>5773</v>
      </c>
      <c r="M1917">
        <v>9</v>
      </c>
    </row>
    <row r="1918" spans="1:13" x14ac:dyDescent="0.25">
      <c r="A1918">
        <v>1917</v>
      </c>
      <c r="B1918" t="s">
        <v>1929</v>
      </c>
      <c r="C1918">
        <v>8</v>
      </c>
      <c r="D1918" t="s">
        <v>2947</v>
      </c>
      <c r="E1918" t="s">
        <v>2950</v>
      </c>
      <c r="F1918" t="s">
        <v>4763</v>
      </c>
      <c r="G1918" s="2">
        <v>45849</v>
      </c>
      <c r="H1918" s="2">
        <v>45862</v>
      </c>
      <c r="I1918" t="s">
        <v>5766</v>
      </c>
      <c r="J1918" t="s">
        <v>5768</v>
      </c>
      <c r="K1918">
        <v>388648.02</v>
      </c>
      <c r="L1918" t="s">
        <v>5775</v>
      </c>
      <c r="M1918">
        <v>13</v>
      </c>
    </row>
    <row r="1919" spans="1:13" x14ac:dyDescent="0.25">
      <c r="A1919">
        <v>1918</v>
      </c>
      <c r="B1919" t="s">
        <v>1930</v>
      </c>
      <c r="C1919">
        <v>82</v>
      </c>
      <c r="D1919" t="s">
        <v>2948</v>
      </c>
      <c r="E1919" t="s">
        <v>2952</v>
      </c>
      <c r="F1919" t="s">
        <v>4764</v>
      </c>
      <c r="G1919" s="2">
        <v>45877</v>
      </c>
      <c r="H1919" s="2">
        <v>45882</v>
      </c>
      <c r="I1919" t="s">
        <v>5759</v>
      </c>
      <c r="J1919" t="s">
        <v>2949</v>
      </c>
      <c r="K1919">
        <v>146887.25</v>
      </c>
      <c r="L1919" t="s">
        <v>5775</v>
      </c>
      <c r="M1919">
        <v>5</v>
      </c>
    </row>
    <row r="1920" spans="1:13" x14ac:dyDescent="0.25">
      <c r="A1920">
        <v>1919</v>
      </c>
      <c r="B1920" t="s">
        <v>1931</v>
      </c>
      <c r="C1920">
        <v>24</v>
      </c>
      <c r="D1920" t="s">
        <v>2947</v>
      </c>
      <c r="E1920" t="s">
        <v>2954</v>
      </c>
      <c r="F1920" t="s">
        <v>4765</v>
      </c>
      <c r="G1920" s="2">
        <v>45577</v>
      </c>
      <c r="H1920" s="2">
        <v>45590</v>
      </c>
      <c r="I1920" t="s">
        <v>5764</v>
      </c>
      <c r="J1920" t="s">
        <v>5772</v>
      </c>
      <c r="K1920">
        <v>35172.230000000003</v>
      </c>
      <c r="L1920" t="s">
        <v>5773</v>
      </c>
      <c r="M1920">
        <v>13</v>
      </c>
    </row>
    <row r="1921" spans="1:13" x14ac:dyDescent="0.25">
      <c r="A1921">
        <v>1920</v>
      </c>
      <c r="B1921" t="s">
        <v>1932</v>
      </c>
      <c r="C1921">
        <v>11</v>
      </c>
      <c r="D1921" t="s">
        <v>2948</v>
      </c>
      <c r="E1921" t="s">
        <v>2955</v>
      </c>
      <c r="F1921" t="s">
        <v>4766</v>
      </c>
      <c r="G1921" s="2">
        <v>45697</v>
      </c>
      <c r="H1921" s="2">
        <v>45700</v>
      </c>
      <c r="I1921" t="s">
        <v>5765</v>
      </c>
      <c r="J1921" t="s">
        <v>5771</v>
      </c>
      <c r="K1921">
        <v>254576.79</v>
      </c>
      <c r="L1921" t="s">
        <v>5773</v>
      </c>
      <c r="M1921">
        <v>3</v>
      </c>
    </row>
    <row r="1922" spans="1:13" x14ac:dyDescent="0.25">
      <c r="A1922">
        <v>1921</v>
      </c>
      <c r="B1922" t="s">
        <v>1933</v>
      </c>
      <c r="C1922">
        <v>76</v>
      </c>
      <c r="D1922" t="s">
        <v>2948</v>
      </c>
      <c r="E1922" t="s">
        <v>2954</v>
      </c>
      <c r="F1922" t="s">
        <v>4767</v>
      </c>
      <c r="G1922" s="2">
        <v>45637</v>
      </c>
      <c r="H1922" s="2">
        <v>45649</v>
      </c>
      <c r="I1922" t="s">
        <v>5765</v>
      </c>
      <c r="J1922" t="s">
        <v>2949</v>
      </c>
      <c r="K1922">
        <v>51533.73</v>
      </c>
      <c r="L1922" t="s">
        <v>5775</v>
      </c>
      <c r="M1922">
        <v>12</v>
      </c>
    </row>
    <row r="1923" spans="1:13" x14ac:dyDescent="0.25">
      <c r="A1923">
        <v>1922</v>
      </c>
      <c r="B1923" t="s">
        <v>1934</v>
      </c>
      <c r="C1923">
        <v>4</v>
      </c>
      <c r="D1923" t="s">
        <v>2947</v>
      </c>
      <c r="E1923" t="s">
        <v>2949</v>
      </c>
      <c r="F1923" t="s">
        <v>4768</v>
      </c>
      <c r="G1923" s="2">
        <v>45854</v>
      </c>
      <c r="H1923" s="2">
        <v>45856</v>
      </c>
      <c r="I1923" t="s">
        <v>5764</v>
      </c>
      <c r="J1923" t="s">
        <v>5769</v>
      </c>
      <c r="K1923">
        <v>216557.98</v>
      </c>
      <c r="L1923" t="s">
        <v>5773</v>
      </c>
      <c r="M1923">
        <v>2</v>
      </c>
    </row>
    <row r="1924" spans="1:13" x14ac:dyDescent="0.25">
      <c r="A1924">
        <v>1923</v>
      </c>
      <c r="B1924" t="s">
        <v>1935</v>
      </c>
      <c r="C1924">
        <v>28</v>
      </c>
      <c r="D1924" t="s">
        <v>2948</v>
      </c>
      <c r="E1924" t="s">
        <v>2949</v>
      </c>
      <c r="F1924" t="s">
        <v>4769</v>
      </c>
      <c r="G1924" s="2">
        <v>45567</v>
      </c>
      <c r="H1924" s="2">
        <v>45571</v>
      </c>
      <c r="I1924" t="s">
        <v>5765</v>
      </c>
      <c r="J1924" t="s">
        <v>5768</v>
      </c>
      <c r="K1924">
        <v>81533.070000000007</v>
      </c>
      <c r="L1924" t="s">
        <v>5773</v>
      </c>
      <c r="M1924">
        <v>4</v>
      </c>
    </row>
    <row r="1925" spans="1:13" x14ac:dyDescent="0.25">
      <c r="A1925">
        <v>1924</v>
      </c>
      <c r="B1925" t="s">
        <v>1936</v>
      </c>
      <c r="C1925">
        <v>52</v>
      </c>
      <c r="D1925" t="s">
        <v>2948</v>
      </c>
      <c r="E1925" t="s">
        <v>2955</v>
      </c>
      <c r="F1925" t="s">
        <v>4770</v>
      </c>
      <c r="G1925" s="2">
        <v>45549</v>
      </c>
      <c r="H1925" s="2">
        <v>45552</v>
      </c>
      <c r="I1925" t="s">
        <v>5759</v>
      </c>
      <c r="J1925" t="s">
        <v>5768</v>
      </c>
      <c r="K1925">
        <v>333922.3</v>
      </c>
      <c r="L1925" t="s">
        <v>5775</v>
      </c>
      <c r="M1925">
        <v>3</v>
      </c>
    </row>
    <row r="1926" spans="1:13" x14ac:dyDescent="0.25">
      <c r="A1926">
        <v>1925</v>
      </c>
      <c r="B1926" t="s">
        <v>1937</v>
      </c>
      <c r="C1926">
        <v>38</v>
      </c>
      <c r="D1926" t="s">
        <v>2948</v>
      </c>
      <c r="E1926" t="s">
        <v>2952</v>
      </c>
      <c r="F1926" t="s">
        <v>4771</v>
      </c>
      <c r="G1926" s="2">
        <v>45863</v>
      </c>
      <c r="H1926" s="2">
        <v>45874</v>
      </c>
      <c r="I1926" t="s">
        <v>5765</v>
      </c>
      <c r="J1926" t="s">
        <v>2949</v>
      </c>
      <c r="K1926">
        <v>287014.31</v>
      </c>
      <c r="L1926" t="s">
        <v>5775</v>
      </c>
      <c r="M1926">
        <v>11</v>
      </c>
    </row>
    <row r="1927" spans="1:13" x14ac:dyDescent="0.25">
      <c r="A1927">
        <v>1926</v>
      </c>
      <c r="B1927" t="s">
        <v>1938</v>
      </c>
      <c r="C1927">
        <v>70</v>
      </c>
      <c r="D1927" t="s">
        <v>2948</v>
      </c>
      <c r="E1927" t="s">
        <v>2955</v>
      </c>
      <c r="F1927" t="s">
        <v>4772</v>
      </c>
      <c r="G1927" s="2">
        <v>45676</v>
      </c>
      <c r="H1927" s="2">
        <v>45687</v>
      </c>
      <c r="I1927" t="s">
        <v>5760</v>
      </c>
      <c r="J1927" t="s">
        <v>5768</v>
      </c>
      <c r="K1927">
        <v>445611.46</v>
      </c>
      <c r="L1927" t="s">
        <v>5774</v>
      </c>
      <c r="M1927">
        <v>11</v>
      </c>
    </row>
    <row r="1928" spans="1:13" x14ac:dyDescent="0.25">
      <c r="A1928">
        <v>1927</v>
      </c>
      <c r="B1928" t="s">
        <v>1939</v>
      </c>
      <c r="C1928">
        <v>30</v>
      </c>
      <c r="D1928" t="s">
        <v>2948</v>
      </c>
      <c r="E1928" t="s">
        <v>2954</v>
      </c>
      <c r="F1928" t="s">
        <v>4773</v>
      </c>
      <c r="G1928" s="2">
        <v>45841</v>
      </c>
      <c r="H1928" s="2">
        <v>45856</v>
      </c>
      <c r="I1928" t="s">
        <v>5761</v>
      </c>
      <c r="J1928" t="s">
        <v>5771</v>
      </c>
      <c r="K1928">
        <v>376362.1</v>
      </c>
      <c r="L1928" t="s">
        <v>5773</v>
      </c>
      <c r="M1928">
        <v>15</v>
      </c>
    </row>
    <row r="1929" spans="1:13" x14ac:dyDescent="0.25">
      <c r="A1929">
        <v>1928</v>
      </c>
      <c r="B1929" t="s">
        <v>1940</v>
      </c>
      <c r="C1929">
        <v>14</v>
      </c>
      <c r="D1929" t="s">
        <v>2948</v>
      </c>
      <c r="E1929" t="s">
        <v>2949</v>
      </c>
      <c r="F1929" t="s">
        <v>4774</v>
      </c>
      <c r="G1929" s="2">
        <v>45792</v>
      </c>
      <c r="H1929" s="2">
        <v>45806</v>
      </c>
      <c r="I1929" t="s">
        <v>5761</v>
      </c>
      <c r="J1929" t="s">
        <v>5770</v>
      </c>
      <c r="K1929">
        <v>361707.83</v>
      </c>
      <c r="L1929" t="s">
        <v>5775</v>
      </c>
      <c r="M1929">
        <v>14</v>
      </c>
    </row>
    <row r="1930" spans="1:13" x14ac:dyDescent="0.25">
      <c r="A1930">
        <v>1929</v>
      </c>
      <c r="B1930" t="s">
        <v>1941</v>
      </c>
      <c r="C1930">
        <v>40</v>
      </c>
      <c r="D1930" t="s">
        <v>2947</v>
      </c>
      <c r="E1930" t="s">
        <v>2954</v>
      </c>
      <c r="F1930" t="s">
        <v>4775</v>
      </c>
      <c r="G1930" s="2">
        <v>45734</v>
      </c>
      <c r="H1930" s="2">
        <v>45738</v>
      </c>
      <c r="I1930" t="s">
        <v>5763</v>
      </c>
      <c r="J1930" t="s">
        <v>2949</v>
      </c>
      <c r="K1930">
        <v>310516.8</v>
      </c>
      <c r="L1930" t="s">
        <v>5773</v>
      </c>
      <c r="M1930">
        <v>4</v>
      </c>
    </row>
    <row r="1931" spans="1:13" x14ac:dyDescent="0.25">
      <c r="A1931">
        <v>1930</v>
      </c>
      <c r="B1931" t="s">
        <v>1942</v>
      </c>
      <c r="C1931">
        <v>48</v>
      </c>
      <c r="D1931" t="s">
        <v>2947</v>
      </c>
      <c r="E1931" t="s">
        <v>2955</v>
      </c>
      <c r="F1931" t="s">
        <v>4776</v>
      </c>
      <c r="G1931" s="2">
        <v>45579</v>
      </c>
      <c r="H1931" s="2">
        <v>45582</v>
      </c>
      <c r="I1931" t="s">
        <v>5764</v>
      </c>
      <c r="J1931" t="s">
        <v>2949</v>
      </c>
      <c r="K1931">
        <v>148919.51999999999</v>
      </c>
      <c r="L1931" t="s">
        <v>5773</v>
      </c>
      <c r="M1931">
        <v>3</v>
      </c>
    </row>
    <row r="1932" spans="1:13" x14ac:dyDescent="0.25">
      <c r="A1932">
        <v>1931</v>
      </c>
      <c r="B1932" t="s">
        <v>1943</v>
      </c>
      <c r="C1932">
        <v>46</v>
      </c>
      <c r="D1932" t="s">
        <v>2947</v>
      </c>
      <c r="E1932" t="s">
        <v>2954</v>
      </c>
      <c r="F1932" t="s">
        <v>4777</v>
      </c>
      <c r="G1932" s="2">
        <v>45843</v>
      </c>
      <c r="H1932" s="2">
        <v>45856</v>
      </c>
      <c r="I1932" t="s">
        <v>5762</v>
      </c>
      <c r="J1932" t="s">
        <v>2949</v>
      </c>
      <c r="K1932">
        <v>240523.37</v>
      </c>
      <c r="L1932" t="s">
        <v>5775</v>
      </c>
      <c r="M1932">
        <v>13</v>
      </c>
    </row>
    <row r="1933" spans="1:13" x14ac:dyDescent="0.25">
      <c r="A1933">
        <v>1932</v>
      </c>
      <c r="B1933" t="s">
        <v>1944</v>
      </c>
      <c r="C1933">
        <v>31</v>
      </c>
      <c r="D1933" t="s">
        <v>2947</v>
      </c>
      <c r="E1933" t="s">
        <v>2949</v>
      </c>
      <c r="F1933" t="s">
        <v>4778</v>
      </c>
      <c r="G1933" s="2">
        <v>45612</v>
      </c>
      <c r="H1933" s="2">
        <v>45625</v>
      </c>
      <c r="I1933" t="s">
        <v>5761</v>
      </c>
      <c r="J1933" t="s">
        <v>5770</v>
      </c>
      <c r="K1933">
        <v>306670.38</v>
      </c>
      <c r="L1933" t="s">
        <v>5774</v>
      </c>
      <c r="M1933">
        <v>13</v>
      </c>
    </row>
    <row r="1934" spans="1:13" x14ac:dyDescent="0.25">
      <c r="A1934">
        <v>1933</v>
      </c>
      <c r="B1934" t="s">
        <v>1945</v>
      </c>
      <c r="C1934">
        <v>60</v>
      </c>
      <c r="D1934" t="s">
        <v>2947</v>
      </c>
      <c r="E1934" t="s">
        <v>2954</v>
      </c>
      <c r="F1934" t="s">
        <v>4779</v>
      </c>
      <c r="G1934" s="2">
        <v>45736</v>
      </c>
      <c r="H1934" s="2">
        <v>45738</v>
      </c>
      <c r="I1934" t="s">
        <v>5766</v>
      </c>
      <c r="J1934" t="s">
        <v>5768</v>
      </c>
      <c r="K1934">
        <v>77342.83</v>
      </c>
      <c r="L1934" t="s">
        <v>5773</v>
      </c>
      <c r="M1934">
        <v>2</v>
      </c>
    </row>
    <row r="1935" spans="1:13" x14ac:dyDescent="0.25">
      <c r="A1935">
        <v>1934</v>
      </c>
      <c r="B1935" t="s">
        <v>1946</v>
      </c>
      <c r="C1935">
        <v>40</v>
      </c>
      <c r="D1935" t="s">
        <v>2948</v>
      </c>
      <c r="E1935" t="s">
        <v>2951</v>
      </c>
      <c r="F1935" t="s">
        <v>4780</v>
      </c>
      <c r="G1935" s="2">
        <v>45795</v>
      </c>
      <c r="H1935" s="2">
        <v>45806</v>
      </c>
      <c r="I1935" t="s">
        <v>5763</v>
      </c>
      <c r="J1935" t="s">
        <v>2949</v>
      </c>
      <c r="K1935">
        <v>346423.72</v>
      </c>
      <c r="L1935" t="s">
        <v>5775</v>
      </c>
      <c r="M1935">
        <v>11</v>
      </c>
    </row>
    <row r="1936" spans="1:13" x14ac:dyDescent="0.25">
      <c r="A1936">
        <v>1935</v>
      </c>
      <c r="B1936" t="s">
        <v>1947</v>
      </c>
      <c r="C1936">
        <v>77</v>
      </c>
      <c r="D1936" t="s">
        <v>2947</v>
      </c>
      <c r="E1936" t="s">
        <v>2955</v>
      </c>
      <c r="F1936" t="s">
        <v>4781</v>
      </c>
      <c r="G1936" s="2">
        <v>45716</v>
      </c>
      <c r="H1936" s="2">
        <v>45722</v>
      </c>
      <c r="I1936" t="s">
        <v>5761</v>
      </c>
      <c r="J1936" t="s">
        <v>5772</v>
      </c>
      <c r="K1936">
        <v>188394.09</v>
      </c>
      <c r="L1936" t="s">
        <v>5773</v>
      </c>
      <c r="M1936">
        <v>6</v>
      </c>
    </row>
    <row r="1937" spans="1:13" x14ac:dyDescent="0.25">
      <c r="A1937">
        <v>1936</v>
      </c>
      <c r="B1937" t="s">
        <v>1948</v>
      </c>
      <c r="C1937">
        <v>23</v>
      </c>
      <c r="D1937" t="s">
        <v>2948</v>
      </c>
      <c r="E1937" t="s">
        <v>2954</v>
      </c>
      <c r="F1937" t="s">
        <v>4782</v>
      </c>
      <c r="G1937" s="2">
        <v>45879</v>
      </c>
      <c r="H1937" s="2">
        <v>45883</v>
      </c>
      <c r="I1937" t="s">
        <v>5759</v>
      </c>
      <c r="J1937" t="s">
        <v>2949</v>
      </c>
      <c r="K1937">
        <v>379625.78</v>
      </c>
      <c r="L1937" t="s">
        <v>5774</v>
      </c>
      <c r="M1937">
        <v>4</v>
      </c>
    </row>
    <row r="1938" spans="1:13" x14ac:dyDescent="0.25">
      <c r="A1938">
        <v>1937</v>
      </c>
      <c r="B1938" t="s">
        <v>1949</v>
      </c>
      <c r="C1938">
        <v>57</v>
      </c>
      <c r="D1938" t="s">
        <v>2948</v>
      </c>
      <c r="E1938" t="s">
        <v>2955</v>
      </c>
      <c r="F1938" t="s">
        <v>4783</v>
      </c>
      <c r="G1938" s="2">
        <v>45742</v>
      </c>
      <c r="H1938" s="2">
        <v>45747</v>
      </c>
      <c r="I1938" t="s">
        <v>5762</v>
      </c>
      <c r="J1938" t="s">
        <v>2949</v>
      </c>
      <c r="K1938">
        <v>74568.210000000006</v>
      </c>
      <c r="L1938" t="s">
        <v>5773</v>
      </c>
      <c r="M1938">
        <v>5</v>
      </c>
    </row>
    <row r="1939" spans="1:13" x14ac:dyDescent="0.25">
      <c r="A1939">
        <v>1938</v>
      </c>
      <c r="B1939" t="s">
        <v>1950</v>
      </c>
      <c r="C1939">
        <v>10</v>
      </c>
      <c r="D1939" t="s">
        <v>2947</v>
      </c>
      <c r="E1939" t="s">
        <v>2951</v>
      </c>
      <c r="F1939" t="s">
        <v>4784</v>
      </c>
      <c r="G1939" s="2">
        <v>45824</v>
      </c>
      <c r="H1939" s="2">
        <v>45826</v>
      </c>
      <c r="I1939" t="s">
        <v>5758</v>
      </c>
      <c r="J1939" t="s">
        <v>5770</v>
      </c>
      <c r="K1939">
        <v>270189.59000000003</v>
      </c>
      <c r="L1939" t="s">
        <v>5774</v>
      </c>
      <c r="M1939">
        <v>2</v>
      </c>
    </row>
    <row r="1940" spans="1:13" x14ac:dyDescent="0.25">
      <c r="A1940">
        <v>1939</v>
      </c>
      <c r="B1940" t="s">
        <v>1951</v>
      </c>
      <c r="C1940">
        <v>11</v>
      </c>
      <c r="D1940" t="s">
        <v>2947</v>
      </c>
      <c r="E1940" t="s">
        <v>2953</v>
      </c>
      <c r="F1940" t="s">
        <v>4785</v>
      </c>
      <c r="G1940" s="2">
        <v>45813</v>
      </c>
      <c r="H1940" s="2">
        <v>45821</v>
      </c>
      <c r="I1940" t="s">
        <v>5758</v>
      </c>
      <c r="J1940" t="s">
        <v>5771</v>
      </c>
      <c r="K1940">
        <v>280957.28999999998</v>
      </c>
      <c r="L1940" t="s">
        <v>5775</v>
      </c>
      <c r="M1940">
        <v>8</v>
      </c>
    </row>
    <row r="1941" spans="1:13" x14ac:dyDescent="0.25">
      <c r="A1941">
        <v>1940</v>
      </c>
      <c r="B1941" t="s">
        <v>1952</v>
      </c>
      <c r="C1941">
        <v>40</v>
      </c>
      <c r="D1941" t="s">
        <v>2948</v>
      </c>
      <c r="E1941" t="s">
        <v>2949</v>
      </c>
      <c r="F1941" t="s">
        <v>4786</v>
      </c>
      <c r="G1941" s="2">
        <v>45684</v>
      </c>
      <c r="H1941" s="2">
        <v>45688</v>
      </c>
      <c r="I1941" t="s">
        <v>5760</v>
      </c>
      <c r="J1941" t="s">
        <v>5769</v>
      </c>
      <c r="K1941">
        <v>179038.44</v>
      </c>
      <c r="L1941" t="s">
        <v>5774</v>
      </c>
      <c r="M1941">
        <v>4</v>
      </c>
    </row>
    <row r="1942" spans="1:13" x14ac:dyDescent="0.25">
      <c r="A1942">
        <v>1941</v>
      </c>
      <c r="B1942" t="s">
        <v>1953</v>
      </c>
      <c r="C1942">
        <v>70</v>
      </c>
      <c r="D1942" t="s">
        <v>2948</v>
      </c>
      <c r="E1942" t="s">
        <v>2950</v>
      </c>
      <c r="F1942" t="s">
        <v>4787</v>
      </c>
      <c r="G1942" s="2">
        <v>45817</v>
      </c>
      <c r="H1942" s="2">
        <v>45818</v>
      </c>
      <c r="I1942" t="s">
        <v>5766</v>
      </c>
      <c r="J1942" t="s">
        <v>5769</v>
      </c>
      <c r="K1942">
        <v>113856.08</v>
      </c>
      <c r="L1942" t="s">
        <v>5775</v>
      </c>
      <c r="M1942">
        <v>1</v>
      </c>
    </row>
    <row r="1943" spans="1:13" x14ac:dyDescent="0.25">
      <c r="A1943">
        <v>1942</v>
      </c>
      <c r="B1943" t="s">
        <v>1954</v>
      </c>
      <c r="C1943">
        <v>48</v>
      </c>
      <c r="D1943" t="s">
        <v>2947</v>
      </c>
      <c r="E1943" t="s">
        <v>2949</v>
      </c>
      <c r="F1943" t="s">
        <v>4788</v>
      </c>
      <c r="G1943" s="2">
        <v>45834</v>
      </c>
      <c r="H1943" s="2">
        <v>45843</v>
      </c>
      <c r="I1943" t="s">
        <v>5761</v>
      </c>
      <c r="J1943" t="s">
        <v>5770</v>
      </c>
      <c r="K1943">
        <v>395753.03</v>
      </c>
      <c r="L1943" t="s">
        <v>5775</v>
      </c>
      <c r="M1943">
        <v>9</v>
      </c>
    </row>
    <row r="1944" spans="1:13" x14ac:dyDescent="0.25">
      <c r="A1944">
        <v>1943</v>
      </c>
      <c r="B1944" t="s">
        <v>1955</v>
      </c>
      <c r="C1944">
        <v>5</v>
      </c>
      <c r="D1944" t="s">
        <v>2948</v>
      </c>
      <c r="E1944" t="s">
        <v>2949</v>
      </c>
      <c r="F1944" t="s">
        <v>676</v>
      </c>
      <c r="G1944" s="2">
        <v>45681</v>
      </c>
      <c r="H1944" s="2">
        <v>45694</v>
      </c>
      <c r="I1944" t="s">
        <v>5761</v>
      </c>
      <c r="J1944" t="s">
        <v>5769</v>
      </c>
      <c r="K1944">
        <v>397943.11</v>
      </c>
      <c r="L1944" t="s">
        <v>5775</v>
      </c>
      <c r="M1944">
        <v>13</v>
      </c>
    </row>
    <row r="1945" spans="1:13" x14ac:dyDescent="0.25">
      <c r="A1945">
        <v>1944</v>
      </c>
      <c r="B1945" t="s">
        <v>1956</v>
      </c>
      <c r="C1945">
        <v>71</v>
      </c>
      <c r="D1945" t="s">
        <v>2948</v>
      </c>
      <c r="E1945" t="s">
        <v>2952</v>
      </c>
      <c r="F1945" t="s">
        <v>1521</v>
      </c>
      <c r="G1945" s="2">
        <v>45780</v>
      </c>
      <c r="H1945" s="2">
        <v>45782</v>
      </c>
      <c r="I1945" t="s">
        <v>5764</v>
      </c>
      <c r="J1945" t="s">
        <v>5768</v>
      </c>
      <c r="K1945">
        <v>223578.11</v>
      </c>
      <c r="L1945" t="s">
        <v>5773</v>
      </c>
      <c r="M1945">
        <v>2</v>
      </c>
    </row>
    <row r="1946" spans="1:13" x14ac:dyDescent="0.25">
      <c r="A1946">
        <v>1945</v>
      </c>
      <c r="B1946" t="s">
        <v>1957</v>
      </c>
      <c r="C1946">
        <v>79</v>
      </c>
      <c r="D1946" t="s">
        <v>2947</v>
      </c>
      <c r="E1946" t="s">
        <v>2954</v>
      </c>
      <c r="F1946" t="s">
        <v>4789</v>
      </c>
      <c r="G1946" s="2">
        <v>45584</v>
      </c>
      <c r="H1946" s="2">
        <v>45595</v>
      </c>
      <c r="I1946" t="s">
        <v>5758</v>
      </c>
      <c r="J1946" t="s">
        <v>5772</v>
      </c>
      <c r="K1946">
        <v>468269.66</v>
      </c>
      <c r="L1946" t="s">
        <v>5775</v>
      </c>
      <c r="M1946">
        <v>11</v>
      </c>
    </row>
    <row r="1947" spans="1:13" x14ac:dyDescent="0.25">
      <c r="A1947">
        <v>1946</v>
      </c>
      <c r="B1947" t="s">
        <v>1958</v>
      </c>
      <c r="C1947">
        <v>71</v>
      </c>
      <c r="D1947" t="s">
        <v>2947</v>
      </c>
      <c r="E1947" t="s">
        <v>2950</v>
      </c>
      <c r="F1947" t="s">
        <v>3485</v>
      </c>
      <c r="G1947" s="2">
        <v>45851</v>
      </c>
      <c r="H1947" s="2">
        <v>45853</v>
      </c>
      <c r="I1947" t="s">
        <v>5763</v>
      </c>
      <c r="J1947" t="s">
        <v>2949</v>
      </c>
      <c r="K1947">
        <v>231440.97</v>
      </c>
      <c r="L1947" t="s">
        <v>5773</v>
      </c>
      <c r="M1947">
        <v>2</v>
      </c>
    </row>
    <row r="1948" spans="1:13" x14ac:dyDescent="0.25">
      <c r="A1948">
        <v>1947</v>
      </c>
      <c r="B1948" t="s">
        <v>1959</v>
      </c>
      <c r="C1948">
        <v>57</v>
      </c>
      <c r="D1948" t="s">
        <v>2947</v>
      </c>
      <c r="E1948" t="s">
        <v>2951</v>
      </c>
      <c r="F1948" t="s">
        <v>215</v>
      </c>
      <c r="G1948" s="2">
        <v>45893</v>
      </c>
      <c r="H1948" s="2">
        <v>45900</v>
      </c>
      <c r="I1948" t="s">
        <v>5764</v>
      </c>
      <c r="J1948" t="s">
        <v>5771</v>
      </c>
      <c r="K1948">
        <v>408070.88</v>
      </c>
      <c r="L1948" t="s">
        <v>5773</v>
      </c>
      <c r="M1948">
        <v>7</v>
      </c>
    </row>
    <row r="1949" spans="1:13" x14ac:dyDescent="0.25">
      <c r="A1949">
        <v>1948</v>
      </c>
      <c r="B1949" t="s">
        <v>1960</v>
      </c>
      <c r="C1949">
        <v>68</v>
      </c>
      <c r="D1949" t="s">
        <v>2948</v>
      </c>
      <c r="E1949" t="s">
        <v>2952</v>
      </c>
      <c r="F1949" t="s">
        <v>4790</v>
      </c>
      <c r="G1949" s="2">
        <v>45890</v>
      </c>
      <c r="H1949" s="2">
        <v>45902</v>
      </c>
      <c r="I1949" t="s">
        <v>5762</v>
      </c>
      <c r="J1949" t="s">
        <v>2949</v>
      </c>
      <c r="K1949">
        <v>348523.25</v>
      </c>
      <c r="L1949" t="s">
        <v>5773</v>
      </c>
      <c r="M1949">
        <v>12</v>
      </c>
    </row>
    <row r="1950" spans="1:13" x14ac:dyDescent="0.25">
      <c r="A1950">
        <v>1949</v>
      </c>
      <c r="B1950" t="s">
        <v>1961</v>
      </c>
      <c r="C1950">
        <v>32</v>
      </c>
      <c r="D1950" t="s">
        <v>2947</v>
      </c>
      <c r="E1950" t="s">
        <v>2952</v>
      </c>
      <c r="F1950" t="s">
        <v>4791</v>
      </c>
      <c r="G1950" s="2">
        <v>45613</v>
      </c>
      <c r="H1950" s="2">
        <v>45624</v>
      </c>
      <c r="I1950" t="s">
        <v>5759</v>
      </c>
      <c r="J1950" t="s">
        <v>5771</v>
      </c>
      <c r="K1950">
        <v>416537.35</v>
      </c>
      <c r="L1950" t="s">
        <v>5774</v>
      </c>
      <c r="M1950">
        <v>11</v>
      </c>
    </row>
    <row r="1951" spans="1:13" x14ac:dyDescent="0.25">
      <c r="A1951">
        <v>1950</v>
      </c>
      <c r="B1951" t="s">
        <v>1962</v>
      </c>
      <c r="C1951">
        <v>90</v>
      </c>
      <c r="D1951" t="s">
        <v>2948</v>
      </c>
      <c r="E1951" t="s">
        <v>2955</v>
      </c>
      <c r="F1951" t="s">
        <v>4792</v>
      </c>
      <c r="G1951" s="2">
        <v>45743</v>
      </c>
      <c r="H1951" s="2">
        <v>45751</v>
      </c>
      <c r="I1951" t="s">
        <v>5767</v>
      </c>
      <c r="J1951" t="s">
        <v>5771</v>
      </c>
      <c r="K1951">
        <v>465771.21</v>
      </c>
      <c r="L1951" t="s">
        <v>5775</v>
      </c>
      <c r="M1951">
        <v>8</v>
      </c>
    </row>
    <row r="1952" spans="1:13" x14ac:dyDescent="0.25">
      <c r="A1952">
        <v>1951</v>
      </c>
      <c r="B1952" t="s">
        <v>1963</v>
      </c>
      <c r="C1952">
        <v>71</v>
      </c>
      <c r="D1952" t="s">
        <v>2948</v>
      </c>
      <c r="E1952" t="s">
        <v>2953</v>
      </c>
      <c r="F1952" t="s">
        <v>4793</v>
      </c>
      <c r="G1952" s="2">
        <v>45892</v>
      </c>
      <c r="H1952" s="2">
        <v>45897</v>
      </c>
      <c r="I1952" t="s">
        <v>5763</v>
      </c>
      <c r="J1952" t="s">
        <v>5772</v>
      </c>
      <c r="K1952">
        <v>497173.95</v>
      </c>
      <c r="L1952" t="s">
        <v>5774</v>
      </c>
      <c r="M1952">
        <v>5</v>
      </c>
    </row>
    <row r="1953" spans="1:13" x14ac:dyDescent="0.25">
      <c r="A1953">
        <v>1952</v>
      </c>
      <c r="B1953" t="s">
        <v>1964</v>
      </c>
      <c r="C1953">
        <v>45</v>
      </c>
      <c r="D1953" t="s">
        <v>2948</v>
      </c>
      <c r="E1953" t="s">
        <v>2955</v>
      </c>
      <c r="F1953" t="s">
        <v>4794</v>
      </c>
      <c r="G1953" s="2">
        <v>45763</v>
      </c>
      <c r="H1953" s="2">
        <v>45775</v>
      </c>
      <c r="I1953" t="s">
        <v>5761</v>
      </c>
      <c r="J1953" t="s">
        <v>5771</v>
      </c>
      <c r="K1953">
        <v>200155.81</v>
      </c>
      <c r="L1953" t="s">
        <v>5775</v>
      </c>
      <c r="M1953">
        <v>12</v>
      </c>
    </row>
    <row r="1954" spans="1:13" x14ac:dyDescent="0.25">
      <c r="A1954">
        <v>1953</v>
      </c>
      <c r="B1954" t="s">
        <v>1965</v>
      </c>
      <c r="C1954">
        <v>32</v>
      </c>
      <c r="D1954" t="s">
        <v>2947</v>
      </c>
      <c r="E1954" t="s">
        <v>2954</v>
      </c>
      <c r="F1954" t="s">
        <v>4795</v>
      </c>
      <c r="G1954" s="2">
        <v>45700</v>
      </c>
      <c r="H1954" s="2">
        <v>45702</v>
      </c>
      <c r="I1954" t="s">
        <v>5761</v>
      </c>
      <c r="J1954" t="s">
        <v>5771</v>
      </c>
      <c r="K1954">
        <v>433824.44</v>
      </c>
      <c r="L1954" t="s">
        <v>5774</v>
      </c>
      <c r="M1954">
        <v>2</v>
      </c>
    </row>
    <row r="1955" spans="1:13" x14ac:dyDescent="0.25">
      <c r="A1955">
        <v>1954</v>
      </c>
      <c r="B1955" t="s">
        <v>1966</v>
      </c>
      <c r="C1955">
        <v>65</v>
      </c>
      <c r="D1955" t="s">
        <v>2947</v>
      </c>
      <c r="E1955" t="s">
        <v>2950</v>
      </c>
      <c r="F1955" t="s">
        <v>4796</v>
      </c>
      <c r="G1955" s="2">
        <v>45741</v>
      </c>
      <c r="H1955" s="2">
        <v>45745</v>
      </c>
      <c r="I1955" t="s">
        <v>5764</v>
      </c>
      <c r="J1955" t="s">
        <v>5769</v>
      </c>
      <c r="K1955">
        <v>392256.15</v>
      </c>
      <c r="L1955" t="s">
        <v>5773</v>
      </c>
      <c r="M1955">
        <v>4</v>
      </c>
    </row>
    <row r="1956" spans="1:13" x14ac:dyDescent="0.25">
      <c r="A1956">
        <v>1955</v>
      </c>
      <c r="B1956" t="s">
        <v>1967</v>
      </c>
      <c r="C1956">
        <v>17</v>
      </c>
      <c r="D1956" t="s">
        <v>2948</v>
      </c>
      <c r="E1956" t="s">
        <v>2950</v>
      </c>
      <c r="F1956" t="s">
        <v>4797</v>
      </c>
      <c r="G1956" s="2">
        <v>45798</v>
      </c>
      <c r="H1956" s="2">
        <v>45811</v>
      </c>
      <c r="I1956" t="s">
        <v>5762</v>
      </c>
      <c r="J1956" t="s">
        <v>2949</v>
      </c>
      <c r="K1956">
        <v>394313.38</v>
      </c>
      <c r="L1956" t="s">
        <v>5775</v>
      </c>
      <c r="M1956">
        <v>13</v>
      </c>
    </row>
    <row r="1957" spans="1:13" x14ac:dyDescent="0.25">
      <c r="A1957">
        <v>1956</v>
      </c>
      <c r="B1957" t="s">
        <v>1968</v>
      </c>
      <c r="C1957">
        <v>14</v>
      </c>
      <c r="D1957" t="s">
        <v>2948</v>
      </c>
      <c r="E1957" t="s">
        <v>2953</v>
      </c>
      <c r="F1957" t="s">
        <v>4798</v>
      </c>
      <c r="G1957" s="2">
        <v>45760</v>
      </c>
      <c r="H1957" s="2">
        <v>45774</v>
      </c>
      <c r="I1957" t="s">
        <v>5767</v>
      </c>
      <c r="J1957" t="s">
        <v>5769</v>
      </c>
      <c r="K1957">
        <v>483748.08</v>
      </c>
      <c r="L1957" t="s">
        <v>5774</v>
      </c>
      <c r="M1957">
        <v>14</v>
      </c>
    </row>
    <row r="1958" spans="1:13" x14ac:dyDescent="0.25">
      <c r="A1958">
        <v>1957</v>
      </c>
      <c r="B1958" t="s">
        <v>1969</v>
      </c>
      <c r="C1958">
        <v>21</v>
      </c>
      <c r="D1958" t="s">
        <v>2947</v>
      </c>
      <c r="E1958" t="s">
        <v>2955</v>
      </c>
      <c r="F1958" t="s">
        <v>4799</v>
      </c>
      <c r="G1958" s="2">
        <v>45808</v>
      </c>
      <c r="H1958" s="2">
        <v>45816</v>
      </c>
      <c r="I1958" t="s">
        <v>5763</v>
      </c>
      <c r="J1958" t="s">
        <v>5769</v>
      </c>
      <c r="K1958">
        <v>36923.19</v>
      </c>
      <c r="L1958" t="s">
        <v>5774</v>
      </c>
      <c r="M1958">
        <v>8</v>
      </c>
    </row>
    <row r="1959" spans="1:13" x14ac:dyDescent="0.25">
      <c r="A1959">
        <v>1958</v>
      </c>
      <c r="B1959" t="s">
        <v>1970</v>
      </c>
      <c r="C1959">
        <v>3</v>
      </c>
      <c r="D1959" t="s">
        <v>2947</v>
      </c>
      <c r="E1959" t="s">
        <v>2953</v>
      </c>
      <c r="F1959" t="s">
        <v>4800</v>
      </c>
      <c r="G1959" s="2">
        <v>45796</v>
      </c>
      <c r="H1959" s="2">
        <v>45798</v>
      </c>
      <c r="I1959" t="s">
        <v>5758</v>
      </c>
      <c r="J1959" t="s">
        <v>5769</v>
      </c>
      <c r="K1959">
        <v>172209.24</v>
      </c>
      <c r="L1959" t="s">
        <v>5774</v>
      </c>
      <c r="M1959">
        <v>2</v>
      </c>
    </row>
    <row r="1960" spans="1:13" x14ac:dyDescent="0.25">
      <c r="A1960">
        <v>1959</v>
      </c>
      <c r="B1960" t="s">
        <v>1971</v>
      </c>
      <c r="C1960">
        <v>39</v>
      </c>
      <c r="D1960" t="s">
        <v>2947</v>
      </c>
      <c r="E1960" t="s">
        <v>2953</v>
      </c>
      <c r="F1960" t="s">
        <v>4801</v>
      </c>
      <c r="G1960" s="2">
        <v>45887</v>
      </c>
      <c r="H1960" s="2">
        <v>45899</v>
      </c>
      <c r="I1960" t="s">
        <v>5765</v>
      </c>
      <c r="J1960" t="s">
        <v>5770</v>
      </c>
      <c r="K1960">
        <v>400087.16</v>
      </c>
      <c r="L1960" t="s">
        <v>5774</v>
      </c>
      <c r="M1960">
        <v>12</v>
      </c>
    </row>
    <row r="1961" spans="1:13" x14ac:dyDescent="0.25">
      <c r="A1961">
        <v>1960</v>
      </c>
      <c r="B1961" t="s">
        <v>1972</v>
      </c>
      <c r="C1961">
        <v>74</v>
      </c>
      <c r="D1961" t="s">
        <v>2948</v>
      </c>
      <c r="E1961" t="s">
        <v>2953</v>
      </c>
      <c r="F1961" t="s">
        <v>4802</v>
      </c>
      <c r="G1961" s="2">
        <v>45617</v>
      </c>
      <c r="H1961" s="2">
        <v>45627</v>
      </c>
      <c r="I1961" t="s">
        <v>5766</v>
      </c>
      <c r="J1961" t="s">
        <v>5768</v>
      </c>
      <c r="K1961">
        <v>98149.51</v>
      </c>
      <c r="L1961" t="s">
        <v>5775</v>
      </c>
      <c r="M1961">
        <v>10</v>
      </c>
    </row>
    <row r="1962" spans="1:13" x14ac:dyDescent="0.25">
      <c r="A1962">
        <v>1961</v>
      </c>
      <c r="B1962" t="s">
        <v>1973</v>
      </c>
      <c r="C1962">
        <v>84</v>
      </c>
      <c r="D1962" t="s">
        <v>2948</v>
      </c>
      <c r="E1962" t="s">
        <v>2952</v>
      </c>
      <c r="F1962" t="s">
        <v>4803</v>
      </c>
      <c r="G1962" s="2">
        <v>45858</v>
      </c>
      <c r="H1962" s="2">
        <v>45862</v>
      </c>
      <c r="I1962" t="s">
        <v>5767</v>
      </c>
      <c r="J1962" t="s">
        <v>5770</v>
      </c>
      <c r="K1962">
        <v>238286.41</v>
      </c>
      <c r="L1962" t="s">
        <v>5775</v>
      </c>
      <c r="M1962">
        <v>4</v>
      </c>
    </row>
    <row r="1963" spans="1:13" x14ac:dyDescent="0.25">
      <c r="A1963">
        <v>1962</v>
      </c>
      <c r="B1963" t="s">
        <v>1974</v>
      </c>
      <c r="C1963">
        <v>9</v>
      </c>
      <c r="D1963" t="s">
        <v>2947</v>
      </c>
      <c r="E1963" t="s">
        <v>2953</v>
      </c>
      <c r="F1963" t="s">
        <v>4804</v>
      </c>
      <c r="G1963" s="2">
        <v>45563</v>
      </c>
      <c r="H1963" s="2">
        <v>45570</v>
      </c>
      <c r="I1963" t="s">
        <v>5758</v>
      </c>
      <c r="J1963" t="s">
        <v>5772</v>
      </c>
      <c r="K1963">
        <v>176971.63</v>
      </c>
      <c r="L1963" t="s">
        <v>5775</v>
      </c>
      <c r="M1963">
        <v>7</v>
      </c>
    </row>
    <row r="1964" spans="1:13" x14ac:dyDescent="0.25">
      <c r="A1964">
        <v>1963</v>
      </c>
      <c r="B1964" t="s">
        <v>1975</v>
      </c>
      <c r="C1964">
        <v>73</v>
      </c>
      <c r="D1964" t="s">
        <v>2947</v>
      </c>
      <c r="E1964" t="s">
        <v>2953</v>
      </c>
      <c r="F1964" t="s">
        <v>4805</v>
      </c>
      <c r="G1964" s="2">
        <v>45675</v>
      </c>
      <c r="H1964" s="2">
        <v>45688</v>
      </c>
      <c r="I1964" t="s">
        <v>5758</v>
      </c>
      <c r="J1964" t="s">
        <v>5768</v>
      </c>
      <c r="K1964">
        <v>100971.71</v>
      </c>
      <c r="L1964" t="s">
        <v>5774</v>
      </c>
      <c r="M1964">
        <v>13</v>
      </c>
    </row>
    <row r="1965" spans="1:13" x14ac:dyDescent="0.25">
      <c r="A1965">
        <v>1964</v>
      </c>
      <c r="B1965" t="s">
        <v>1976</v>
      </c>
      <c r="C1965">
        <v>49</v>
      </c>
      <c r="D1965" t="s">
        <v>2948</v>
      </c>
      <c r="E1965" t="s">
        <v>2949</v>
      </c>
      <c r="F1965" t="s">
        <v>4806</v>
      </c>
      <c r="G1965" s="2">
        <v>45576</v>
      </c>
      <c r="H1965" s="2">
        <v>45590</v>
      </c>
      <c r="I1965" t="s">
        <v>5764</v>
      </c>
      <c r="J1965" t="s">
        <v>2949</v>
      </c>
      <c r="K1965">
        <v>432140.33</v>
      </c>
      <c r="L1965" t="s">
        <v>5775</v>
      </c>
      <c r="M1965">
        <v>14</v>
      </c>
    </row>
    <row r="1966" spans="1:13" x14ac:dyDescent="0.25">
      <c r="A1966">
        <v>1965</v>
      </c>
      <c r="B1966" t="s">
        <v>1977</v>
      </c>
      <c r="C1966">
        <v>21</v>
      </c>
      <c r="D1966" t="s">
        <v>2947</v>
      </c>
      <c r="E1966" t="s">
        <v>2951</v>
      </c>
      <c r="F1966" t="s">
        <v>4807</v>
      </c>
      <c r="G1966" s="2">
        <v>45722</v>
      </c>
      <c r="H1966" s="2">
        <v>45733</v>
      </c>
      <c r="I1966" t="s">
        <v>5759</v>
      </c>
      <c r="J1966" t="s">
        <v>5768</v>
      </c>
      <c r="K1966">
        <v>497531.38</v>
      </c>
      <c r="L1966" t="s">
        <v>5775</v>
      </c>
      <c r="M1966">
        <v>11</v>
      </c>
    </row>
    <row r="1967" spans="1:13" x14ac:dyDescent="0.25">
      <c r="A1967">
        <v>1966</v>
      </c>
      <c r="B1967" t="s">
        <v>1978</v>
      </c>
      <c r="C1967">
        <v>20</v>
      </c>
      <c r="D1967" t="s">
        <v>2948</v>
      </c>
      <c r="E1967" t="s">
        <v>2952</v>
      </c>
      <c r="F1967" t="s">
        <v>4808</v>
      </c>
      <c r="G1967" s="2">
        <v>45825</v>
      </c>
      <c r="H1967" s="2">
        <v>45830</v>
      </c>
      <c r="I1967" t="s">
        <v>5762</v>
      </c>
      <c r="J1967" t="s">
        <v>5768</v>
      </c>
      <c r="K1967">
        <v>329140.2</v>
      </c>
      <c r="L1967" t="s">
        <v>5775</v>
      </c>
      <c r="M1967">
        <v>5</v>
      </c>
    </row>
    <row r="1968" spans="1:13" x14ac:dyDescent="0.25">
      <c r="A1968">
        <v>1967</v>
      </c>
      <c r="B1968" t="s">
        <v>1979</v>
      </c>
      <c r="C1968">
        <v>31</v>
      </c>
      <c r="D1968" t="s">
        <v>2947</v>
      </c>
      <c r="E1968" t="s">
        <v>2952</v>
      </c>
      <c r="F1968" t="s">
        <v>4809</v>
      </c>
      <c r="G1968" s="2">
        <v>45676</v>
      </c>
      <c r="H1968" s="2">
        <v>45685</v>
      </c>
      <c r="I1968" t="s">
        <v>5765</v>
      </c>
      <c r="J1968" t="s">
        <v>5770</v>
      </c>
      <c r="K1968">
        <v>450278.44</v>
      </c>
      <c r="L1968" t="s">
        <v>5773</v>
      </c>
      <c r="M1968">
        <v>9</v>
      </c>
    </row>
    <row r="1969" spans="1:13" x14ac:dyDescent="0.25">
      <c r="A1969">
        <v>1968</v>
      </c>
      <c r="B1969" t="s">
        <v>1980</v>
      </c>
      <c r="C1969">
        <v>21</v>
      </c>
      <c r="D1969" t="s">
        <v>2948</v>
      </c>
      <c r="E1969" t="s">
        <v>2950</v>
      </c>
      <c r="F1969" t="s">
        <v>4810</v>
      </c>
      <c r="G1969" s="2">
        <v>45879</v>
      </c>
      <c r="H1969" s="2">
        <v>45891</v>
      </c>
      <c r="I1969" t="s">
        <v>5762</v>
      </c>
      <c r="J1969" t="s">
        <v>5768</v>
      </c>
      <c r="K1969">
        <v>60575.27</v>
      </c>
      <c r="L1969" t="s">
        <v>5773</v>
      </c>
      <c r="M1969">
        <v>12</v>
      </c>
    </row>
    <row r="1970" spans="1:13" x14ac:dyDescent="0.25">
      <c r="A1970">
        <v>1969</v>
      </c>
      <c r="B1970" t="s">
        <v>1981</v>
      </c>
      <c r="C1970">
        <v>19</v>
      </c>
      <c r="D1970" t="s">
        <v>2948</v>
      </c>
      <c r="E1970" t="s">
        <v>2951</v>
      </c>
      <c r="F1970" t="s">
        <v>4811</v>
      </c>
      <c r="G1970" s="2">
        <v>45800</v>
      </c>
      <c r="H1970" s="2">
        <v>45805</v>
      </c>
      <c r="I1970" t="s">
        <v>5766</v>
      </c>
      <c r="J1970" t="s">
        <v>5771</v>
      </c>
      <c r="K1970">
        <v>22645.05</v>
      </c>
      <c r="L1970" t="s">
        <v>5773</v>
      </c>
      <c r="M1970">
        <v>5</v>
      </c>
    </row>
    <row r="1971" spans="1:13" x14ac:dyDescent="0.25">
      <c r="A1971">
        <v>1970</v>
      </c>
      <c r="B1971" t="s">
        <v>1982</v>
      </c>
      <c r="C1971">
        <v>37</v>
      </c>
      <c r="D1971" t="s">
        <v>2948</v>
      </c>
      <c r="E1971" t="s">
        <v>2955</v>
      </c>
      <c r="F1971" t="s">
        <v>4812</v>
      </c>
      <c r="G1971" s="2">
        <v>45724</v>
      </c>
      <c r="H1971" s="2">
        <v>45739</v>
      </c>
      <c r="I1971" t="s">
        <v>5761</v>
      </c>
      <c r="J1971" t="s">
        <v>2949</v>
      </c>
      <c r="K1971">
        <v>260259.11</v>
      </c>
      <c r="L1971" t="s">
        <v>5773</v>
      </c>
      <c r="M1971">
        <v>15</v>
      </c>
    </row>
    <row r="1972" spans="1:13" x14ac:dyDescent="0.25">
      <c r="A1972">
        <v>1971</v>
      </c>
      <c r="B1972" t="s">
        <v>1983</v>
      </c>
      <c r="C1972">
        <v>30</v>
      </c>
      <c r="D1972" t="s">
        <v>2948</v>
      </c>
      <c r="E1972" t="s">
        <v>2955</v>
      </c>
      <c r="F1972" t="s">
        <v>4813</v>
      </c>
      <c r="G1972" s="2">
        <v>45709</v>
      </c>
      <c r="H1972" s="2">
        <v>45724</v>
      </c>
      <c r="I1972" t="s">
        <v>5766</v>
      </c>
      <c r="J1972" t="s">
        <v>5769</v>
      </c>
      <c r="K1972">
        <v>361245.81</v>
      </c>
      <c r="L1972" t="s">
        <v>5775</v>
      </c>
      <c r="M1972">
        <v>15</v>
      </c>
    </row>
    <row r="1973" spans="1:13" x14ac:dyDescent="0.25">
      <c r="A1973">
        <v>1972</v>
      </c>
      <c r="B1973" t="s">
        <v>1984</v>
      </c>
      <c r="C1973">
        <v>19</v>
      </c>
      <c r="D1973" t="s">
        <v>2948</v>
      </c>
      <c r="E1973" t="s">
        <v>2952</v>
      </c>
      <c r="F1973" t="s">
        <v>4814</v>
      </c>
      <c r="G1973" s="2">
        <v>45706</v>
      </c>
      <c r="H1973" s="2">
        <v>45709</v>
      </c>
      <c r="I1973" t="s">
        <v>5767</v>
      </c>
      <c r="J1973" t="s">
        <v>5770</v>
      </c>
      <c r="K1973">
        <v>48228.55</v>
      </c>
      <c r="L1973" t="s">
        <v>5775</v>
      </c>
      <c r="M1973">
        <v>3</v>
      </c>
    </row>
    <row r="1974" spans="1:13" x14ac:dyDescent="0.25">
      <c r="A1974">
        <v>1973</v>
      </c>
      <c r="B1974" t="s">
        <v>1985</v>
      </c>
      <c r="C1974">
        <v>74</v>
      </c>
      <c r="D1974" t="s">
        <v>2948</v>
      </c>
      <c r="E1974" t="s">
        <v>2952</v>
      </c>
      <c r="F1974" t="s">
        <v>4815</v>
      </c>
      <c r="G1974" s="2">
        <v>45779</v>
      </c>
      <c r="H1974" s="2">
        <v>45791</v>
      </c>
      <c r="I1974" t="s">
        <v>5760</v>
      </c>
      <c r="J1974" t="s">
        <v>5769</v>
      </c>
      <c r="K1974">
        <v>359665.48</v>
      </c>
      <c r="L1974" t="s">
        <v>5773</v>
      </c>
      <c r="M1974">
        <v>12</v>
      </c>
    </row>
    <row r="1975" spans="1:13" x14ac:dyDescent="0.25">
      <c r="A1975">
        <v>1974</v>
      </c>
      <c r="B1975" t="s">
        <v>1986</v>
      </c>
      <c r="C1975">
        <v>4</v>
      </c>
      <c r="D1975" t="s">
        <v>2948</v>
      </c>
      <c r="E1975" t="s">
        <v>2952</v>
      </c>
      <c r="F1975" t="s">
        <v>4816</v>
      </c>
      <c r="G1975" s="2">
        <v>45627</v>
      </c>
      <c r="H1975" s="2">
        <v>45629</v>
      </c>
      <c r="I1975" t="s">
        <v>5760</v>
      </c>
      <c r="J1975" t="s">
        <v>5770</v>
      </c>
      <c r="K1975">
        <v>408388.88</v>
      </c>
      <c r="L1975" t="s">
        <v>5775</v>
      </c>
      <c r="M1975">
        <v>2</v>
      </c>
    </row>
    <row r="1976" spans="1:13" x14ac:dyDescent="0.25">
      <c r="A1976">
        <v>1975</v>
      </c>
      <c r="B1976" t="s">
        <v>1987</v>
      </c>
      <c r="C1976">
        <v>40</v>
      </c>
      <c r="D1976" t="s">
        <v>2948</v>
      </c>
      <c r="E1976" t="s">
        <v>2955</v>
      </c>
      <c r="F1976" t="s">
        <v>4817</v>
      </c>
      <c r="G1976" s="2">
        <v>45692</v>
      </c>
      <c r="H1976" s="2">
        <v>45694</v>
      </c>
      <c r="I1976" t="s">
        <v>5764</v>
      </c>
      <c r="J1976" t="s">
        <v>2949</v>
      </c>
      <c r="K1976">
        <v>440419.67</v>
      </c>
      <c r="L1976" t="s">
        <v>5773</v>
      </c>
      <c r="M1976">
        <v>2</v>
      </c>
    </row>
    <row r="1977" spans="1:13" x14ac:dyDescent="0.25">
      <c r="A1977">
        <v>1976</v>
      </c>
      <c r="B1977" t="s">
        <v>1988</v>
      </c>
      <c r="C1977">
        <v>69</v>
      </c>
      <c r="D1977" t="s">
        <v>2947</v>
      </c>
      <c r="E1977" t="s">
        <v>2949</v>
      </c>
      <c r="F1977" t="s">
        <v>4818</v>
      </c>
      <c r="G1977" s="2">
        <v>45656</v>
      </c>
      <c r="H1977" s="2">
        <v>45668</v>
      </c>
      <c r="I1977" t="s">
        <v>5762</v>
      </c>
      <c r="J1977" t="s">
        <v>5771</v>
      </c>
      <c r="K1977">
        <v>403425.14</v>
      </c>
      <c r="L1977" t="s">
        <v>5774</v>
      </c>
      <c r="M1977">
        <v>12</v>
      </c>
    </row>
    <row r="1978" spans="1:13" x14ac:dyDescent="0.25">
      <c r="A1978">
        <v>1977</v>
      </c>
      <c r="B1978" t="s">
        <v>1989</v>
      </c>
      <c r="C1978">
        <v>81</v>
      </c>
      <c r="D1978" t="s">
        <v>2947</v>
      </c>
      <c r="E1978" t="s">
        <v>2952</v>
      </c>
      <c r="F1978" t="s">
        <v>4819</v>
      </c>
      <c r="G1978" s="2">
        <v>45630</v>
      </c>
      <c r="H1978" s="2">
        <v>45639</v>
      </c>
      <c r="I1978" t="s">
        <v>5762</v>
      </c>
      <c r="J1978" t="s">
        <v>5771</v>
      </c>
      <c r="K1978">
        <v>361903.98</v>
      </c>
      <c r="L1978" t="s">
        <v>5775</v>
      </c>
      <c r="M1978">
        <v>9</v>
      </c>
    </row>
    <row r="1979" spans="1:13" x14ac:dyDescent="0.25">
      <c r="A1979">
        <v>1978</v>
      </c>
      <c r="B1979" t="s">
        <v>1990</v>
      </c>
      <c r="C1979">
        <v>77</v>
      </c>
      <c r="D1979" t="s">
        <v>2947</v>
      </c>
      <c r="E1979" t="s">
        <v>2952</v>
      </c>
      <c r="F1979" t="s">
        <v>4820</v>
      </c>
      <c r="G1979" s="2">
        <v>45740</v>
      </c>
      <c r="H1979" s="2">
        <v>45747</v>
      </c>
      <c r="I1979" t="s">
        <v>5759</v>
      </c>
      <c r="J1979" t="s">
        <v>5771</v>
      </c>
      <c r="K1979">
        <v>317659.01</v>
      </c>
      <c r="L1979" t="s">
        <v>5773</v>
      </c>
      <c r="M1979">
        <v>7</v>
      </c>
    </row>
    <row r="1980" spans="1:13" x14ac:dyDescent="0.25">
      <c r="A1980">
        <v>1979</v>
      </c>
      <c r="B1980" t="s">
        <v>1991</v>
      </c>
      <c r="C1980">
        <v>30</v>
      </c>
      <c r="D1980" t="s">
        <v>2947</v>
      </c>
      <c r="E1980" t="s">
        <v>2951</v>
      </c>
      <c r="F1980" t="s">
        <v>4821</v>
      </c>
      <c r="G1980" s="2">
        <v>45787</v>
      </c>
      <c r="H1980" s="2">
        <v>45793</v>
      </c>
      <c r="I1980" t="s">
        <v>5765</v>
      </c>
      <c r="J1980" t="s">
        <v>5768</v>
      </c>
      <c r="K1980">
        <v>267286.13</v>
      </c>
      <c r="L1980" t="s">
        <v>5775</v>
      </c>
      <c r="M1980">
        <v>6</v>
      </c>
    </row>
    <row r="1981" spans="1:13" x14ac:dyDescent="0.25">
      <c r="A1981">
        <v>1980</v>
      </c>
      <c r="B1981" t="s">
        <v>1992</v>
      </c>
      <c r="C1981">
        <v>52</v>
      </c>
      <c r="D1981" t="s">
        <v>2947</v>
      </c>
      <c r="E1981" t="s">
        <v>2953</v>
      </c>
      <c r="F1981" t="s">
        <v>4822</v>
      </c>
      <c r="G1981" s="2">
        <v>45901</v>
      </c>
      <c r="H1981" s="2">
        <v>45902</v>
      </c>
      <c r="I1981" t="s">
        <v>5760</v>
      </c>
      <c r="J1981" t="s">
        <v>5770</v>
      </c>
      <c r="K1981">
        <v>463008.28</v>
      </c>
      <c r="L1981" t="s">
        <v>5774</v>
      </c>
      <c r="M1981">
        <v>1</v>
      </c>
    </row>
    <row r="1982" spans="1:13" x14ac:dyDescent="0.25">
      <c r="A1982">
        <v>1981</v>
      </c>
      <c r="B1982" t="s">
        <v>1993</v>
      </c>
      <c r="C1982">
        <v>15</v>
      </c>
      <c r="D1982" t="s">
        <v>2948</v>
      </c>
      <c r="E1982" t="s">
        <v>2953</v>
      </c>
      <c r="F1982" t="s">
        <v>4823</v>
      </c>
      <c r="G1982" s="2">
        <v>45587</v>
      </c>
      <c r="H1982" s="2">
        <v>45600</v>
      </c>
      <c r="I1982" t="s">
        <v>5760</v>
      </c>
      <c r="J1982" t="s">
        <v>5768</v>
      </c>
      <c r="K1982">
        <v>145842.26</v>
      </c>
      <c r="L1982" t="s">
        <v>5773</v>
      </c>
      <c r="M1982">
        <v>13</v>
      </c>
    </row>
    <row r="1983" spans="1:13" x14ac:dyDescent="0.25">
      <c r="A1983">
        <v>1982</v>
      </c>
      <c r="B1983" t="s">
        <v>1994</v>
      </c>
      <c r="C1983">
        <v>41</v>
      </c>
      <c r="D1983" t="s">
        <v>2947</v>
      </c>
      <c r="E1983" t="s">
        <v>2953</v>
      </c>
      <c r="F1983" t="s">
        <v>4824</v>
      </c>
      <c r="G1983" s="2">
        <v>45746</v>
      </c>
      <c r="H1983" s="2">
        <v>45761</v>
      </c>
      <c r="I1983" t="s">
        <v>5759</v>
      </c>
      <c r="J1983" t="s">
        <v>2949</v>
      </c>
      <c r="K1983">
        <v>97676.05</v>
      </c>
      <c r="L1983" t="s">
        <v>5774</v>
      </c>
      <c r="M1983">
        <v>15</v>
      </c>
    </row>
    <row r="1984" spans="1:13" x14ac:dyDescent="0.25">
      <c r="A1984">
        <v>1983</v>
      </c>
      <c r="B1984" t="s">
        <v>1995</v>
      </c>
      <c r="C1984">
        <v>86</v>
      </c>
      <c r="D1984" t="s">
        <v>2947</v>
      </c>
      <c r="E1984" t="s">
        <v>2949</v>
      </c>
      <c r="F1984" t="s">
        <v>2260</v>
      </c>
      <c r="G1984" s="2">
        <v>45711</v>
      </c>
      <c r="H1984" s="2">
        <v>45712</v>
      </c>
      <c r="I1984" t="s">
        <v>5765</v>
      </c>
      <c r="J1984" t="s">
        <v>5771</v>
      </c>
      <c r="K1984">
        <v>83226.19</v>
      </c>
      <c r="L1984" t="s">
        <v>5775</v>
      </c>
      <c r="M1984">
        <v>1</v>
      </c>
    </row>
    <row r="1985" spans="1:13" x14ac:dyDescent="0.25">
      <c r="A1985">
        <v>1984</v>
      </c>
      <c r="B1985" t="s">
        <v>1996</v>
      </c>
      <c r="C1985">
        <v>65</v>
      </c>
      <c r="D1985" t="s">
        <v>2947</v>
      </c>
      <c r="E1985" t="s">
        <v>2949</v>
      </c>
      <c r="F1985" t="s">
        <v>4825</v>
      </c>
      <c r="G1985" s="2">
        <v>45729</v>
      </c>
      <c r="H1985" s="2">
        <v>45732</v>
      </c>
      <c r="I1985" t="s">
        <v>5758</v>
      </c>
      <c r="J1985" t="s">
        <v>2949</v>
      </c>
      <c r="K1985">
        <v>478899.35</v>
      </c>
      <c r="L1985" t="s">
        <v>5774</v>
      </c>
      <c r="M1985">
        <v>3</v>
      </c>
    </row>
    <row r="1986" spans="1:13" x14ac:dyDescent="0.25">
      <c r="A1986">
        <v>1985</v>
      </c>
      <c r="B1986" t="s">
        <v>1997</v>
      </c>
      <c r="C1986">
        <v>84</v>
      </c>
      <c r="D1986" t="s">
        <v>2947</v>
      </c>
      <c r="E1986" t="s">
        <v>2953</v>
      </c>
      <c r="F1986" t="s">
        <v>4826</v>
      </c>
      <c r="G1986" s="2">
        <v>45601</v>
      </c>
      <c r="H1986" s="2">
        <v>45607</v>
      </c>
      <c r="I1986" t="s">
        <v>5764</v>
      </c>
      <c r="J1986" t="s">
        <v>5772</v>
      </c>
      <c r="K1986">
        <v>197096.66</v>
      </c>
      <c r="L1986" t="s">
        <v>5775</v>
      </c>
      <c r="M1986">
        <v>6</v>
      </c>
    </row>
    <row r="1987" spans="1:13" x14ac:dyDescent="0.25">
      <c r="A1987">
        <v>1986</v>
      </c>
      <c r="B1987" t="s">
        <v>1998</v>
      </c>
      <c r="C1987">
        <v>73</v>
      </c>
      <c r="D1987" t="s">
        <v>2947</v>
      </c>
      <c r="E1987" t="s">
        <v>2950</v>
      </c>
      <c r="F1987" t="s">
        <v>4827</v>
      </c>
      <c r="G1987" s="2">
        <v>45597</v>
      </c>
      <c r="H1987" s="2">
        <v>45606</v>
      </c>
      <c r="I1987" t="s">
        <v>5762</v>
      </c>
      <c r="J1987" t="s">
        <v>2949</v>
      </c>
      <c r="K1987">
        <v>9430.34</v>
      </c>
      <c r="L1987" t="s">
        <v>5775</v>
      </c>
      <c r="M1987">
        <v>9</v>
      </c>
    </row>
    <row r="1988" spans="1:13" x14ac:dyDescent="0.25">
      <c r="A1988">
        <v>1987</v>
      </c>
      <c r="B1988" t="s">
        <v>1999</v>
      </c>
      <c r="C1988">
        <v>83</v>
      </c>
      <c r="D1988" t="s">
        <v>2948</v>
      </c>
      <c r="E1988" t="s">
        <v>2951</v>
      </c>
      <c r="F1988" t="s">
        <v>4828</v>
      </c>
      <c r="G1988" s="2">
        <v>45592</v>
      </c>
      <c r="H1988" s="2">
        <v>45602</v>
      </c>
      <c r="I1988" t="s">
        <v>5762</v>
      </c>
      <c r="J1988" t="s">
        <v>5769</v>
      </c>
      <c r="K1988">
        <v>19985.14</v>
      </c>
      <c r="L1988" t="s">
        <v>5774</v>
      </c>
      <c r="M1988">
        <v>10</v>
      </c>
    </row>
    <row r="1989" spans="1:13" x14ac:dyDescent="0.25">
      <c r="A1989">
        <v>1988</v>
      </c>
      <c r="B1989" t="s">
        <v>2000</v>
      </c>
      <c r="C1989">
        <v>82</v>
      </c>
      <c r="D1989" t="s">
        <v>2947</v>
      </c>
      <c r="E1989" t="s">
        <v>2950</v>
      </c>
      <c r="F1989" t="s">
        <v>4829</v>
      </c>
      <c r="G1989" s="2">
        <v>45607</v>
      </c>
      <c r="H1989" s="2">
        <v>45614</v>
      </c>
      <c r="I1989" t="s">
        <v>5767</v>
      </c>
      <c r="J1989" t="s">
        <v>5769</v>
      </c>
      <c r="K1989">
        <v>468855.16</v>
      </c>
      <c r="L1989" t="s">
        <v>5775</v>
      </c>
      <c r="M1989">
        <v>7</v>
      </c>
    </row>
    <row r="1990" spans="1:13" x14ac:dyDescent="0.25">
      <c r="A1990">
        <v>1989</v>
      </c>
      <c r="B1990" t="s">
        <v>2001</v>
      </c>
      <c r="C1990">
        <v>9</v>
      </c>
      <c r="D1990" t="s">
        <v>2948</v>
      </c>
      <c r="E1990" t="s">
        <v>2951</v>
      </c>
      <c r="F1990" t="s">
        <v>4830</v>
      </c>
      <c r="G1990" s="2">
        <v>45912</v>
      </c>
      <c r="H1990" s="2">
        <v>45914</v>
      </c>
      <c r="I1990" t="s">
        <v>5759</v>
      </c>
      <c r="J1990" t="s">
        <v>5770</v>
      </c>
      <c r="K1990">
        <v>28737.96</v>
      </c>
      <c r="L1990" t="s">
        <v>5774</v>
      </c>
      <c r="M1990">
        <v>2</v>
      </c>
    </row>
    <row r="1991" spans="1:13" x14ac:dyDescent="0.25">
      <c r="A1991">
        <v>1990</v>
      </c>
      <c r="B1991" t="s">
        <v>2002</v>
      </c>
      <c r="C1991">
        <v>25</v>
      </c>
      <c r="D1991" t="s">
        <v>2947</v>
      </c>
      <c r="E1991" t="s">
        <v>2952</v>
      </c>
      <c r="F1991" t="s">
        <v>4831</v>
      </c>
      <c r="G1991" s="2">
        <v>45592</v>
      </c>
      <c r="H1991" s="2">
        <v>45594</v>
      </c>
      <c r="I1991" t="s">
        <v>5766</v>
      </c>
      <c r="J1991" t="s">
        <v>5771</v>
      </c>
      <c r="K1991">
        <v>259079.03</v>
      </c>
      <c r="L1991" t="s">
        <v>5775</v>
      </c>
      <c r="M1991">
        <v>2</v>
      </c>
    </row>
    <row r="1992" spans="1:13" x14ac:dyDescent="0.25">
      <c r="A1992">
        <v>1991</v>
      </c>
      <c r="B1992" t="s">
        <v>2003</v>
      </c>
      <c r="C1992">
        <v>6</v>
      </c>
      <c r="D1992" t="s">
        <v>2948</v>
      </c>
      <c r="E1992" t="s">
        <v>2949</v>
      </c>
      <c r="F1992" t="s">
        <v>4832</v>
      </c>
      <c r="G1992" s="2">
        <v>45834</v>
      </c>
      <c r="H1992" s="2">
        <v>45836</v>
      </c>
      <c r="I1992" t="s">
        <v>5761</v>
      </c>
      <c r="J1992" t="s">
        <v>5771</v>
      </c>
      <c r="K1992">
        <v>321184.33</v>
      </c>
      <c r="L1992" t="s">
        <v>5775</v>
      </c>
      <c r="M1992">
        <v>2</v>
      </c>
    </row>
    <row r="1993" spans="1:13" x14ac:dyDescent="0.25">
      <c r="A1993">
        <v>1992</v>
      </c>
      <c r="B1993" t="s">
        <v>2004</v>
      </c>
      <c r="C1993">
        <v>49</v>
      </c>
      <c r="D1993" t="s">
        <v>2948</v>
      </c>
      <c r="E1993" t="s">
        <v>2954</v>
      </c>
      <c r="F1993" t="s">
        <v>4833</v>
      </c>
      <c r="G1993" s="2">
        <v>45867</v>
      </c>
      <c r="H1993" s="2">
        <v>45881</v>
      </c>
      <c r="I1993" t="s">
        <v>5760</v>
      </c>
      <c r="J1993" t="s">
        <v>5770</v>
      </c>
      <c r="K1993">
        <v>315928.86</v>
      </c>
      <c r="L1993" t="s">
        <v>5774</v>
      </c>
      <c r="M1993">
        <v>14</v>
      </c>
    </row>
    <row r="1994" spans="1:13" x14ac:dyDescent="0.25">
      <c r="A1994">
        <v>1993</v>
      </c>
      <c r="B1994" t="s">
        <v>2005</v>
      </c>
      <c r="C1994">
        <v>69</v>
      </c>
      <c r="D1994" t="s">
        <v>2948</v>
      </c>
      <c r="E1994" t="s">
        <v>2950</v>
      </c>
      <c r="F1994" t="s">
        <v>4834</v>
      </c>
      <c r="G1994" s="2">
        <v>45606</v>
      </c>
      <c r="H1994" s="2">
        <v>45618</v>
      </c>
      <c r="I1994" t="s">
        <v>5762</v>
      </c>
      <c r="J1994" t="s">
        <v>5768</v>
      </c>
      <c r="K1994">
        <v>362132.74</v>
      </c>
      <c r="L1994" t="s">
        <v>5773</v>
      </c>
      <c r="M1994">
        <v>12</v>
      </c>
    </row>
    <row r="1995" spans="1:13" x14ac:dyDescent="0.25">
      <c r="A1995">
        <v>1994</v>
      </c>
      <c r="B1995" t="s">
        <v>2006</v>
      </c>
      <c r="C1995">
        <v>48</v>
      </c>
      <c r="D1995" t="s">
        <v>2948</v>
      </c>
      <c r="E1995" t="s">
        <v>2955</v>
      </c>
      <c r="F1995" t="s">
        <v>4835</v>
      </c>
      <c r="G1995" s="2">
        <v>45905</v>
      </c>
      <c r="H1995" s="2">
        <v>45914</v>
      </c>
      <c r="I1995" t="s">
        <v>5762</v>
      </c>
      <c r="J1995" t="s">
        <v>5772</v>
      </c>
      <c r="K1995">
        <v>291693.84999999998</v>
      </c>
      <c r="L1995" t="s">
        <v>5773</v>
      </c>
      <c r="M1995">
        <v>9</v>
      </c>
    </row>
    <row r="1996" spans="1:13" x14ac:dyDescent="0.25">
      <c r="A1996">
        <v>1995</v>
      </c>
      <c r="B1996" t="s">
        <v>2007</v>
      </c>
      <c r="C1996">
        <v>40</v>
      </c>
      <c r="D1996" t="s">
        <v>2947</v>
      </c>
      <c r="E1996" t="s">
        <v>2954</v>
      </c>
      <c r="F1996" t="s">
        <v>4836</v>
      </c>
      <c r="G1996" s="2">
        <v>45614</v>
      </c>
      <c r="H1996" s="2">
        <v>45618</v>
      </c>
      <c r="I1996" t="s">
        <v>5765</v>
      </c>
      <c r="J1996" t="s">
        <v>5772</v>
      </c>
      <c r="K1996">
        <v>22876.13</v>
      </c>
      <c r="L1996" t="s">
        <v>5774</v>
      </c>
      <c r="M1996">
        <v>4</v>
      </c>
    </row>
    <row r="1997" spans="1:13" x14ac:dyDescent="0.25">
      <c r="A1997">
        <v>1996</v>
      </c>
      <c r="B1997" t="s">
        <v>2008</v>
      </c>
      <c r="C1997">
        <v>22</v>
      </c>
      <c r="D1997" t="s">
        <v>2947</v>
      </c>
      <c r="E1997" t="s">
        <v>2954</v>
      </c>
      <c r="F1997" t="s">
        <v>4837</v>
      </c>
      <c r="G1997" s="2">
        <v>45834</v>
      </c>
      <c r="H1997" s="2">
        <v>45841</v>
      </c>
      <c r="I1997" t="s">
        <v>5764</v>
      </c>
      <c r="J1997" t="s">
        <v>5771</v>
      </c>
      <c r="K1997">
        <v>496923.55</v>
      </c>
      <c r="L1997" t="s">
        <v>5773</v>
      </c>
      <c r="M1997">
        <v>7</v>
      </c>
    </row>
    <row r="1998" spans="1:13" x14ac:dyDescent="0.25">
      <c r="A1998">
        <v>1997</v>
      </c>
      <c r="B1998" t="s">
        <v>2009</v>
      </c>
      <c r="C1998">
        <v>3</v>
      </c>
      <c r="D1998" t="s">
        <v>2948</v>
      </c>
      <c r="E1998" t="s">
        <v>2953</v>
      </c>
      <c r="F1998" t="s">
        <v>4838</v>
      </c>
      <c r="G1998" s="2">
        <v>45900</v>
      </c>
      <c r="H1998" s="2">
        <v>45909</v>
      </c>
      <c r="I1998" t="s">
        <v>5763</v>
      </c>
      <c r="J1998" t="s">
        <v>5769</v>
      </c>
      <c r="K1998">
        <v>213463.21</v>
      </c>
      <c r="L1998" t="s">
        <v>5773</v>
      </c>
      <c r="M1998">
        <v>9</v>
      </c>
    </row>
    <row r="1999" spans="1:13" x14ac:dyDescent="0.25">
      <c r="A1999">
        <v>1998</v>
      </c>
      <c r="B1999" t="s">
        <v>2010</v>
      </c>
      <c r="C1999">
        <v>58</v>
      </c>
      <c r="D1999" t="s">
        <v>2948</v>
      </c>
      <c r="E1999" t="s">
        <v>2953</v>
      </c>
      <c r="F1999" t="s">
        <v>4839</v>
      </c>
      <c r="G1999" s="2">
        <v>45635</v>
      </c>
      <c r="H1999" s="2">
        <v>45650</v>
      </c>
      <c r="I1999" t="s">
        <v>5759</v>
      </c>
      <c r="J1999" t="s">
        <v>5769</v>
      </c>
      <c r="K1999">
        <v>398913.2</v>
      </c>
      <c r="L1999" t="s">
        <v>5775</v>
      </c>
      <c r="M1999">
        <v>15</v>
      </c>
    </row>
    <row r="2000" spans="1:13" x14ac:dyDescent="0.25">
      <c r="A2000">
        <v>1999</v>
      </c>
      <c r="B2000" t="s">
        <v>2011</v>
      </c>
      <c r="C2000">
        <v>58</v>
      </c>
      <c r="D2000" t="s">
        <v>2948</v>
      </c>
      <c r="E2000" t="s">
        <v>2949</v>
      </c>
      <c r="F2000" t="s">
        <v>4840</v>
      </c>
      <c r="G2000" s="2">
        <v>45641</v>
      </c>
      <c r="H2000" s="2">
        <v>45654</v>
      </c>
      <c r="I2000" t="s">
        <v>5758</v>
      </c>
      <c r="J2000" t="s">
        <v>5769</v>
      </c>
      <c r="K2000">
        <v>372401.53</v>
      </c>
      <c r="L2000" t="s">
        <v>5775</v>
      </c>
      <c r="M2000">
        <v>13</v>
      </c>
    </row>
    <row r="2001" spans="1:13" x14ac:dyDescent="0.25">
      <c r="A2001">
        <v>2000</v>
      </c>
      <c r="B2001" t="s">
        <v>2012</v>
      </c>
      <c r="C2001">
        <v>21</v>
      </c>
      <c r="D2001" t="s">
        <v>2948</v>
      </c>
      <c r="E2001" t="s">
        <v>2953</v>
      </c>
      <c r="F2001" t="s">
        <v>4841</v>
      </c>
      <c r="G2001" s="2">
        <v>45626</v>
      </c>
      <c r="H2001" s="2">
        <v>45634</v>
      </c>
      <c r="I2001" t="s">
        <v>5764</v>
      </c>
      <c r="J2001" t="s">
        <v>5770</v>
      </c>
      <c r="K2001">
        <v>308608</v>
      </c>
      <c r="L2001" t="s">
        <v>5775</v>
      </c>
      <c r="M2001">
        <v>8</v>
      </c>
    </row>
    <row r="2002" spans="1:13" x14ac:dyDescent="0.25">
      <c r="A2002">
        <v>2001</v>
      </c>
      <c r="B2002" t="s">
        <v>2013</v>
      </c>
      <c r="C2002">
        <v>45</v>
      </c>
      <c r="D2002" t="s">
        <v>2947</v>
      </c>
      <c r="E2002" t="s">
        <v>2951</v>
      </c>
      <c r="F2002" t="s">
        <v>4630</v>
      </c>
      <c r="G2002" s="2">
        <v>45580</v>
      </c>
      <c r="H2002" s="2">
        <v>45582</v>
      </c>
      <c r="I2002" t="s">
        <v>5763</v>
      </c>
      <c r="J2002" t="s">
        <v>5770</v>
      </c>
      <c r="K2002">
        <v>390087.88</v>
      </c>
      <c r="L2002" t="s">
        <v>5773</v>
      </c>
      <c r="M2002">
        <v>2</v>
      </c>
    </row>
    <row r="2003" spans="1:13" x14ac:dyDescent="0.25">
      <c r="A2003">
        <v>2002</v>
      </c>
      <c r="B2003" t="s">
        <v>2014</v>
      </c>
      <c r="C2003">
        <v>45</v>
      </c>
      <c r="D2003" t="s">
        <v>2947</v>
      </c>
      <c r="E2003" t="s">
        <v>2952</v>
      </c>
      <c r="F2003" t="s">
        <v>4842</v>
      </c>
      <c r="G2003" s="2">
        <v>45734</v>
      </c>
      <c r="H2003" s="2">
        <v>45746</v>
      </c>
      <c r="I2003" t="s">
        <v>5762</v>
      </c>
      <c r="J2003" t="s">
        <v>5771</v>
      </c>
      <c r="K2003">
        <v>11935.95</v>
      </c>
      <c r="L2003" t="s">
        <v>5774</v>
      </c>
      <c r="M2003">
        <v>12</v>
      </c>
    </row>
    <row r="2004" spans="1:13" x14ac:dyDescent="0.25">
      <c r="A2004">
        <v>2003</v>
      </c>
      <c r="B2004" t="s">
        <v>2015</v>
      </c>
      <c r="C2004">
        <v>28</v>
      </c>
      <c r="D2004" t="s">
        <v>2948</v>
      </c>
      <c r="E2004" t="s">
        <v>2952</v>
      </c>
      <c r="F2004" t="s">
        <v>4843</v>
      </c>
      <c r="G2004" s="2">
        <v>45819</v>
      </c>
      <c r="H2004" s="2">
        <v>45827</v>
      </c>
      <c r="I2004" t="s">
        <v>5767</v>
      </c>
      <c r="J2004" t="s">
        <v>5769</v>
      </c>
      <c r="K2004">
        <v>456698.08</v>
      </c>
      <c r="L2004" t="s">
        <v>5774</v>
      </c>
      <c r="M2004">
        <v>8</v>
      </c>
    </row>
    <row r="2005" spans="1:13" x14ac:dyDescent="0.25">
      <c r="A2005">
        <v>2004</v>
      </c>
      <c r="B2005" t="s">
        <v>2016</v>
      </c>
      <c r="C2005">
        <v>60</v>
      </c>
      <c r="D2005" t="s">
        <v>2948</v>
      </c>
      <c r="E2005" t="s">
        <v>2954</v>
      </c>
      <c r="F2005" t="s">
        <v>4844</v>
      </c>
      <c r="G2005" s="2">
        <v>45854</v>
      </c>
      <c r="H2005" s="2">
        <v>45869</v>
      </c>
      <c r="I2005" t="s">
        <v>5766</v>
      </c>
      <c r="J2005" t="s">
        <v>5769</v>
      </c>
      <c r="K2005">
        <v>413094.42</v>
      </c>
      <c r="L2005" t="s">
        <v>5774</v>
      </c>
      <c r="M2005">
        <v>15</v>
      </c>
    </row>
    <row r="2006" spans="1:13" x14ac:dyDescent="0.25">
      <c r="A2006">
        <v>2005</v>
      </c>
      <c r="B2006" t="s">
        <v>2017</v>
      </c>
      <c r="C2006">
        <v>81</v>
      </c>
      <c r="D2006" t="s">
        <v>2947</v>
      </c>
      <c r="E2006" t="s">
        <v>2955</v>
      </c>
      <c r="F2006" t="s">
        <v>4845</v>
      </c>
      <c r="G2006" s="2">
        <v>45592</v>
      </c>
      <c r="H2006" s="2">
        <v>45599</v>
      </c>
      <c r="I2006" t="s">
        <v>5763</v>
      </c>
      <c r="J2006" t="s">
        <v>5768</v>
      </c>
      <c r="K2006">
        <v>376853.93</v>
      </c>
      <c r="L2006" t="s">
        <v>5774</v>
      </c>
      <c r="M2006">
        <v>7</v>
      </c>
    </row>
    <row r="2007" spans="1:13" x14ac:dyDescent="0.25">
      <c r="A2007">
        <v>2006</v>
      </c>
      <c r="B2007" t="s">
        <v>2018</v>
      </c>
      <c r="C2007">
        <v>74</v>
      </c>
      <c r="D2007" t="s">
        <v>2948</v>
      </c>
      <c r="E2007" t="s">
        <v>2951</v>
      </c>
      <c r="F2007" t="s">
        <v>4846</v>
      </c>
      <c r="G2007" s="2">
        <v>45698</v>
      </c>
      <c r="H2007" s="2">
        <v>45701</v>
      </c>
      <c r="I2007" t="s">
        <v>5766</v>
      </c>
      <c r="J2007" t="s">
        <v>5768</v>
      </c>
      <c r="K2007">
        <v>87751.46</v>
      </c>
      <c r="L2007" t="s">
        <v>5774</v>
      </c>
      <c r="M2007">
        <v>3</v>
      </c>
    </row>
    <row r="2008" spans="1:13" x14ac:dyDescent="0.25">
      <c r="A2008">
        <v>2007</v>
      </c>
      <c r="B2008" t="s">
        <v>2019</v>
      </c>
      <c r="C2008">
        <v>12</v>
      </c>
      <c r="D2008" t="s">
        <v>2947</v>
      </c>
      <c r="E2008" t="s">
        <v>2951</v>
      </c>
      <c r="F2008" t="s">
        <v>4847</v>
      </c>
      <c r="G2008" s="2">
        <v>45739</v>
      </c>
      <c r="H2008" s="2">
        <v>45742</v>
      </c>
      <c r="I2008" t="s">
        <v>5762</v>
      </c>
      <c r="J2008" t="s">
        <v>5769</v>
      </c>
      <c r="K2008">
        <v>28166.62</v>
      </c>
      <c r="L2008" t="s">
        <v>5773</v>
      </c>
      <c r="M2008">
        <v>3</v>
      </c>
    </row>
    <row r="2009" spans="1:13" x14ac:dyDescent="0.25">
      <c r="A2009">
        <v>2008</v>
      </c>
      <c r="B2009" t="s">
        <v>2020</v>
      </c>
      <c r="C2009">
        <v>87</v>
      </c>
      <c r="D2009" t="s">
        <v>2947</v>
      </c>
      <c r="E2009" t="s">
        <v>2949</v>
      </c>
      <c r="F2009" t="s">
        <v>4848</v>
      </c>
      <c r="G2009" s="2">
        <v>45826</v>
      </c>
      <c r="H2009" s="2">
        <v>45838</v>
      </c>
      <c r="I2009" t="s">
        <v>5763</v>
      </c>
      <c r="J2009" t="s">
        <v>5771</v>
      </c>
      <c r="K2009">
        <v>496903.47</v>
      </c>
      <c r="L2009" t="s">
        <v>5775</v>
      </c>
      <c r="M2009">
        <v>12</v>
      </c>
    </row>
    <row r="2010" spans="1:13" x14ac:dyDescent="0.25">
      <c r="A2010">
        <v>2009</v>
      </c>
      <c r="B2010" t="s">
        <v>2021</v>
      </c>
      <c r="C2010">
        <v>5</v>
      </c>
      <c r="D2010" t="s">
        <v>2947</v>
      </c>
      <c r="E2010" t="s">
        <v>2952</v>
      </c>
      <c r="F2010" t="s">
        <v>4849</v>
      </c>
      <c r="G2010" s="2">
        <v>45714</v>
      </c>
      <c r="H2010" s="2">
        <v>45728</v>
      </c>
      <c r="I2010" t="s">
        <v>5767</v>
      </c>
      <c r="J2010" t="s">
        <v>5772</v>
      </c>
      <c r="K2010">
        <v>308047.92</v>
      </c>
      <c r="L2010" t="s">
        <v>5773</v>
      </c>
      <c r="M2010">
        <v>14</v>
      </c>
    </row>
    <row r="2011" spans="1:13" x14ac:dyDescent="0.25">
      <c r="A2011">
        <v>2010</v>
      </c>
      <c r="B2011" t="s">
        <v>2022</v>
      </c>
      <c r="C2011">
        <v>9</v>
      </c>
      <c r="D2011" t="s">
        <v>2947</v>
      </c>
      <c r="E2011" t="s">
        <v>2953</v>
      </c>
      <c r="F2011" t="s">
        <v>3888</v>
      </c>
      <c r="G2011" s="2">
        <v>45692</v>
      </c>
      <c r="H2011" s="2">
        <v>45700</v>
      </c>
      <c r="I2011" t="s">
        <v>5764</v>
      </c>
      <c r="J2011" t="s">
        <v>5771</v>
      </c>
      <c r="K2011">
        <v>157052.63</v>
      </c>
      <c r="L2011" t="s">
        <v>5774</v>
      </c>
      <c r="M2011">
        <v>8</v>
      </c>
    </row>
    <row r="2012" spans="1:13" x14ac:dyDescent="0.25">
      <c r="A2012">
        <v>2011</v>
      </c>
      <c r="B2012" t="s">
        <v>2023</v>
      </c>
      <c r="C2012">
        <v>64</v>
      </c>
      <c r="D2012" t="s">
        <v>2948</v>
      </c>
      <c r="E2012" t="s">
        <v>2949</v>
      </c>
      <c r="F2012" t="s">
        <v>3767</v>
      </c>
      <c r="G2012" s="2">
        <v>45635</v>
      </c>
      <c r="H2012" s="2">
        <v>45646</v>
      </c>
      <c r="I2012" t="s">
        <v>5759</v>
      </c>
      <c r="J2012" t="s">
        <v>2949</v>
      </c>
      <c r="K2012">
        <v>213512.5</v>
      </c>
      <c r="L2012" t="s">
        <v>5775</v>
      </c>
      <c r="M2012">
        <v>11</v>
      </c>
    </row>
    <row r="2013" spans="1:13" x14ac:dyDescent="0.25">
      <c r="A2013">
        <v>2012</v>
      </c>
      <c r="B2013" t="s">
        <v>2024</v>
      </c>
      <c r="C2013">
        <v>14</v>
      </c>
      <c r="D2013" t="s">
        <v>2947</v>
      </c>
      <c r="E2013" t="s">
        <v>2955</v>
      </c>
      <c r="F2013" t="s">
        <v>4850</v>
      </c>
      <c r="G2013" s="2">
        <v>45733</v>
      </c>
      <c r="H2013" s="2">
        <v>45742</v>
      </c>
      <c r="I2013" t="s">
        <v>5760</v>
      </c>
      <c r="J2013" t="s">
        <v>5770</v>
      </c>
      <c r="K2013">
        <v>492676.22</v>
      </c>
      <c r="L2013" t="s">
        <v>5774</v>
      </c>
      <c r="M2013">
        <v>9</v>
      </c>
    </row>
    <row r="2014" spans="1:13" x14ac:dyDescent="0.25">
      <c r="A2014">
        <v>2013</v>
      </c>
      <c r="B2014" t="s">
        <v>2025</v>
      </c>
      <c r="C2014">
        <v>19</v>
      </c>
      <c r="D2014" t="s">
        <v>2947</v>
      </c>
      <c r="E2014" t="s">
        <v>2951</v>
      </c>
      <c r="F2014" t="s">
        <v>4851</v>
      </c>
      <c r="G2014" s="2">
        <v>45831</v>
      </c>
      <c r="H2014" s="2">
        <v>45832</v>
      </c>
      <c r="I2014" t="s">
        <v>5759</v>
      </c>
      <c r="J2014" t="s">
        <v>5771</v>
      </c>
      <c r="K2014">
        <v>495130</v>
      </c>
      <c r="L2014" t="s">
        <v>5775</v>
      </c>
      <c r="M2014">
        <v>1</v>
      </c>
    </row>
    <row r="2015" spans="1:13" x14ac:dyDescent="0.25">
      <c r="A2015">
        <v>2014</v>
      </c>
      <c r="B2015" t="s">
        <v>2026</v>
      </c>
      <c r="C2015">
        <v>32</v>
      </c>
      <c r="D2015" t="s">
        <v>2947</v>
      </c>
      <c r="E2015" t="s">
        <v>2954</v>
      </c>
      <c r="F2015" t="s">
        <v>4852</v>
      </c>
      <c r="G2015" s="2">
        <v>45553</v>
      </c>
      <c r="H2015" s="2">
        <v>45555</v>
      </c>
      <c r="I2015" t="s">
        <v>5760</v>
      </c>
      <c r="J2015" t="s">
        <v>5772</v>
      </c>
      <c r="K2015">
        <v>252875.03</v>
      </c>
      <c r="L2015" t="s">
        <v>5775</v>
      </c>
      <c r="M2015">
        <v>2</v>
      </c>
    </row>
    <row r="2016" spans="1:13" x14ac:dyDescent="0.25">
      <c r="A2016">
        <v>2015</v>
      </c>
      <c r="B2016" t="s">
        <v>2027</v>
      </c>
      <c r="C2016">
        <v>2</v>
      </c>
      <c r="D2016" t="s">
        <v>2947</v>
      </c>
      <c r="E2016" t="s">
        <v>2953</v>
      </c>
      <c r="F2016" t="s">
        <v>1659</v>
      </c>
      <c r="G2016" s="2">
        <v>45574</v>
      </c>
      <c r="H2016" s="2">
        <v>45579</v>
      </c>
      <c r="I2016" t="s">
        <v>5759</v>
      </c>
      <c r="J2016" t="s">
        <v>5769</v>
      </c>
      <c r="K2016">
        <v>87261.2</v>
      </c>
      <c r="L2016" t="s">
        <v>5775</v>
      </c>
      <c r="M2016">
        <v>5</v>
      </c>
    </row>
    <row r="2017" spans="1:13" x14ac:dyDescent="0.25">
      <c r="A2017">
        <v>2016</v>
      </c>
      <c r="B2017" t="s">
        <v>2028</v>
      </c>
      <c r="C2017">
        <v>34</v>
      </c>
      <c r="D2017" t="s">
        <v>2948</v>
      </c>
      <c r="E2017" t="s">
        <v>2949</v>
      </c>
      <c r="F2017" t="s">
        <v>4853</v>
      </c>
      <c r="G2017" s="2">
        <v>45709</v>
      </c>
      <c r="H2017" s="2">
        <v>45713</v>
      </c>
      <c r="I2017" t="s">
        <v>5765</v>
      </c>
      <c r="J2017" t="s">
        <v>5769</v>
      </c>
      <c r="K2017">
        <v>78381.87</v>
      </c>
      <c r="L2017" t="s">
        <v>5775</v>
      </c>
      <c r="M2017">
        <v>4</v>
      </c>
    </row>
    <row r="2018" spans="1:13" x14ac:dyDescent="0.25">
      <c r="A2018">
        <v>2017</v>
      </c>
      <c r="B2018" t="s">
        <v>2029</v>
      </c>
      <c r="C2018">
        <v>69</v>
      </c>
      <c r="D2018" t="s">
        <v>2948</v>
      </c>
      <c r="E2018" t="s">
        <v>2951</v>
      </c>
      <c r="F2018" t="s">
        <v>4854</v>
      </c>
      <c r="G2018" s="2">
        <v>45667</v>
      </c>
      <c r="H2018" s="2">
        <v>45679</v>
      </c>
      <c r="I2018" t="s">
        <v>5761</v>
      </c>
      <c r="J2018" t="s">
        <v>5770</v>
      </c>
      <c r="K2018">
        <v>271818.28000000003</v>
      </c>
      <c r="L2018" t="s">
        <v>5773</v>
      </c>
      <c r="M2018">
        <v>12</v>
      </c>
    </row>
    <row r="2019" spans="1:13" x14ac:dyDescent="0.25">
      <c r="A2019">
        <v>2018</v>
      </c>
      <c r="B2019" t="s">
        <v>2030</v>
      </c>
      <c r="C2019">
        <v>33</v>
      </c>
      <c r="D2019" t="s">
        <v>2947</v>
      </c>
      <c r="E2019" t="s">
        <v>2950</v>
      </c>
      <c r="F2019" t="s">
        <v>4855</v>
      </c>
      <c r="G2019" s="2">
        <v>45843</v>
      </c>
      <c r="H2019" s="2">
        <v>45858</v>
      </c>
      <c r="I2019" t="s">
        <v>5760</v>
      </c>
      <c r="J2019" t="s">
        <v>5768</v>
      </c>
      <c r="K2019">
        <v>382238.73</v>
      </c>
      <c r="L2019" t="s">
        <v>5775</v>
      </c>
      <c r="M2019">
        <v>15</v>
      </c>
    </row>
    <row r="2020" spans="1:13" x14ac:dyDescent="0.25">
      <c r="A2020">
        <v>2019</v>
      </c>
      <c r="B2020" t="s">
        <v>2031</v>
      </c>
      <c r="C2020">
        <v>22</v>
      </c>
      <c r="D2020" t="s">
        <v>2947</v>
      </c>
      <c r="E2020" t="s">
        <v>2949</v>
      </c>
      <c r="F2020" t="s">
        <v>4856</v>
      </c>
      <c r="G2020" s="2">
        <v>45675</v>
      </c>
      <c r="H2020" s="2">
        <v>45676</v>
      </c>
      <c r="I2020" t="s">
        <v>5767</v>
      </c>
      <c r="J2020" t="s">
        <v>5772</v>
      </c>
      <c r="K2020">
        <v>456940.86</v>
      </c>
      <c r="L2020" t="s">
        <v>5775</v>
      </c>
      <c r="M2020">
        <v>1</v>
      </c>
    </row>
    <row r="2021" spans="1:13" x14ac:dyDescent="0.25">
      <c r="A2021">
        <v>2020</v>
      </c>
      <c r="B2021" t="s">
        <v>2032</v>
      </c>
      <c r="C2021">
        <v>18</v>
      </c>
      <c r="D2021" t="s">
        <v>2948</v>
      </c>
      <c r="E2021" t="s">
        <v>2950</v>
      </c>
      <c r="F2021" t="s">
        <v>4857</v>
      </c>
      <c r="G2021" s="2">
        <v>45620</v>
      </c>
      <c r="H2021" s="2">
        <v>45630</v>
      </c>
      <c r="I2021" t="s">
        <v>5767</v>
      </c>
      <c r="J2021" t="s">
        <v>5768</v>
      </c>
      <c r="K2021">
        <v>259024.58</v>
      </c>
      <c r="L2021" t="s">
        <v>5773</v>
      </c>
      <c r="M2021">
        <v>10</v>
      </c>
    </row>
    <row r="2022" spans="1:13" x14ac:dyDescent="0.25">
      <c r="A2022">
        <v>2021</v>
      </c>
      <c r="B2022" t="s">
        <v>2033</v>
      </c>
      <c r="C2022">
        <v>59</v>
      </c>
      <c r="D2022" t="s">
        <v>2948</v>
      </c>
      <c r="E2022" t="s">
        <v>2953</v>
      </c>
      <c r="F2022" t="s">
        <v>4858</v>
      </c>
      <c r="G2022" s="2">
        <v>45853</v>
      </c>
      <c r="H2022" s="2">
        <v>45866</v>
      </c>
      <c r="I2022" t="s">
        <v>5765</v>
      </c>
      <c r="J2022" t="s">
        <v>5771</v>
      </c>
      <c r="K2022">
        <v>187524.68</v>
      </c>
      <c r="L2022" t="s">
        <v>5775</v>
      </c>
      <c r="M2022">
        <v>13</v>
      </c>
    </row>
    <row r="2023" spans="1:13" x14ac:dyDescent="0.25">
      <c r="A2023">
        <v>2022</v>
      </c>
      <c r="B2023" t="s">
        <v>2034</v>
      </c>
      <c r="C2023">
        <v>62</v>
      </c>
      <c r="D2023" t="s">
        <v>2947</v>
      </c>
      <c r="E2023" t="s">
        <v>2954</v>
      </c>
      <c r="F2023" t="s">
        <v>2554</v>
      </c>
      <c r="G2023" s="2">
        <v>45763</v>
      </c>
      <c r="H2023" s="2">
        <v>45772</v>
      </c>
      <c r="I2023" t="s">
        <v>5764</v>
      </c>
      <c r="J2023" t="s">
        <v>5772</v>
      </c>
      <c r="K2023">
        <v>368073.81</v>
      </c>
      <c r="L2023" t="s">
        <v>5775</v>
      </c>
      <c r="M2023">
        <v>9</v>
      </c>
    </row>
    <row r="2024" spans="1:13" x14ac:dyDescent="0.25">
      <c r="A2024">
        <v>2023</v>
      </c>
      <c r="B2024" t="s">
        <v>2035</v>
      </c>
      <c r="C2024">
        <v>28</v>
      </c>
      <c r="D2024" t="s">
        <v>2948</v>
      </c>
      <c r="E2024" t="s">
        <v>2955</v>
      </c>
      <c r="F2024" t="s">
        <v>3985</v>
      </c>
      <c r="G2024" s="2">
        <v>45831</v>
      </c>
      <c r="H2024" s="2">
        <v>45832</v>
      </c>
      <c r="I2024" t="s">
        <v>5766</v>
      </c>
      <c r="J2024" t="s">
        <v>5771</v>
      </c>
      <c r="K2024">
        <v>459627.39</v>
      </c>
      <c r="L2024" t="s">
        <v>5775</v>
      </c>
      <c r="M2024">
        <v>1</v>
      </c>
    </row>
    <row r="2025" spans="1:13" x14ac:dyDescent="0.25">
      <c r="A2025">
        <v>2024</v>
      </c>
      <c r="B2025" t="s">
        <v>2036</v>
      </c>
      <c r="C2025">
        <v>54</v>
      </c>
      <c r="D2025" t="s">
        <v>2947</v>
      </c>
      <c r="E2025" t="s">
        <v>2953</v>
      </c>
      <c r="F2025" t="s">
        <v>4859</v>
      </c>
      <c r="G2025" s="2">
        <v>45846</v>
      </c>
      <c r="H2025" s="2">
        <v>45857</v>
      </c>
      <c r="I2025" t="s">
        <v>5765</v>
      </c>
      <c r="J2025" t="s">
        <v>2949</v>
      </c>
      <c r="K2025">
        <v>345474.1</v>
      </c>
      <c r="L2025" t="s">
        <v>5774</v>
      </c>
      <c r="M2025">
        <v>11</v>
      </c>
    </row>
    <row r="2026" spans="1:13" x14ac:dyDescent="0.25">
      <c r="A2026">
        <v>2025</v>
      </c>
      <c r="B2026" t="s">
        <v>2037</v>
      </c>
      <c r="C2026">
        <v>79</v>
      </c>
      <c r="D2026" t="s">
        <v>2948</v>
      </c>
      <c r="E2026" t="s">
        <v>2953</v>
      </c>
      <c r="F2026" t="s">
        <v>4860</v>
      </c>
      <c r="G2026" s="2">
        <v>45849</v>
      </c>
      <c r="H2026" s="2">
        <v>45861</v>
      </c>
      <c r="I2026" t="s">
        <v>5766</v>
      </c>
      <c r="J2026" t="s">
        <v>5768</v>
      </c>
      <c r="K2026">
        <v>334812.71000000002</v>
      </c>
      <c r="L2026" t="s">
        <v>5774</v>
      </c>
      <c r="M2026">
        <v>12</v>
      </c>
    </row>
    <row r="2027" spans="1:13" x14ac:dyDescent="0.25">
      <c r="A2027">
        <v>2026</v>
      </c>
      <c r="B2027" t="s">
        <v>2038</v>
      </c>
      <c r="C2027">
        <v>88</v>
      </c>
      <c r="D2027" t="s">
        <v>2947</v>
      </c>
      <c r="E2027" t="s">
        <v>2953</v>
      </c>
      <c r="F2027" t="s">
        <v>4861</v>
      </c>
      <c r="G2027" s="2">
        <v>45837</v>
      </c>
      <c r="H2027" s="2">
        <v>45847</v>
      </c>
      <c r="I2027" t="s">
        <v>5765</v>
      </c>
      <c r="J2027" t="s">
        <v>5770</v>
      </c>
      <c r="K2027">
        <v>409928.09</v>
      </c>
      <c r="L2027" t="s">
        <v>5773</v>
      </c>
      <c r="M2027">
        <v>10</v>
      </c>
    </row>
    <row r="2028" spans="1:13" x14ac:dyDescent="0.25">
      <c r="A2028">
        <v>2027</v>
      </c>
      <c r="B2028" t="s">
        <v>2039</v>
      </c>
      <c r="C2028">
        <v>64</v>
      </c>
      <c r="D2028" t="s">
        <v>2948</v>
      </c>
      <c r="E2028" t="s">
        <v>2955</v>
      </c>
      <c r="F2028" t="s">
        <v>4862</v>
      </c>
      <c r="G2028" s="2">
        <v>45581</v>
      </c>
      <c r="H2028" s="2">
        <v>45593</v>
      </c>
      <c r="I2028" t="s">
        <v>5767</v>
      </c>
      <c r="J2028" t="s">
        <v>5768</v>
      </c>
      <c r="K2028">
        <v>333515.71999999997</v>
      </c>
      <c r="L2028" t="s">
        <v>5774</v>
      </c>
      <c r="M2028">
        <v>12</v>
      </c>
    </row>
    <row r="2029" spans="1:13" x14ac:dyDescent="0.25">
      <c r="A2029">
        <v>2028</v>
      </c>
      <c r="B2029" t="s">
        <v>2040</v>
      </c>
      <c r="C2029">
        <v>83</v>
      </c>
      <c r="D2029" t="s">
        <v>2947</v>
      </c>
      <c r="E2029" t="s">
        <v>2949</v>
      </c>
      <c r="F2029" t="s">
        <v>4863</v>
      </c>
      <c r="G2029" s="2">
        <v>45591</v>
      </c>
      <c r="H2029" s="2">
        <v>45600</v>
      </c>
      <c r="I2029" t="s">
        <v>5763</v>
      </c>
      <c r="J2029" t="s">
        <v>5770</v>
      </c>
      <c r="K2029">
        <v>352073.18</v>
      </c>
      <c r="L2029" t="s">
        <v>5775</v>
      </c>
      <c r="M2029">
        <v>9</v>
      </c>
    </row>
    <row r="2030" spans="1:13" x14ac:dyDescent="0.25">
      <c r="A2030">
        <v>2029</v>
      </c>
      <c r="B2030" t="s">
        <v>2041</v>
      </c>
      <c r="C2030">
        <v>32</v>
      </c>
      <c r="D2030" t="s">
        <v>2947</v>
      </c>
      <c r="E2030" t="s">
        <v>2952</v>
      </c>
      <c r="F2030" t="s">
        <v>4864</v>
      </c>
      <c r="G2030" s="2">
        <v>45555</v>
      </c>
      <c r="H2030" s="2">
        <v>45560</v>
      </c>
      <c r="I2030" t="s">
        <v>5762</v>
      </c>
      <c r="J2030" t="s">
        <v>5769</v>
      </c>
      <c r="K2030">
        <v>20356.97</v>
      </c>
      <c r="L2030" t="s">
        <v>5774</v>
      </c>
      <c r="M2030">
        <v>5</v>
      </c>
    </row>
    <row r="2031" spans="1:13" x14ac:dyDescent="0.25">
      <c r="A2031">
        <v>2030</v>
      </c>
      <c r="B2031" t="s">
        <v>2042</v>
      </c>
      <c r="C2031">
        <v>42</v>
      </c>
      <c r="D2031" t="s">
        <v>2948</v>
      </c>
      <c r="E2031" t="s">
        <v>2953</v>
      </c>
      <c r="F2031" t="s">
        <v>2712</v>
      </c>
      <c r="G2031" s="2">
        <v>45768</v>
      </c>
      <c r="H2031" s="2">
        <v>45774</v>
      </c>
      <c r="I2031" t="s">
        <v>5763</v>
      </c>
      <c r="J2031" t="s">
        <v>5772</v>
      </c>
      <c r="K2031">
        <v>440592.88</v>
      </c>
      <c r="L2031" t="s">
        <v>5773</v>
      </c>
      <c r="M2031">
        <v>6</v>
      </c>
    </row>
    <row r="2032" spans="1:13" x14ac:dyDescent="0.25">
      <c r="A2032">
        <v>2031</v>
      </c>
      <c r="B2032" t="s">
        <v>2043</v>
      </c>
      <c r="C2032">
        <v>48</v>
      </c>
      <c r="D2032" t="s">
        <v>2948</v>
      </c>
      <c r="E2032" t="s">
        <v>2952</v>
      </c>
      <c r="F2032" t="s">
        <v>4865</v>
      </c>
      <c r="G2032" s="2">
        <v>45557</v>
      </c>
      <c r="H2032" s="2">
        <v>45570</v>
      </c>
      <c r="I2032" t="s">
        <v>5767</v>
      </c>
      <c r="J2032" t="s">
        <v>5770</v>
      </c>
      <c r="K2032">
        <v>115221.98</v>
      </c>
      <c r="L2032" t="s">
        <v>5774</v>
      </c>
      <c r="M2032">
        <v>13</v>
      </c>
    </row>
    <row r="2033" spans="1:13" x14ac:dyDescent="0.25">
      <c r="A2033">
        <v>2032</v>
      </c>
      <c r="B2033" t="s">
        <v>2044</v>
      </c>
      <c r="C2033">
        <v>51</v>
      </c>
      <c r="D2033" t="s">
        <v>2947</v>
      </c>
      <c r="E2033" t="s">
        <v>2951</v>
      </c>
      <c r="F2033" t="s">
        <v>4866</v>
      </c>
      <c r="G2033" s="2">
        <v>45622</v>
      </c>
      <c r="H2033" s="2">
        <v>45636</v>
      </c>
      <c r="I2033" t="s">
        <v>5764</v>
      </c>
      <c r="J2033" t="s">
        <v>2949</v>
      </c>
      <c r="K2033">
        <v>158076.06</v>
      </c>
      <c r="L2033" t="s">
        <v>5773</v>
      </c>
      <c r="M2033">
        <v>14</v>
      </c>
    </row>
    <row r="2034" spans="1:13" x14ac:dyDescent="0.25">
      <c r="A2034">
        <v>2033</v>
      </c>
      <c r="B2034" t="s">
        <v>2045</v>
      </c>
      <c r="C2034">
        <v>71</v>
      </c>
      <c r="D2034" t="s">
        <v>2948</v>
      </c>
      <c r="E2034" t="s">
        <v>2950</v>
      </c>
      <c r="F2034" t="s">
        <v>4867</v>
      </c>
      <c r="G2034" s="2">
        <v>45596</v>
      </c>
      <c r="H2034" s="2">
        <v>45609</v>
      </c>
      <c r="I2034" t="s">
        <v>5762</v>
      </c>
      <c r="J2034" t="s">
        <v>5771</v>
      </c>
      <c r="K2034">
        <v>219843.06</v>
      </c>
      <c r="L2034" t="s">
        <v>5773</v>
      </c>
      <c r="M2034">
        <v>13</v>
      </c>
    </row>
    <row r="2035" spans="1:13" x14ac:dyDescent="0.25">
      <c r="A2035">
        <v>2034</v>
      </c>
      <c r="B2035" t="s">
        <v>2046</v>
      </c>
      <c r="C2035">
        <v>27</v>
      </c>
      <c r="D2035" t="s">
        <v>2947</v>
      </c>
      <c r="E2035" t="s">
        <v>2952</v>
      </c>
      <c r="F2035" t="s">
        <v>3764</v>
      </c>
      <c r="G2035" s="2">
        <v>45763</v>
      </c>
      <c r="H2035" s="2">
        <v>45774</v>
      </c>
      <c r="I2035" t="s">
        <v>5759</v>
      </c>
      <c r="J2035" t="s">
        <v>5770</v>
      </c>
      <c r="K2035">
        <v>33393.339999999997</v>
      </c>
      <c r="L2035" t="s">
        <v>5773</v>
      </c>
      <c r="M2035">
        <v>11</v>
      </c>
    </row>
    <row r="2036" spans="1:13" x14ac:dyDescent="0.25">
      <c r="A2036">
        <v>2035</v>
      </c>
      <c r="B2036" t="s">
        <v>2047</v>
      </c>
      <c r="C2036">
        <v>67</v>
      </c>
      <c r="D2036" t="s">
        <v>2948</v>
      </c>
      <c r="E2036" t="s">
        <v>2949</v>
      </c>
      <c r="F2036" t="s">
        <v>4868</v>
      </c>
      <c r="G2036" s="2">
        <v>45841</v>
      </c>
      <c r="H2036" s="2">
        <v>45850</v>
      </c>
      <c r="I2036" t="s">
        <v>5759</v>
      </c>
      <c r="J2036" t="s">
        <v>5770</v>
      </c>
      <c r="K2036">
        <v>13936.52</v>
      </c>
      <c r="L2036" t="s">
        <v>5775</v>
      </c>
      <c r="M2036">
        <v>9</v>
      </c>
    </row>
    <row r="2037" spans="1:13" x14ac:dyDescent="0.25">
      <c r="A2037">
        <v>2036</v>
      </c>
      <c r="B2037" t="s">
        <v>2048</v>
      </c>
      <c r="C2037">
        <v>17</v>
      </c>
      <c r="D2037" t="s">
        <v>2947</v>
      </c>
      <c r="E2037" t="s">
        <v>2955</v>
      </c>
      <c r="F2037" t="s">
        <v>4869</v>
      </c>
      <c r="G2037" s="2">
        <v>45750</v>
      </c>
      <c r="H2037" s="2">
        <v>45760</v>
      </c>
      <c r="I2037" t="s">
        <v>5759</v>
      </c>
      <c r="J2037" t="s">
        <v>2949</v>
      </c>
      <c r="K2037">
        <v>373064.37</v>
      </c>
      <c r="L2037" t="s">
        <v>5774</v>
      </c>
      <c r="M2037">
        <v>10</v>
      </c>
    </row>
    <row r="2038" spans="1:13" x14ac:dyDescent="0.25">
      <c r="A2038">
        <v>2037</v>
      </c>
      <c r="B2038" t="s">
        <v>2049</v>
      </c>
      <c r="C2038">
        <v>59</v>
      </c>
      <c r="D2038" t="s">
        <v>2948</v>
      </c>
      <c r="E2038" t="s">
        <v>2955</v>
      </c>
      <c r="F2038" t="s">
        <v>4870</v>
      </c>
      <c r="G2038" s="2">
        <v>45769</v>
      </c>
      <c r="H2038" s="2">
        <v>45783</v>
      </c>
      <c r="I2038" t="s">
        <v>5759</v>
      </c>
      <c r="J2038" t="s">
        <v>5770</v>
      </c>
      <c r="K2038">
        <v>209578.35</v>
      </c>
      <c r="L2038" t="s">
        <v>5774</v>
      </c>
      <c r="M2038">
        <v>14</v>
      </c>
    </row>
    <row r="2039" spans="1:13" x14ac:dyDescent="0.25">
      <c r="A2039">
        <v>2038</v>
      </c>
      <c r="B2039" t="s">
        <v>2050</v>
      </c>
      <c r="C2039">
        <v>66</v>
      </c>
      <c r="D2039" t="s">
        <v>2947</v>
      </c>
      <c r="E2039" t="s">
        <v>2951</v>
      </c>
      <c r="F2039" t="s">
        <v>4871</v>
      </c>
      <c r="G2039" s="2">
        <v>45749</v>
      </c>
      <c r="H2039" s="2">
        <v>45755</v>
      </c>
      <c r="I2039" t="s">
        <v>5764</v>
      </c>
      <c r="J2039" t="s">
        <v>5770</v>
      </c>
      <c r="K2039">
        <v>213548.16</v>
      </c>
      <c r="L2039" t="s">
        <v>5775</v>
      </c>
      <c r="M2039">
        <v>6</v>
      </c>
    </row>
    <row r="2040" spans="1:13" x14ac:dyDescent="0.25">
      <c r="A2040">
        <v>2039</v>
      </c>
      <c r="B2040" t="s">
        <v>2051</v>
      </c>
      <c r="C2040">
        <v>30</v>
      </c>
      <c r="D2040" t="s">
        <v>2948</v>
      </c>
      <c r="E2040" t="s">
        <v>2953</v>
      </c>
      <c r="F2040" t="s">
        <v>4872</v>
      </c>
      <c r="G2040" s="2">
        <v>45877</v>
      </c>
      <c r="H2040" s="2">
        <v>45884</v>
      </c>
      <c r="I2040" t="s">
        <v>5761</v>
      </c>
      <c r="J2040" t="s">
        <v>5769</v>
      </c>
      <c r="K2040">
        <v>442714.28</v>
      </c>
      <c r="L2040" t="s">
        <v>5775</v>
      </c>
      <c r="M2040">
        <v>7</v>
      </c>
    </row>
    <row r="2041" spans="1:13" x14ac:dyDescent="0.25">
      <c r="A2041">
        <v>2040</v>
      </c>
      <c r="B2041" t="s">
        <v>2052</v>
      </c>
      <c r="C2041">
        <v>57</v>
      </c>
      <c r="D2041" t="s">
        <v>2948</v>
      </c>
      <c r="E2041" t="s">
        <v>2949</v>
      </c>
      <c r="F2041" t="s">
        <v>4873</v>
      </c>
      <c r="G2041" s="2">
        <v>45884</v>
      </c>
      <c r="H2041" s="2">
        <v>45891</v>
      </c>
      <c r="I2041" t="s">
        <v>5765</v>
      </c>
      <c r="J2041" t="s">
        <v>5770</v>
      </c>
      <c r="K2041">
        <v>156584.03</v>
      </c>
      <c r="L2041" t="s">
        <v>5774</v>
      </c>
      <c r="M2041">
        <v>7</v>
      </c>
    </row>
    <row r="2042" spans="1:13" x14ac:dyDescent="0.25">
      <c r="A2042">
        <v>2041</v>
      </c>
      <c r="B2042" t="s">
        <v>2053</v>
      </c>
      <c r="C2042">
        <v>62</v>
      </c>
      <c r="D2042" t="s">
        <v>2947</v>
      </c>
      <c r="E2042" t="s">
        <v>2950</v>
      </c>
      <c r="F2042" t="s">
        <v>4874</v>
      </c>
      <c r="G2042" s="2">
        <v>45875</v>
      </c>
      <c r="H2042" s="2">
        <v>45888</v>
      </c>
      <c r="I2042" t="s">
        <v>5762</v>
      </c>
      <c r="J2042" t="s">
        <v>5772</v>
      </c>
      <c r="K2042">
        <v>432839.7</v>
      </c>
      <c r="L2042" t="s">
        <v>5775</v>
      </c>
      <c r="M2042">
        <v>13</v>
      </c>
    </row>
    <row r="2043" spans="1:13" x14ac:dyDescent="0.25">
      <c r="A2043">
        <v>2042</v>
      </c>
      <c r="B2043" t="s">
        <v>2054</v>
      </c>
      <c r="C2043">
        <v>40</v>
      </c>
      <c r="D2043" t="s">
        <v>2947</v>
      </c>
      <c r="E2043" t="s">
        <v>2953</v>
      </c>
      <c r="F2043" t="s">
        <v>4875</v>
      </c>
      <c r="G2043" s="2">
        <v>45636</v>
      </c>
      <c r="H2043" s="2">
        <v>45646</v>
      </c>
      <c r="I2043" t="s">
        <v>5758</v>
      </c>
      <c r="J2043" t="s">
        <v>5768</v>
      </c>
      <c r="K2043">
        <v>132954.35999999999</v>
      </c>
      <c r="L2043" t="s">
        <v>5775</v>
      </c>
      <c r="M2043">
        <v>10</v>
      </c>
    </row>
    <row r="2044" spans="1:13" x14ac:dyDescent="0.25">
      <c r="A2044">
        <v>2043</v>
      </c>
      <c r="B2044" t="s">
        <v>2055</v>
      </c>
      <c r="C2044">
        <v>66</v>
      </c>
      <c r="D2044" t="s">
        <v>2947</v>
      </c>
      <c r="E2044" t="s">
        <v>2949</v>
      </c>
      <c r="F2044" t="s">
        <v>4876</v>
      </c>
      <c r="G2044" s="2">
        <v>45847</v>
      </c>
      <c r="H2044" s="2">
        <v>45856</v>
      </c>
      <c r="I2044" t="s">
        <v>5766</v>
      </c>
      <c r="J2044" t="s">
        <v>5770</v>
      </c>
      <c r="K2044">
        <v>33658.699999999997</v>
      </c>
      <c r="L2044" t="s">
        <v>5775</v>
      </c>
      <c r="M2044">
        <v>9</v>
      </c>
    </row>
    <row r="2045" spans="1:13" x14ac:dyDescent="0.25">
      <c r="A2045">
        <v>2044</v>
      </c>
      <c r="B2045" t="s">
        <v>2056</v>
      </c>
      <c r="C2045">
        <v>65</v>
      </c>
      <c r="D2045" t="s">
        <v>2948</v>
      </c>
      <c r="E2045" t="s">
        <v>2949</v>
      </c>
      <c r="F2045" t="s">
        <v>4877</v>
      </c>
      <c r="G2045" s="2">
        <v>45601</v>
      </c>
      <c r="H2045" s="2">
        <v>45602</v>
      </c>
      <c r="I2045" t="s">
        <v>5759</v>
      </c>
      <c r="J2045" t="s">
        <v>5768</v>
      </c>
      <c r="K2045">
        <v>26680.97</v>
      </c>
      <c r="L2045" t="s">
        <v>5773</v>
      </c>
      <c r="M2045">
        <v>1</v>
      </c>
    </row>
    <row r="2046" spans="1:13" x14ac:dyDescent="0.25">
      <c r="A2046">
        <v>2045</v>
      </c>
      <c r="B2046" t="s">
        <v>2057</v>
      </c>
      <c r="C2046">
        <v>76</v>
      </c>
      <c r="D2046" t="s">
        <v>2948</v>
      </c>
      <c r="E2046" t="s">
        <v>2953</v>
      </c>
      <c r="F2046" t="s">
        <v>4878</v>
      </c>
      <c r="G2046" s="2">
        <v>45731</v>
      </c>
      <c r="H2046" s="2">
        <v>45740</v>
      </c>
      <c r="I2046" t="s">
        <v>5761</v>
      </c>
      <c r="J2046" t="s">
        <v>2949</v>
      </c>
      <c r="K2046">
        <v>236988.65</v>
      </c>
      <c r="L2046" t="s">
        <v>5775</v>
      </c>
      <c r="M2046">
        <v>9</v>
      </c>
    </row>
    <row r="2047" spans="1:13" x14ac:dyDescent="0.25">
      <c r="A2047">
        <v>2046</v>
      </c>
      <c r="B2047" t="s">
        <v>2058</v>
      </c>
      <c r="C2047">
        <v>15</v>
      </c>
      <c r="D2047" t="s">
        <v>2947</v>
      </c>
      <c r="E2047" t="s">
        <v>2955</v>
      </c>
      <c r="F2047" t="s">
        <v>4879</v>
      </c>
      <c r="G2047" s="2">
        <v>45809</v>
      </c>
      <c r="H2047" s="2">
        <v>45822</v>
      </c>
      <c r="I2047" t="s">
        <v>5764</v>
      </c>
      <c r="J2047" t="s">
        <v>5769</v>
      </c>
      <c r="K2047">
        <v>387059.19</v>
      </c>
      <c r="L2047" t="s">
        <v>5774</v>
      </c>
      <c r="M2047">
        <v>13</v>
      </c>
    </row>
    <row r="2048" spans="1:13" x14ac:dyDescent="0.25">
      <c r="A2048">
        <v>2047</v>
      </c>
      <c r="B2048" t="s">
        <v>2059</v>
      </c>
      <c r="C2048">
        <v>24</v>
      </c>
      <c r="D2048" t="s">
        <v>2948</v>
      </c>
      <c r="E2048" t="s">
        <v>2953</v>
      </c>
      <c r="F2048" t="s">
        <v>4880</v>
      </c>
      <c r="G2048" s="2">
        <v>45605</v>
      </c>
      <c r="H2048" s="2">
        <v>45620</v>
      </c>
      <c r="I2048" t="s">
        <v>5764</v>
      </c>
      <c r="J2048" t="s">
        <v>2949</v>
      </c>
      <c r="K2048">
        <v>125369.09</v>
      </c>
      <c r="L2048" t="s">
        <v>5774</v>
      </c>
      <c r="M2048">
        <v>15</v>
      </c>
    </row>
    <row r="2049" spans="1:13" x14ac:dyDescent="0.25">
      <c r="A2049">
        <v>2048</v>
      </c>
      <c r="B2049" t="s">
        <v>2060</v>
      </c>
      <c r="C2049">
        <v>8</v>
      </c>
      <c r="D2049" t="s">
        <v>2947</v>
      </c>
      <c r="E2049" t="s">
        <v>2951</v>
      </c>
      <c r="F2049" t="s">
        <v>4881</v>
      </c>
      <c r="G2049" s="2">
        <v>45827</v>
      </c>
      <c r="H2049" s="2">
        <v>45828</v>
      </c>
      <c r="I2049" t="s">
        <v>5759</v>
      </c>
      <c r="J2049" t="s">
        <v>5770</v>
      </c>
      <c r="K2049">
        <v>92509.6</v>
      </c>
      <c r="L2049" t="s">
        <v>5773</v>
      </c>
      <c r="M2049">
        <v>1</v>
      </c>
    </row>
    <row r="2050" spans="1:13" x14ac:dyDescent="0.25">
      <c r="A2050">
        <v>2049</v>
      </c>
      <c r="B2050" t="s">
        <v>2061</v>
      </c>
      <c r="C2050">
        <v>15</v>
      </c>
      <c r="D2050" t="s">
        <v>2947</v>
      </c>
      <c r="E2050" t="s">
        <v>2951</v>
      </c>
      <c r="F2050" t="s">
        <v>4882</v>
      </c>
      <c r="G2050" s="2">
        <v>45807</v>
      </c>
      <c r="H2050" s="2">
        <v>45821</v>
      </c>
      <c r="I2050" t="s">
        <v>5766</v>
      </c>
      <c r="J2050" t="s">
        <v>5772</v>
      </c>
      <c r="K2050">
        <v>100295.11</v>
      </c>
      <c r="L2050" t="s">
        <v>5774</v>
      </c>
      <c r="M2050">
        <v>14</v>
      </c>
    </row>
    <row r="2051" spans="1:13" x14ac:dyDescent="0.25">
      <c r="A2051">
        <v>2050</v>
      </c>
      <c r="B2051" t="s">
        <v>2062</v>
      </c>
      <c r="C2051">
        <v>77</v>
      </c>
      <c r="D2051" t="s">
        <v>2947</v>
      </c>
      <c r="E2051" t="s">
        <v>2954</v>
      </c>
      <c r="F2051" t="s">
        <v>4883</v>
      </c>
      <c r="G2051" s="2">
        <v>45888</v>
      </c>
      <c r="H2051" s="2">
        <v>45903</v>
      </c>
      <c r="I2051" t="s">
        <v>5758</v>
      </c>
      <c r="J2051" t="s">
        <v>2949</v>
      </c>
      <c r="K2051">
        <v>267018.93</v>
      </c>
      <c r="L2051" t="s">
        <v>5774</v>
      </c>
      <c r="M2051">
        <v>15</v>
      </c>
    </row>
    <row r="2052" spans="1:13" x14ac:dyDescent="0.25">
      <c r="A2052">
        <v>2051</v>
      </c>
      <c r="B2052" t="s">
        <v>2063</v>
      </c>
      <c r="C2052">
        <v>2</v>
      </c>
      <c r="D2052" t="s">
        <v>2948</v>
      </c>
      <c r="E2052" t="s">
        <v>2955</v>
      </c>
      <c r="F2052" t="s">
        <v>4884</v>
      </c>
      <c r="G2052" s="2">
        <v>45669</v>
      </c>
      <c r="H2052" s="2">
        <v>45684</v>
      </c>
      <c r="I2052" t="s">
        <v>5762</v>
      </c>
      <c r="J2052" t="s">
        <v>5768</v>
      </c>
      <c r="K2052">
        <v>429952.58</v>
      </c>
      <c r="L2052" t="s">
        <v>5773</v>
      </c>
      <c r="M2052">
        <v>15</v>
      </c>
    </row>
    <row r="2053" spans="1:13" x14ac:dyDescent="0.25">
      <c r="A2053">
        <v>2052</v>
      </c>
      <c r="B2053" t="s">
        <v>2064</v>
      </c>
      <c r="C2053">
        <v>46</v>
      </c>
      <c r="D2053" t="s">
        <v>2948</v>
      </c>
      <c r="E2053" t="s">
        <v>2950</v>
      </c>
      <c r="F2053" t="s">
        <v>4885</v>
      </c>
      <c r="G2053" s="2">
        <v>45828</v>
      </c>
      <c r="H2053" s="2">
        <v>45830</v>
      </c>
      <c r="I2053" t="s">
        <v>5758</v>
      </c>
      <c r="J2053" t="s">
        <v>5768</v>
      </c>
      <c r="K2053">
        <v>274207.24</v>
      </c>
      <c r="L2053" t="s">
        <v>5773</v>
      </c>
      <c r="M2053">
        <v>2</v>
      </c>
    </row>
    <row r="2054" spans="1:13" x14ac:dyDescent="0.25">
      <c r="A2054">
        <v>2053</v>
      </c>
      <c r="B2054" t="s">
        <v>2065</v>
      </c>
      <c r="C2054">
        <v>21</v>
      </c>
      <c r="D2054" t="s">
        <v>2948</v>
      </c>
      <c r="E2054" t="s">
        <v>2953</v>
      </c>
      <c r="F2054" t="s">
        <v>4886</v>
      </c>
      <c r="G2054" s="2">
        <v>45647</v>
      </c>
      <c r="H2054" s="2">
        <v>45649</v>
      </c>
      <c r="I2054" t="s">
        <v>5764</v>
      </c>
      <c r="J2054" t="s">
        <v>2949</v>
      </c>
      <c r="K2054">
        <v>266759.61</v>
      </c>
      <c r="L2054" t="s">
        <v>5774</v>
      </c>
      <c r="M2054">
        <v>2</v>
      </c>
    </row>
    <row r="2055" spans="1:13" x14ac:dyDescent="0.25">
      <c r="A2055">
        <v>2054</v>
      </c>
      <c r="B2055" t="s">
        <v>2066</v>
      </c>
      <c r="C2055">
        <v>44</v>
      </c>
      <c r="D2055" t="s">
        <v>2948</v>
      </c>
      <c r="E2055" t="s">
        <v>2952</v>
      </c>
      <c r="F2055" t="s">
        <v>4887</v>
      </c>
      <c r="G2055" s="2">
        <v>45586</v>
      </c>
      <c r="H2055" s="2">
        <v>45588</v>
      </c>
      <c r="I2055" t="s">
        <v>5766</v>
      </c>
      <c r="J2055" t="s">
        <v>5771</v>
      </c>
      <c r="K2055">
        <v>486304.59</v>
      </c>
      <c r="L2055" t="s">
        <v>5773</v>
      </c>
      <c r="M2055">
        <v>2</v>
      </c>
    </row>
    <row r="2056" spans="1:13" x14ac:dyDescent="0.25">
      <c r="A2056">
        <v>2055</v>
      </c>
      <c r="B2056" t="s">
        <v>2067</v>
      </c>
      <c r="C2056">
        <v>9</v>
      </c>
      <c r="D2056" t="s">
        <v>2948</v>
      </c>
      <c r="E2056" t="s">
        <v>2951</v>
      </c>
      <c r="F2056" t="s">
        <v>4888</v>
      </c>
      <c r="G2056" s="2">
        <v>45754</v>
      </c>
      <c r="H2056" s="2">
        <v>45756</v>
      </c>
      <c r="I2056" t="s">
        <v>5760</v>
      </c>
      <c r="J2056" t="s">
        <v>5768</v>
      </c>
      <c r="K2056">
        <v>415070.76</v>
      </c>
      <c r="L2056" t="s">
        <v>5774</v>
      </c>
      <c r="M2056">
        <v>2</v>
      </c>
    </row>
    <row r="2057" spans="1:13" x14ac:dyDescent="0.25">
      <c r="A2057">
        <v>2056</v>
      </c>
      <c r="B2057" t="s">
        <v>2068</v>
      </c>
      <c r="C2057">
        <v>81</v>
      </c>
      <c r="D2057" t="s">
        <v>2948</v>
      </c>
      <c r="E2057" t="s">
        <v>2950</v>
      </c>
      <c r="F2057" t="s">
        <v>4889</v>
      </c>
      <c r="G2057" s="2">
        <v>45747</v>
      </c>
      <c r="H2057" s="2">
        <v>45755</v>
      </c>
      <c r="I2057" t="s">
        <v>5758</v>
      </c>
      <c r="J2057" t="s">
        <v>5770</v>
      </c>
      <c r="K2057">
        <v>188952.95</v>
      </c>
      <c r="L2057" t="s">
        <v>5774</v>
      </c>
      <c r="M2057">
        <v>8</v>
      </c>
    </row>
    <row r="2058" spans="1:13" x14ac:dyDescent="0.25">
      <c r="A2058">
        <v>2057</v>
      </c>
      <c r="B2058" t="s">
        <v>2069</v>
      </c>
      <c r="C2058">
        <v>6</v>
      </c>
      <c r="D2058" t="s">
        <v>2947</v>
      </c>
      <c r="E2058" t="s">
        <v>2950</v>
      </c>
      <c r="F2058" t="s">
        <v>4890</v>
      </c>
      <c r="G2058" s="2">
        <v>45630</v>
      </c>
      <c r="H2058" s="2">
        <v>45638</v>
      </c>
      <c r="I2058" t="s">
        <v>5765</v>
      </c>
      <c r="J2058" t="s">
        <v>2949</v>
      </c>
      <c r="K2058">
        <v>450451.15</v>
      </c>
      <c r="L2058" t="s">
        <v>5774</v>
      </c>
      <c r="M2058">
        <v>8</v>
      </c>
    </row>
    <row r="2059" spans="1:13" x14ac:dyDescent="0.25">
      <c r="A2059">
        <v>2058</v>
      </c>
      <c r="B2059" t="s">
        <v>2070</v>
      </c>
      <c r="C2059">
        <v>78</v>
      </c>
      <c r="D2059" t="s">
        <v>2948</v>
      </c>
      <c r="E2059" t="s">
        <v>2949</v>
      </c>
      <c r="F2059" t="s">
        <v>4891</v>
      </c>
      <c r="G2059" s="2">
        <v>45828</v>
      </c>
      <c r="H2059" s="2">
        <v>45834</v>
      </c>
      <c r="I2059" t="s">
        <v>5760</v>
      </c>
      <c r="J2059" t="s">
        <v>5770</v>
      </c>
      <c r="K2059">
        <v>198302.18</v>
      </c>
      <c r="L2059" t="s">
        <v>5773</v>
      </c>
      <c r="M2059">
        <v>6</v>
      </c>
    </row>
    <row r="2060" spans="1:13" x14ac:dyDescent="0.25">
      <c r="A2060">
        <v>2059</v>
      </c>
      <c r="B2060" t="s">
        <v>2071</v>
      </c>
      <c r="C2060">
        <v>70</v>
      </c>
      <c r="D2060" t="s">
        <v>2947</v>
      </c>
      <c r="E2060" t="s">
        <v>2949</v>
      </c>
      <c r="F2060" t="s">
        <v>4892</v>
      </c>
      <c r="G2060" s="2">
        <v>45807</v>
      </c>
      <c r="H2060" s="2">
        <v>45821</v>
      </c>
      <c r="I2060" t="s">
        <v>5767</v>
      </c>
      <c r="J2060" t="s">
        <v>5769</v>
      </c>
      <c r="K2060">
        <v>278035.51</v>
      </c>
      <c r="L2060" t="s">
        <v>5774</v>
      </c>
      <c r="M2060">
        <v>14</v>
      </c>
    </row>
    <row r="2061" spans="1:13" x14ac:dyDescent="0.25">
      <c r="A2061">
        <v>2060</v>
      </c>
      <c r="B2061" t="s">
        <v>2072</v>
      </c>
      <c r="C2061">
        <v>30</v>
      </c>
      <c r="D2061" t="s">
        <v>2947</v>
      </c>
      <c r="E2061" t="s">
        <v>2952</v>
      </c>
      <c r="F2061" t="s">
        <v>4893</v>
      </c>
      <c r="G2061" s="2">
        <v>45742</v>
      </c>
      <c r="H2061" s="2">
        <v>45744</v>
      </c>
      <c r="I2061" t="s">
        <v>5767</v>
      </c>
      <c r="J2061" t="s">
        <v>5770</v>
      </c>
      <c r="K2061">
        <v>472653.24</v>
      </c>
      <c r="L2061" t="s">
        <v>5773</v>
      </c>
      <c r="M2061">
        <v>2</v>
      </c>
    </row>
    <row r="2062" spans="1:13" x14ac:dyDescent="0.25">
      <c r="A2062">
        <v>2061</v>
      </c>
      <c r="B2062" t="s">
        <v>2073</v>
      </c>
      <c r="C2062">
        <v>19</v>
      </c>
      <c r="D2062" t="s">
        <v>2947</v>
      </c>
      <c r="E2062" t="s">
        <v>2953</v>
      </c>
      <c r="F2062" t="s">
        <v>4894</v>
      </c>
      <c r="G2062" s="2">
        <v>45704</v>
      </c>
      <c r="H2062" s="2">
        <v>45710</v>
      </c>
      <c r="I2062" t="s">
        <v>5760</v>
      </c>
      <c r="J2062" t="s">
        <v>5770</v>
      </c>
      <c r="K2062">
        <v>63686.42</v>
      </c>
      <c r="L2062" t="s">
        <v>5774</v>
      </c>
      <c r="M2062">
        <v>6</v>
      </c>
    </row>
    <row r="2063" spans="1:13" x14ac:dyDescent="0.25">
      <c r="A2063">
        <v>2062</v>
      </c>
      <c r="B2063" t="s">
        <v>2074</v>
      </c>
      <c r="C2063">
        <v>2</v>
      </c>
      <c r="D2063" t="s">
        <v>2948</v>
      </c>
      <c r="E2063" t="s">
        <v>2951</v>
      </c>
      <c r="F2063" t="s">
        <v>4895</v>
      </c>
      <c r="G2063" s="2">
        <v>45730</v>
      </c>
      <c r="H2063" s="2">
        <v>45737</v>
      </c>
      <c r="I2063" t="s">
        <v>5767</v>
      </c>
      <c r="J2063" t="s">
        <v>5768</v>
      </c>
      <c r="K2063">
        <v>58729.65</v>
      </c>
      <c r="L2063" t="s">
        <v>5774</v>
      </c>
      <c r="M2063">
        <v>7</v>
      </c>
    </row>
    <row r="2064" spans="1:13" x14ac:dyDescent="0.25">
      <c r="A2064">
        <v>2063</v>
      </c>
      <c r="B2064" t="s">
        <v>2075</v>
      </c>
      <c r="C2064">
        <v>81</v>
      </c>
      <c r="D2064" t="s">
        <v>2947</v>
      </c>
      <c r="E2064" t="s">
        <v>2949</v>
      </c>
      <c r="F2064" t="s">
        <v>4896</v>
      </c>
      <c r="G2064" s="2">
        <v>45822</v>
      </c>
      <c r="H2064" s="2">
        <v>45826</v>
      </c>
      <c r="I2064" t="s">
        <v>5766</v>
      </c>
      <c r="J2064" t="s">
        <v>2949</v>
      </c>
      <c r="K2064">
        <v>35215.35</v>
      </c>
      <c r="L2064" t="s">
        <v>5773</v>
      </c>
      <c r="M2064">
        <v>4</v>
      </c>
    </row>
    <row r="2065" spans="1:13" x14ac:dyDescent="0.25">
      <c r="A2065">
        <v>2064</v>
      </c>
      <c r="B2065" t="s">
        <v>2076</v>
      </c>
      <c r="C2065">
        <v>20</v>
      </c>
      <c r="D2065" t="s">
        <v>2947</v>
      </c>
      <c r="E2065" t="s">
        <v>2955</v>
      </c>
      <c r="F2065" t="s">
        <v>4897</v>
      </c>
      <c r="G2065" s="2">
        <v>45700</v>
      </c>
      <c r="H2065" s="2">
        <v>45701</v>
      </c>
      <c r="I2065" t="s">
        <v>5767</v>
      </c>
      <c r="J2065" t="s">
        <v>5769</v>
      </c>
      <c r="K2065">
        <v>368722.53</v>
      </c>
      <c r="L2065" t="s">
        <v>5775</v>
      </c>
      <c r="M2065">
        <v>1</v>
      </c>
    </row>
    <row r="2066" spans="1:13" x14ac:dyDescent="0.25">
      <c r="A2066">
        <v>2065</v>
      </c>
      <c r="B2066" t="s">
        <v>2077</v>
      </c>
      <c r="C2066">
        <v>69</v>
      </c>
      <c r="D2066" t="s">
        <v>2948</v>
      </c>
      <c r="E2066" t="s">
        <v>2951</v>
      </c>
      <c r="F2066" t="s">
        <v>4898</v>
      </c>
      <c r="G2066" s="2">
        <v>45703</v>
      </c>
      <c r="H2066" s="2">
        <v>45710</v>
      </c>
      <c r="I2066" t="s">
        <v>5766</v>
      </c>
      <c r="J2066" t="s">
        <v>5772</v>
      </c>
      <c r="K2066">
        <v>187303.85</v>
      </c>
      <c r="L2066" t="s">
        <v>5773</v>
      </c>
      <c r="M2066">
        <v>7</v>
      </c>
    </row>
    <row r="2067" spans="1:13" x14ac:dyDescent="0.25">
      <c r="A2067">
        <v>2066</v>
      </c>
      <c r="B2067" t="s">
        <v>2078</v>
      </c>
      <c r="C2067">
        <v>4</v>
      </c>
      <c r="D2067" t="s">
        <v>2947</v>
      </c>
      <c r="E2067" t="s">
        <v>2949</v>
      </c>
      <c r="F2067" t="s">
        <v>152</v>
      </c>
      <c r="G2067" s="2">
        <v>45603</v>
      </c>
      <c r="H2067" s="2">
        <v>45610</v>
      </c>
      <c r="I2067" t="s">
        <v>5767</v>
      </c>
      <c r="J2067" t="s">
        <v>5769</v>
      </c>
      <c r="K2067">
        <v>130170.98</v>
      </c>
      <c r="L2067" t="s">
        <v>5773</v>
      </c>
      <c r="M2067">
        <v>7</v>
      </c>
    </row>
    <row r="2068" spans="1:13" x14ac:dyDescent="0.25">
      <c r="A2068">
        <v>2067</v>
      </c>
      <c r="B2068" t="s">
        <v>2079</v>
      </c>
      <c r="C2068">
        <v>86</v>
      </c>
      <c r="D2068" t="s">
        <v>2947</v>
      </c>
      <c r="E2068" t="s">
        <v>2951</v>
      </c>
      <c r="F2068" t="s">
        <v>4899</v>
      </c>
      <c r="G2068" s="2">
        <v>45628</v>
      </c>
      <c r="H2068" s="2">
        <v>45643</v>
      </c>
      <c r="I2068" t="s">
        <v>5760</v>
      </c>
      <c r="J2068" t="s">
        <v>2949</v>
      </c>
      <c r="K2068">
        <v>412122.74</v>
      </c>
      <c r="L2068" t="s">
        <v>5775</v>
      </c>
      <c r="M2068">
        <v>15</v>
      </c>
    </row>
    <row r="2069" spans="1:13" x14ac:dyDescent="0.25">
      <c r="A2069">
        <v>2068</v>
      </c>
      <c r="B2069" t="s">
        <v>2080</v>
      </c>
      <c r="C2069">
        <v>25</v>
      </c>
      <c r="D2069" t="s">
        <v>2947</v>
      </c>
      <c r="E2069" t="s">
        <v>2950</v>
      </c>
      <c r="F2069" t="s">
        <v>4900</v>
      </c>
      <c r="G2069" s="2">
        <v>45767</v>
      </c>
      <c r="H2069" s="2">
        <v>45775</v>
      </c>
      <c r="I2069" t="s">
        <v>5764</v>
      </c>
      <c r="J2069" t="s">
        <v>5772</v>
      </c>
      <c r="K2069">
        <v>414565.52</v>
      </c>
      <c r="L2069" t="s">
        <v>5774</v>
      </c>
      <c r="M2069">
        <v>8</v>
      </c>
    </row>
    <row r="2070" spans="1:13" x14ac:dyDescent="0.25">
      <c r="A2070">
        <v>2069</v>
      </c>
      <c r="B2070" t="s">
        <v>2081</v>
      </c>
      <c r="C2070">
        <v>40</v>
      </c>
      <c r="D2070" t="s">
        <v>2947</v>
      </c>
      <c r="E2070" t="s">
        <v>2949</v>
      </c>
      <c r="F2070" t="s">
        <v>4901</v>
      </c>
      <c r="G2070" s="2">
        <v>45669</v>
      </c>
      <c r="H2070" s="2">
        <v>45676</v>
      </c>
      <c r="I2070" t="s">
        <v>5759</v>
      </c>
      <c r="J2070" t="s">
        <v>5772</v>
      </c>
      <c r="K2070">
        <v>312391.43</v>
      </c>
      <c r="L2070" t="s">
        <v>5774</v>
      </c>
      <c r="M2070">
        <v>7</v>
      </c>
    </row>
    <row r="2071" spans="1:13" x14ac:dyDescent="0.25">
      <c r="A2071">
        <v>2070</v>
      </c>
      <c r="B2071" t="s">
        <v>2082</v>
      </c>
      <c r="C2071">
        <v>25</v>
      </c>
      <c r="D2071" t="s">
        <v>2947</v>
      </c>
      <c r="E2071" t="s">
        <v>2955</v>
      </c>
      <c r="F2071" t="s">
        <v>4902</v>
      </c>
      <c r="G2071" s="2">
        <v>45712</v>
      </c>
      <c r="H2071" s="2">
        <v>45724</v>
      </c>
      <c r="I2071" t="s">
        <v>5763</v>
      </c>
      <c r="J2071" t="s">
        <v>5771</v>
      </c>
      <c r="K2071">
        <v>300440.61</v>
      </c>
      <c r="L2071" t="s">
        <v>5775</v>
      </c>
      <c r="M2071">
        <v>12</v>
      </c>
    </row>
    <row r="2072" spans="1:13" x14ac:dyDescent="0.25">
      <c r="A2072">
        <v>2071</v>
      </c>
      <c r="B2072" t="s">
        <v>2083</v>
      </c>
      <c r="C2072">
        <v>31</v>
      </c>
      <c r="D2072" t="s">
        <v>2948</v>
      </c>
      <c r="E2072" t="s">
        <v>2950</v>
      </c>
      <c r="F2072" t="s">
        <v>4903</v>
      </c>
      <c r="G2072" s="2">
        <v>45860</v>
      </c>
      <c r="H2072" s="2">
        <v>45861</v>
      </c>
      <c r="I2072" t="s">
        <v>5761</v>
      </c>
      <c r="J2072" t="s">
        <v>5771</v>
      </c>
      <c r="K2072">
        <v>358332</v>
      </c>
      <c r="L2072" t="s">
        <v>5773</v>
      </c>
      <c r="M2072">
        <v>1</v>
      </c>
    </row>
    <row r="2073" spans="1:13" x14ac:dyDescent="0.25">
      <c r="A2073">
        <v>2072</v>
      </c>
      <c r="B2073" t="s">
        <v>2084</v>
      </c>
      <c r="C2073">
        <v>4</v>
      </c>
      <c r="D2073" t="s">
        <v>2947</v>
      </c>
      <c r="E2073" t="s">
        <v>2954</v>
      </c>
      <c r="F2073" t="s">
        <v>4904</v>
      </c>
      <c r="G2073" s="2">
        <v>45885</v>
      </c>
      <c r="H2073" s="2">
        <v>45897</v>
      </c>
      <c r="I2073" t="s">
        <v>5766</v>
      </c>
      <c r="J2073" t="s">
        <v>5772</v>
      </c>
      <c r="K2073">
        <v>451038.07</v>
      </c>
      <c r="L2073" t="s">
        <v>5773</v>
      </c>
      <c r="M2073">
        <v>12</v>
      </c>
    </row>
    <row r="2074" spans="1:13" x14ac:dyDescent="0.25">
      <c r="A2074">
        <v>2073</v>
      </c>
      <c r="B2074" t="s">
        <v>2085</v>
      </c>
      <c r="C2074">
        <v>89</v>
      </c>
      <c r="D2074" t="s">
        <v>2948</v>
      </c>
      <c r="E2074" t="s">
        <v>2952</v>
      </c>
      <c r="F2074" t="s">
        <v>4905</v>
      </c>
      <c r="G2074" s="2">
        <v>45820</v>
      </c>
      <c r="H2074" s="2">
        <v>45829</v>
      </c>
      <c r="I2074" t="s">
        <v>5760</v>
      </c>
      <c r="J2074" t="s">
        <v>5769</v>
      </c>
      <c r="K2074">
        <v>448455.49</v>
      </c>
      <c r="L2074" t="s">
        <v>5775</v>
      </c>
      <c r="M2074">
        <v>9</v>
      </c>
    </row>
    <row r="2075" spans="1:13" x14ac:dyDescent="0.25">
      <c r="A2075">
        <v>2074</v>
      </c>
      <c r="B2075" t="s">
        <v>2086</v>
      </c>
      <c r="C2075">
        <v>47</v>
      </c>
      <c r="D2075" t="s">
        <v>2948</v>
      </c>
      <c r="E2075" t="s">
        <v>2955</v>
      </c>
      <c r="F2075" t="s">
        <v>4906</v>
      </c>
      <c r="G2075" s="2">
        <v>45674</v>
      </c>
      <c r="H2075" s="2">
        <v>45688</v>
      </c>
      <c r="I2075" t="s">
        <v>5767</v>
      </c>
      <c r="J2075" t="s">
        <v>5768</v>
      </c>
      <c r="K2075">
        <v>442935.79</v>
      </c>
      <c r="L2075" t="s">
        <v>5773</v>
      </c>
      <c r="M2075">
        <v>14</v>
      </c>
    </row>
    <row r="2076" spans="1:13" x14ac:dyDescent="0.25">
      <c r="A2076">
        <v>2075</v>
      </c>
      <c r="B2076" t="s">
        <v>2087</v>
      </c>
      <c r="C2076">
        <v>30</v>
      </c>
      <c r="D2076" t="s">
        <v>2948</v>
      </c>
      <c r="E2076" t="s">
        <v>2953</v>
      </c>
      <c r="F2076" t="s">
        <v>4907</v>
      </c>
      <c r="G2076" s="2">
        <v>45592</v>
      </c>
      <c r="H2076" s="2">
        <v>45603</v>
      </c>
      <c r="I2076" t="s">
        <v>5760</v>
      </c>
      <c r="J2076" t="s">
        <v>5772</v>
      </c>
      <c r="K2076">
        <v>363195.86</v>
      </c>
      <c r="L2076" t="s">
        <v>5775</v>
      </c>
      <c r="M2076">
        <v>11</v>
      </c>
    </row>
    <row r="2077" spans="1:13" x14ac:dyDescent="0.25">
      <c r="A2077">
        <v>2076</v>
      </c>
      <c r="B2077" t="s">
        <v>2088</v>
      </c>
      <c r="C2077">
        <v>15</v>
      </c>
      <c r="D2077" t="s">
        <v>2948</v>
      </c>
      <c r="E2077" t="s">
        <v>2952</v>
      </c>
      <c r="F2077" t="s">
        <v>4908</v>
      </c>
      <c r="G2077" s="2">
        <v>45551</v>
      </c>
      <c r="H2077" s="2">
        <v>45554</v>
      </c>
      <c r="I2077" t="s">
        <v>5759</v>
      </c>
      <c r="J2077" t="s">
        <v>5770</v>
      </c>
      <c r="K2077">
        <v>421532.53</v>
      </c>
      <c r="L2077" t="s">
        <v>5775</v>
      </c>
      <c r="M2077">
        <v>3</v>
      </c>
    </row>
    <row r="2078" spans="1:13" x14ac:dyDescent="0.25">
      <c r="A2078">
        <v>2077</v>
      </c>
      <c r="B2078" t="s">
        <v>2089</v>
      </c>
      <c r="C2078">
        <v>18</v>
      </c>
      <c r="D2078" t="s">
        <v>2948</v>
      </c>
      <c r="E2078" t="s">
        <v>2949</v>
      </c>
      <c r="F2078" t="s">
        <v>4909</v>
      </c>
      <c r="G2078" s="2">
        <v>45850</v>
      </c>
      <c r="H2078" s="2">
        <v>45853</v>
      </c>
      <c r="I2078" t="s">
        <v>5761</v>
      </c>
      <c r="J2078" t="s">
        <v>5771</v>
      </c>
      <c r="K2078">
        <v>187355.76</v>
      </c>
      <c r="L2078" t="s">
        <v>5773</v>
      </c>
      <c r="M2078">
        <v>3</v>
      </c>
    </row>
    <row r="2079" spans="1:13" x14ac:dyDescent="0.25">
      <c r="A2079">
        <v>2078</v>
      </c>
      <c r="B2079" t="s">
        <v>2090</v>
      </c>
      <c r="C2079">
        <v>36</v>
      </c>
      <c r="D2079" t="s">
        <v>2948</v>
      </c>
      <c r="E2079" t="s">
        <v>2953</v>
      </c>
      <c r="F2079" t="s">
        <v>4910</v>
      </c>
      <c r="G2079" s="2">
        <v>45910</v>
      </c>
      <c r="H2079" s="2">
        <v>45912</v>
      </c>
      <c r="I2079" t="s">
        <v>5760</v>
      </c>
      <c r="J2079" t="s">
        <v>2949</v>
      </c>
      <c r="K2079">
        <v>33842.699999999997</v>
      </c>
      <c r="L2079" t="s">
        <v>5774</v>
      </c>
      <c r="M2079">
        <v>2</v>
      </c>
    </row>
    <row r="2080" spans="1:13" x14ac:dyDescent="0.25">
      <c r="A2080">
        <v>2079</v>
      </c>
      <c r="B2080" t="s">
        <v>2091</v>
      </c>
      <c r="C2080">
        <v>5</v>
      </c>
      <c r="D2080" t="s">
        <v>2948</v>
      </c>
      <c r="E2080" t="s">
        <v>2950</v>
      </c>
      <c r="F2080" t="s">
        <v>4911</v>
      </c>
      <c r="G2080" s="2">
        <v>45598</v>
      </c>
      <c r="H2080" s="2">
        <v>45607</v>
      </c>
      <c r="I2080" t="s">
        <v>5761</v>
      </c>
      <c r="J2080" t="s">
        <v>5772</v>
      </c>
      <c r="K2080">
        <v>419229.08</v>
      </c>
      <c r="L2080" t="s">
        <v>5774</v>
      </c>
      <c r="M2080">
        <v>9</v>
      </c>
    </row>
    <row r="2081" spans="1:13" x14ac:dyDescent="0.25">
      <c r="A2081">
        <v>2080</v>
      </c>
      <c r="B2081" t="s">
        <v>2092</v>
      </c>
      <c r="C2081">
        <v>16</v>
      </c>
      <c r="D2081" t="s">
        <v>2947</v>
      </c>
      <c r="E2081" t="s">
        <v>2949</v>
      </c>
      <c r="F2081" t="s">
        <v>4912</v>
      </c>
      <c r="G2081" s="2">
        <v>45655</v>
      </c>
      <c r="H2081" s="2">
        <v>45664</v>
      </c>
      <c r="I2081" t="s">
        <v>5761</v>
      </c>
      <c r="J2081" t="s">
        <v>5772</v>
      </c>
      <c r="K2081">
        <v>408236.35</v>
      </c>
      <c r="L2081" t="s">
        <v>5773</v>
      </c>
      <c r="M2081">
        <v>9</v>
      </c>
    </row>
    <row r="2082" spans="1:13" x14ac:dyDescent="0.25">
      <c r="A2082">
        <v>2081</v>
      </c>
      <c r="B2082" t="s">
        <v>2093</v>
      </c>
      <c r="C2082">
        <v>37</v>
      </c>
      <c r="D2082" t="s">
        <v>2947</v>
      </c>
      <c r="E2082" t="s">
        <v>2949</v>
      </c>
      <c r="F2082" t="s">
        <v>4913</v>
      </c>
      <c r="G2082" s="2">
        <v>45708</v>
      </c>
      <c r="H2082" s="2">
        <v>45723</v>
      </c>
      <c r="I2082" t="s">
        <v>5764</v>
      </c>
      <c r="J2082" t="s">
        <v>5771</v>
      </c>
      <c r="K2082">
        <v>299767.03999999998</v>
      </c>
      <c r="L2082" t="s">
        <v>5773</v>
      </c>
      <c r="M2082">
        <v>15</v>
      </c>
    </row>
    <row r="2083" spans="1:13" x14ac:dyDescent="0.25">
      <c r="A2083">
        <v>2082</v>
      </c>
      <c r="B2083" t="s">
        <v>2094</v>
      </c>
      <c r="C2083">
        <v>62</v>
      </c>
      <c r="D2083" t="s">
        <v>2947</v>
      </c>
      <c r="E2083" t="s">
        <v>2949</v>
      </c>
      <c r="F2083" t="s">
        <v>4914</v>
      </c>
      <c r="G2083" s="2">
        <v>45826</v>
      </c>
      <c r="H2083" s="2">
        <v>45839</v>
      </c>
      <c r="I2083" t="s">
        <v>5759</v>
      </c>
      <c r="J2083" t="s">
        <v>2949</v>
      </c>
      <c r="K2083">
        <v>337333.7</v>
      </c>
      <c r="L2083" t="s">
        <v>5775</v>
      </c>
      <c r="M2083">
        <v>13</v>
      </c>
    </row>
    <row r="2084" spans="1:13" x14ac:dyDescent="0.25">
      <c r="A2084">
        <v>2083</v>
      </c>
      <c r="B2084" t="s">
        <v>2095</v>
      </c>
      <c r="C2084">
        <v>10</v>
      </c>
      <c r="D2084" t="s">
        <v>2948</v>
      </c>
      <c r="E2084" t="s">
        <v>2955</v>
      </c>
      <c r="F2084" t="s">
        <v>4915</v>
      </c>
      <c r="G2084" s="2">
        <v>45598</v>
      </c>
      <c r="H2084" s="2">
        <v>45601</v>
      </c>
      <c r="I2084" t="s">
        <v>5760</v>
      </c>
      <c r="J2084" t="s">
        <v>5772</v>
      </c>
      <c r="K2084">
        <v>209109.94</v>
      </c>
      <c r="L2084" t="s">
        <v>5775</v>
      </c>
      <c r="M2084">
        <v>3</v>
      </c>
    </row>
    <row r="2085" spans="1:13" x14ac:dyDescent="0.25">
      <c r="A2085">
        <v>2084</v>
      </c>
      <c r="B2085" t="s">
        <v>2096</v>
      </c>
      <c r="C2085">
        <v>10</v>
      </c>
      <c r="D2085" t="s">
        <v>2948</v>
      </c>
      <c r="E2085" t="s">
        <v>2954</v>
      </c>
      <c r="F2085" t="s">
        <v>4916</v>
      </c>
      <c r="G2085" s="2">
        <v>45649</v>
      </c>
      <c r="H2085" s="2">
        <v>45651</v>
      </c>
      <c r="I2085" t="s">
        <v>5758</v>
      </c>
      <c r="J2085" t="s">
        <v>5769</v>
      </c>
      <c r="K2085">
        <v>63541.16</v>
      </c>
      <c r="L2085" t="s">
        <v>5774</v>
      </c>
      <c r="M2085">
        <v>2</v>
      </c>
    </row>
    <row r="2086" spans="1:13" x14ac:dyDescent="0.25">
      <c r="A2086">
        <v>2085</v>
      </c>
      <c r="B2086" t="s">
        <v>2097</v>
      </c>
      <c r="C2086">
        <v>21</v>
      </c>
      <c r="D2086" t="s">
        <v>2948</v>
      </c>
      <c r="E2086" t="s">
        <v>2950</v>
      </c>
      <c r="F2086" t="s">
        <v>4917</v>
      </c>
      <c r="G2086" s="2">
        <v>45572</v>
      </c>
      <c r="H2086" s="2">
        <v>45584</v>
      </c>
      <c r="I2086" t="s">
        <v>5759</v>
      </c>
      <c r="J2086" t="s">
        <v>5770</v>
      </c>
      <c r="K2086">
        <v>485873.64</v>
      </c>
      <c r="L2086" t="s">
        <v>5773</v>
      </c>
      <c r="M2086">
        <v>12</v>
      </c>
    </row>
    <row r="2087" spans="1:13" x14ac:dyDescent="0.25">
      <c r="A2087">
        <v>2086</v>
      </c>
      <c r="B2087" t="s">
        <v>2098</v>
      </c>
      <c r="C2087">
        <v>85</v>
      </c>
      <c r="D2087" t="s">
        <v>2948</v>
      </c>
      <c r="E2087" t="s">
        <v>2952</v>
      </c>
      <c r="F2087" t="s">
        <v>659</v>
      </c>
      <c r="G2087" s="2">
        <v>45790</v>
      </c>
      <c r="H2087" s="2">
        <v>45800</v>
      </c>
      <c r="I2087" t="s">
        <v>5766</v>
      </c>
      <c r="J2087" t="s">
        <v>5772</v>
      </c>
      <c r="K2087">
        <v>438899.20000000001</v>
      </c>
      <c r="L2087" t="s">
        <v>5774</v>
      </c>
      <c r="M2087">
        <v>10</v>
      </c>
    </row>
    <row r="2088" spans="1:13" x14ac:dyDescent="0.25">
      <c r="A2088">
        <v>2087</v>
      </c>
      <c r="B2088" t="s">
        <v>2099</v>
      </c>
      <c r="C2088">
        <v>4</v>
      </c>
      <c r="D2088" t="s">
        <v>2947</v>
      </c>
      <c r="E2088" t="s">
        <v>2953</v>
      </c>
      <c r="F2088" t="s">
        <v>4918</v>
      </c>
      <c r="G2088" s="2">
        <v>45789</v>
      </c>
      <c r="H2088" s="2">
        <v>45799</v>
      </c>
      <c r="I2088" t="s">
        <v>5765</v>
      </c>
      <c r="J2088" t="s">
        <v>5769</v>
      </c>
      <c r="K2088">
        <v>47402.43</v>
      </c>
      <c r="L2088" t="s">
        <v>5774</v>
      </c>
      <c r="M2088">
        <v>10</v>
      </c>
    </row>
    <row r="2089" spans="1:13" x14ac:dyDescent="0.25">
      <c r="A2089">
        <v>2088</v>
      </c>
      <c r="B2089" t="s">
        <v>2100</v>
      </c>
      <c r="C2089">
        <v>57</v>
      </c>
      <c r="D2089" t="s">
        <v>2947</v>
      </c>
      <c r="E2089" t="s">
        <v>2953</v>
      </c>
      <c r="F2089" t="s">
        <v>4919</v>
      </c>
      <c r="G2089" s="2">
        <v>45734</v>
      </c>
      <c r="H2089" s="2">
        <v>45740</v>
      </c>
      <c r="I2089" t="s">
        <v>5764</v>
      </c>
      <c r="J2089" t="s">
        <v>5771</v>
      </c>
      <c r="K2089">
        <v>454023.11</v>
      </c>
      <c r="L2089" t="s">
        <v>5774</v>
      </c>
      <c r="M2089">
        <v>6</v>
      </c>
    </row>
    <row r="2090" spans="1:13" x14ac:dyDescent="0.25">
      <c r="A2090">
        <v>2089</v>
      </c>
      <c r="B2090" t="s">
        <v>2101</v>
      </c>
      <c r="C2090">
        <v>50</v>
      </c>
      <c r="D2090" t="s">
        <v>2948</v>
      </c>
      <c r="E2090" t="s">
        <v>2953</v>
      </c>
      <c r="F2090" t="s">
        <v>4920</v>
      </c>
      <c r="G2090" s="2">
        <v>45683</v>
      </c>
      <c r="H2090" s="2">
        <v>45692</v>
      </c>
      <c r="I2090" t="s">
        <v>5764</v>
      </c>
      <c r="J2090" t="s">
        <v>5770</v>
      </c>
      <c r="K2090">
        <v>356295.23</v>
      </c>
      <c r="L2090" t="s">
        <v>5774</v>
      </c>
      <c r="M2090">
        <v>9</v>
      </c>
    </row>
    <row r="2091" spans="1:13" x14ac:dyDescent="0.25">
      <c r="A2091">
        <v>2090</v>
      </c>
      <c r="B2091" t="s">
        <v>2102</v>
      </c>
      <c r="C2091">
        <v>19</v>
      </c>
      <c r="D2091" t="s">
        <v>2947</v>
      </c>
      <c r="E2091" t="s">
        <v>2955</v>
      </c>
      <c r="F2091" t="s">
        <v>4921</v>
      </c>
      <c r="G2091" s="2">
        <v>45856</v>
      </c>
      <c r="H2091" s="2">
        <v>45863</v>
      </c>
      <c r="I2091" t="s">
        <v>5766</v>
      </c>
      <c r="J2091" t="s">
        <v>5770</v>
      </c>
      <c r="K2091">
        <v>37249.870000000003</v>
      </c>
      <c r="L2091" t="s">
        <v>5774</v>
      </c>
      <c r="M2091">
        <v>7</v>
      </c>
    </row>
    <row r="2092" spans="1:13" x14ac:dyDescent="0.25">
      <c r="A2092">
        <v>2091</v>
      </c>
      <c r="B2092" t="s">
        <v>2103</v>
      </c>
      <c r="C2092">
        <v>88</v>
      </c>
      <c r="D2092" t="s">
        <v>2947</v>
      </c>
      <c r="E2092" t="s">
        <v>2953</v>
      </c>
      <c r="F2092" t="s">
        <v>4922</v>
      </c>
      <c r="G2092" s="2">
        <v>45706</v>
      </c>
      <c r="H2092" s="2">
        <v>45712</v>
      </c>
      <c r="I2092" t="s">
        <v>5760</v>
      </c>
      <c r="J2092" t="s">
        <v>2949</v>
      </c>
      <c r="K2092">
        <v>72861.36</v>
      </c>
      <c r="L2092" t="s">
        <v>5774</v>
      </c>
      <c r="M2092">
        <v>6</v>
      </c>
    </row>
    <row r="2093" spans="1:13" x14ac:dyDescent="0.25">
      <c r="A2093">
        <v>2092</v>
      </c>
      <c r="B2093" t="s">
        <v>2104</v>
      </c>
      <c r="C2093">
        <v>6</v>
      </c>
      <c r="D2093" t="s">
        <v>2948</v>
      </c>
      <c r="E2093" t="s">
        <v>2950</v>
      </c>
      <c r="F2093" t="s">
        <v>4923</v>
      </c>
      <c r="G2093" s="2">
        <v>45768</v>
      </c>
      <c r="H2093" s="2">
        <v>45771</v>
      </c>
      <c r="I2093" t="s">
        <v>5760</v>
      </c>
      <c r="J2093" t="s">
        <v>5768</v>
      </c>
      <c r="K2093">
        <v>264511.52</v>
      </c>
      <c r="L2093" t="s">
        <v>5774</v>
      </c>
      <c r="M2093">
        <v>3</v>
      </c>
    </row>
    <row r="2094" spans="1:13" x14ac:dyDescent="0.25">
      <c r="A2094">
        <v>2093</v>
      </c>
      <c r="B2094" t="s">
        <v>2105</v>
      </c>
      <c r="C2094">
        <v>31</v>
      </c>
      <c r="D2094" t="s">
        <v>2948</v>
      </c>
      <c r="E2094" t="s">
        <v>2955</v>
      </c>
      <c r="F2094" t="s">
        <v>4924</v>
      </c>
      <c r="G2094" s="2">
        <v>45637</v>
      </c>
      <c r="H2094" s="2">
        <v>45652</v>
      </c>
      <c r="I2094" t="s">
        <v>5761</v>
      </c>
      <c r="J2094" t="s">
        <v>2949</v>
      </c>
      <c r="K2094">
        <v>163346.59</v>
      </c>
      <c r="L2094" t="s">
        <v>5775</v>
      </c>
      <c r="M2094">
        <v>15</v>
      </c>
    </row>
    <row r="2095" spans="1:13" x14ac:dyDescent="0.25">
      <c r="A2095">
        <v>2094</v>
      </c>
      <c r="B2095" t="s">
        <v>2106</v>
      </c>
      <c r="C2095">
        <v>43</v>
      </c>
      <c r="D2095" t="s">
        <v>2948</v>
      </c>
      <c r="E2095" t="s">
        <v>2952</v>
      </c>
      <c r="F2095" t="s">
        <v>4925</v>
      </c>
      <c r="G2095" s="2">
        <v>45864</v>
      </c>
      <c r="H2095" s="2">
        <v>45874</v>
      </c>
      <c r="I2095" t="s">
        <v>5758</v>
      </c>
      <c r="J2095" t="s">
        <v>2949</v>
      </c>
      <c r="K2095">
        <v>430260.49</v>
      </c>
      <c r="L2095" t="s">
        <v>5774</v>
      </c>
      <c r="M2095">
        <v>10</v>
      </c>
    </row>
    <row r="2096" spans="1:13" x14ac:dyDescent="0.25">
      <c r="A2096">
        <v>2095</v>
      </c>
      <c r="B2096" t="s">
        <v>2107</v>
      </c>
      <c r="C2096">
        <v>70</v>
      </c>
      <c r="D2096" t="s">
        <v>2947</v>
      </c>
      <c r="E2096" t="s">
        <v>2954</v>
      </c>
      <c r="F2096" t="s">
        <v>766</v>
      </c>
      <c r="G2096" s="2">
        <v>45594</v>
      </c>
      <c r="H2096" s="2">
        <v>45601</v>
      </c>
      <c r="I2096" t="s">
        <v>5760</v>
      </c>
      <c r="J2096" t="s">
        <v>2949</v>
      </c>
      <c r="K2096">
        <v>95039.41</v>
      </c>
      <c r="L2096" t="s">
        <v>5774</v>
      </c>
      <c r="M2096">
        <v>7</v>
      </c>
    </row>
    <row r="2097" spans="1:13" x14ac:dyDescent="0.25">
      <c r="A2097">
        <v>2096</v>
      </c>
      <c r="B2097" t="s">
        <v>2108</v>
      </c>
      <c r="C2097">
        <v>79</v>
      </c>
      <c r="D2097" t="s">
        <v>2947</v>
      </c>
      <c r="E2097" t="s">
        <v>2952</v>
      </c>
      <c r="F2097" t="s">
        <v>4926</v>
      </c>
      <c r="G2097" s="2">
        <v>45858</v>
      </c>
      <c r="H2097" s="2">
        <v>45865</v>
      </c>
      <c r="I2097" t="s">
        <v>5767</v>
      </c>
      <c r="J2097" t="s">
        <v>5769</v>
      </c>
      <c r="K2097">
        <v>166037.74</v>
      </c>
      <c r="L2097" t="s">
        <v>5775</v>
      </c>
      <c r="M2097">
        <v>7</v>
      </c>
    </row>
    <row r="2098" spans="1:13" x14ac:dyDescent="0.25">
      <c r="A2098">
        <v>2097</v>
      </c>
      <c r="B2098" t="s">
        <v>2109</v>
      </c>
      <c r="C2098">
        <v>76</v>
      </c>
      <c r="D2098" t="s">
        <v>2947</v>
      </c>
      <c r="E2098" t="s">
        <v>2955</v>
      </c>
      <c r="F2098" t="s">
        <v>4927</v>
      </c>
      <c r="G2098" s="2">
        <v>45858</v>
      </c>
      <c r="H2098" s="2">
        <v>45870</v>
      </c>
      <c r="I2098" t="s">
        <v>5759</v>
      </c>
      <c r="J2098" t="s">
        <v>5772</v>
      </c>
      <c r="K2098">
        <v>336821.52</v>
      </c>
      <c r="L2098" t="s">
        <v>5775</v>
      </c>
      <c r="M2098">
        <v>12</v>
      </c>
    </row>
    <row r="2099" spans="1:13" x14ac:dyDescent="0.25">
      <c r="A2099">
        <v>2098</v>
      </c>
      <c r="B2099" t="s">
        <v>2110</v>
      </c>
      <c r="C2099">
        <v>36</v>
      </c>
      <c r="D2099" t="s">
        <v>2948</v>
      </c>
      <c r="E2099" t="s">
        <v>2951</v>
      </c>
      <c r="F2099" t="s">
        <v>4928</v>
      </c>
      <c r="G2099" s="2">
        <v>45736</v>
      </c>
      <c r="H2099" s="2">
        <v>45740</v>
      </c>
      <c r="I2099" t="s">
        <v>5762</v>
      </c>
      <c r="J2099" t="s">
        <v>5768</v>
      </c>
      <c r="K2099">
        <v>282354.67</v>
      </c>
      <c r="L2099" t="s">
        <v>5773</v>
      </c>
      <c r="M2099">
        <v>4</v>
      </c>
    </row>
    <row r="2100" spans="1:13" x14ac:dyDescent="0.25">
      <c r="A2100">
        <v>2099</v>
      </c>
      <c r="B2100" t="s">
        <v>2111</v>
      </c>
      <c r="C2100">
        <v>25</v>
      </c>
      <c r="D2100" t="s">
        <v>2947</v>
      </c>
      <c r="E2100" t="s">
        <v>2955</v>
      </c>
      <c r="F2100" t="s">
        <v>4929</v>
      </c>
      <c r="G2100" s="2">
        <v>45663</v>
      </c>
      <c r="H2100" s="2">
        <v>45678</v>
      </c>
      <c r="I2100" t="s">
        <v>5764</v>
      </c>
      <c r="J2100" t="s">
        <v>2949</v>
      </c>
      <c r="K2100">
        <v>462263.47</v>
      </c>
      <c r="L2100" t="s">
        <v>5775</v>
      </c>
      <c r="M2100">
        <v>15</v>
      </c>
    </row>
    <row r="2101" spans="1:13" x14ac:dyDescent="0.25">
      <c r="A2101">
        <v>2100</v>
      </c>
      <c r="B2101" t="s">
        <v>2112</v>
      </c>
      <c r="C2101">
        <v>86</v>
      </c>
      <c r="D2101" t="s">
        <v>2947</v>
      </c>
      <c r="E2101" t="s">
        <v>2954</v>
      </c>
      <c r="F2101" t="s">
        <v>4930</v>
      </c>
      <c r="G2101" s="2">
        <v>45840</v>
      </c>
      <c r="H2101" s="2">
        <v>45846</v>
      </c>
      <c r="I2101" t="s">
        <v>5758</v>
      </c>
      <c r="J2101" t="s">
        <v>5769</v>
      </c>
      <c r="K2101">
        <v>221382.14</v>
      </c>
      <c r="L2101" t="s">
        <v>5775</v>
      </c>
      <c r="M2101">
        <v>6</v>
      </c>
    </row>
    <row r="2102" spans="1:13" x14ac:dyDescent="0.25">
      <c r="A2102">
        <v>2101</v>
      </c>
      <c r="B2102" t="s">
        <v>2113</v>
      </c>
      <c r="C2102">
        <v>40</v>
      </c>
      <c r="D2102" t="s">
        <v>2948</v>
      </c>
      <c r="E2102" t="s">
        <v>2953</v>
      </c>
      <c r="F2102" t="s">
        <v>4931</v>
      </c>
      <c r="G2102" s="2">
        <v>45549</v>
      </c>
      <c r="H2102" s="2">
        <v>45550</v>
      </c>
      <c r="I2102" t="s">
        <v>5763</v>
      </c>
      <c r="J2102" t="s">
        <v>5771</v>
      </c>
      <c r="K2102">
        <v>235916.67</v>
      </c>
      <c r="L2102" t="s">
        <v>5774</v>
      </c>
      <c r="M2102">
        <v>1</v>
      </c>
    </row>
    <row r="2103" spans="1:13" x14ac:dyDescent="0.25">
      <c r="A2103">
        <v>2102</v>
      </c>
      <c r="B2103" t="s">
        <v>2114</v>
      </c>
      <c r="C2103">
        <v>81</v>
      </c>
      <c r="D2103" t="s">
        <v>2948</v>
      </c>
      <c r="E2103" t="s">
        <v>2952</v>
      </c>
      <c r="F2103" t="s">
        <v>4932</v>
      </c>
      <c r="G2103" s="2">
        <v>45839</v>
      </c>
      <c r="H2103" s="2">
        <v>45842</v>
      </c>
      <c r="I2103" t="s">
        <v>5761</v>
      </c>
      <c r="J2103" t="s">
        <v>5769</v>
      </c>
      <c r="K2103">
        <v>307651.78999999998</v>
      </c>
      <c r="L2103" t="s">
        <v>5773</v>
      </c>
      <c r="M2103">
        <v>3</v>
      </c>
    </row>
    <row r="2104" spans="1:13" x14ac:dyDescent="0.25">
      <c r="A2104">
        <v>2103</v>
      </c>
      <c r="B2104" t="s">
        <v>2115</v>
      </c>
      <c r="C2104">
        <v>17</v>
      </c>
      <c r="D2104" t="s">
        <v>2948</v>
      </c>
      <c r="E2104" t="s">
        <v>2951</v>
      </c>
      <c r="F2104" t="s">
        <v>4933</v>
      </c>
      <c r="G2104" s="2">
        <v>45757</v>
      </c>
      <c r="H2104" s="2">
        <v>45762</v>
      </c>
      <c r="I2104" t="s">
        <v>5761</v>
      </c>
      <c r="J2104" t="s">
        <v>5768</v>
      </c>
      <c r="K2104">
        <v>389761.82</v>
      </c>
      <c r="L2104" t="s">
        <v>5775</v>
      </c>
      <c r="M2104">
        <v>5</v>
      </c>
    </row>
    <row r="2105" spans="1:13" x14ac:dyDescent="0.25">
      <c r="A2105">
        <v>2104</v>
      </c>
      <c r="B2105" t="s">
        <v>2116</v>
      </c>
      <c r="C2105">
        <v>73</v>
      </c>
      <c r="D2105" t="s">
        <v>2948</v>
      </c>
      <c r="E2105" t="s">
        <v>2954</v>
      </c>
      <c r="F2105" t="s">
        <v>4934</v>
      </c>
      <c r="G2105" s="2">
        <v>45668</v>
      </c>
      <c r="H2105" s="2">
        <v>45675</v>
      </c>
      <c r="I2105" t="s">
        <v>5758</v>
      </c>
      <c r="J2105" t="s">
        <v>2949</v>
      </c>
      <c r="K2105">
        <v>452663.48</v>
      </c>
      <c r="L2105" t="s">
        <v>5774</v>
      </c>
      <c r="M2105">
        <v>7</v>
      </c>
    </row>
    <row r="2106" spans="1:13" x14ac:dyDescent="0.25">
      <c r="A2106">
        <v>2105</v>
      </c>
      <c r="B2106" t="s">
        <v>2117</v>
      </c>
      <c r="C2106">
        <v>89</v>
      </c>
      <c r="D2106" t="s">
        <v>2948</v>
      </c>
      <c r="E2106" t="s">
        <v>2953</v>
      </c>
      <c r="F2106" t="s">
        <v>4935</v>
      </c>
      <c r="G2106" s="2">
        <v>45629</v>
      </c>
      <c r="H2106" s="2">
        <v>45638</v>
      </c>
      <c r="I2106" t="s">
        <v>5761</v>
      </c>
      <c r="J2106" t="s">
        <v>5769</v>
      </c>
      <c r="K2106">
        <v>327611.34000000003</v>
      </c>
      <c r="L2106" t="s">
        <v>5773</v>
      </c>
      <c r="M2106">
        <v>9</v>
      </c>
    </row>
    <row r="2107" spans="1:13" x14ac:dyDescent="0.25">
      <c r="A2107">
        <v>2106</v>
      </c>
      <c r="B2107" t="s">
        <v>2118</v>
      </c>
      <c r="C2107">
        <v>37</v>
      </c>
      <c r="D2107" t="s">
        <v>2947</v>
      </c>
      <c r="E2107" t="s">
        <v>2953</v>
      </c>
      <c r="F2107" t="s">
        <v>4936</v>
      </c>
      <c r="G2107" s="2">
        <v>45782</v>
      </c>
      <c r="H2107" s="2">
        <v>45788</v>
      </c>
      <c r="I2107" t="s">
        <v>5759</v>
      </c>
      <c r="J2107" t="s">
        <v>5769</v>
      </c>
      <c r="K2107">
        <v>170638.17</v>
      </c>
      <c r="L2107" t="s">
        <v>5773</v>
      </c>
      <c r="M2107">
        <v>6</v>
      </c>
    </row>
    <row r="2108" spans="1:13" x14ac:dyDescent="0.25">
      <c r="A2108">
        <v>2107</v>
      </c>
      <c r="B2108" t="s">
        <v>2119</v>
      </c>
      <c r="C2108">
        <v>77</v>
      </c>
      <c r="D2108" t="s">
        <v>2948</v>
      </c>
      <c r="E2108" t="s">
        <v>2955</v>
      </c>
      <c r="F2108" t="s">
        <v>4937</v>
      </c>
      <c r="G2108" s="2">
        <v>45636</v>
      </c>
      <c r="H2108" s="2">
        <v>45649</v>
      </c>
      <c r="I2108" t="s">
        <v>5761</v>
      </c>
      <c r="J2108" t="s">
        <v>2949</v>
      </c>
      <c r="K2108">
        <v>443351.01</v>
      </c>
      <c r="L2108" t="s">
        <v>5774</v>
      </c>
      <c r="M2108">
        <v>13</v>
      </c>
    </row>
    <row r="2109" spans="1:13" x14ac:dyDescent="0.25">
      <c r="A2109">
        <v>2108</v>
      </c>
      <c r="B2109" t="s">
        <v>2120</v>
      </c>
      <c r="C2109">
        <v>62</v>
      </c>
      <c r="D2109" t="s">
        <v>2948</v>
      </c>
      <c r="E2109" t="s">
        <v>2952</v>
      </c>
      <c r="F2109" t="s">
        <v>4938</v>
      </c>
      <c r="G2109" s="2">
        <v>45772</v>
      </c>
      <c r="H2109" s="2">
        <v>45775</v>
      </c>
      <c r="I2109" t="s">
        <v>5763</v>
      </c>
      <c r="J2109" t="s">
        <v>5769</v>
      </c>
      <c r="K2109">
        <v>224433.81</v>
      </c>
      <c r="L2109" t="s">
        <v>5773</v>
      </c>
      <c r="M2109">
        <v>3</v>
      </c>
    </row>
    <row r="2110" spans="1:13" x14ac:dyDescent="0.25">
      <c r="A2110">
        <v>2109</v>
      </c>
      <c r="B2110" t="s">
        <v>2121</v>
      </c>
      <c r="C2110">
        <v>79</v>
      </c>
      <c r="D2110" t="s">
        <v>2948</v>
      </c>
      <c r="E2110" t="s">
        <v>2950</v>
      </c>
      <c r="F2110" t="s">
        <v>4939</v>
      </c>
      <c r="G2110" s="2">
        <v>45845</v>
      </c>
      <c r="H2110" s="2">
        <v>45854</v>
      </c>
      <c r="I2110" t="s">
        <v>5764</v>
      </c>
      <c r="J2110" t="s">
        <v>2949</v>
      </c>
      <c r="K2110">
        <v>365423.08</v>
      </c>
      <c r="L2110" t="s">
        <v>5774</v>
      </c>
      <c r="M2110">
        <v>9</v>
      </c>
    </row>
    <row r="2111" spans="1:13" x14ac:dyDescent="0.25">
      <c r="A2111">
        <v>2110</v>
      </c>
      <c r="B2111" t="s">
        <v>2122</v>
      </c>
      <c r="C2111">
        <v>24</v>
      </c>
      <c r="D2111" t="s">
        <v>2947</v>
      </c>
      <c r="E2111" t="s">
        <v>2953</v>
      </c>
      <c r="F2111" t="s">
        <v>4940</v>
      </c>
      <c r="G2111" s="2">
        <v>45558</v>
      </c>
      <c r="H2111" s="2">
        <v>45566</v>
      </c>
      <c r="I2111" t="s">
        <v>5767</v>
      </c>
      <c r="J2111" t="s">
        <v>5772</v>
      </c>
      <c r="K2111">
        <v>39574.42</v>
      </c>
      <c r="L2111" t="s">
        <v>5774</v>
      </c>
      <c r="M2111">
        <v>8</v>
      </c>
    </row>
    <row r="2112" spans="1:13" x14ac:dyDescent="0.25">
      <c r="A2112">
        <v>2111</v>
      </c>
      <c r="B2112" t="s">
        <v>2123</v>
      </c>
      <c r="C2112">
        <v>2</v>
      </c>
      <c r="D2112" t="s">
        <v>2947</v>
      </c>
      <c r="E2112" t="s">
        <v>2952</v>
      </c>
      <c r="F2112" t="s">
        <v>4941</v>
      </c>
      <c r="G2112" s="2">
        <v>45760</v>
      </c>
      <c r="H2112" s="2">
        <v>45761</v>
      </c>
      <c r="I2112" t="s">
        <v>5761</v>
      </c>
      <c r="J2112" t="s">
        <v>5772</v>
      </c>
      <c r="K2112">
        <v>416036.25</v>
      </c>
      <c r="L2112" t="s">
        <v>5774</v>
      </c>
      <c r="M2112">
        <v>1</v>
      </c>
    </row>
    <row r="2113" spans="1:13" x14ac:dyDescent="0.25">
      <c r="A2113">
        <v>2112</v>
      </c>
      <c r="B2113" t="s">
        <v>2124</v>
      </c>
      <c r="C2113">
        <v>22</v>
      </c>
      <c r="D2113" t="s">
        <v>2947</v>
      </c>
      <c r="E2113" t="s">
        <v>2955</v>
      </c>
      <c r="F2113" t="s">
        <v>4942</v>
      </c>
      <c r="G2113" s="2">
        <v>45828</v>
      </c>
      <c r="H2113" s="2">
        <v>45833</v>
      </c>
      <c r="I2113" t="s">
        <v>5765</v>
      </c>
      <c r="J2113" t="s">
        <v>5771</v>
      </c>
      <c r="K2113">
        <v>224148.13</v>
      </c>
      <c r="L2113" t="s">
        <v>5774</v>
      </c>
      <c r="M2113">
        <v>5</v>
      </c>
    </row>
    <row r="2114" spans="1:13" x14ac:dyDescent="0.25">
      <c r="A2114">
        <v>2113</v>
      </c>
      <c r="B2114" t="s">
        <v>2125</v>
      </c>
      <c r="C2114">
        <v>90</v>
      </c>
      <c r="D2114" t="s">
        <v>2948</v>
      </c>
      <c r="E2114" t="s">
        <v>2955</v>
      </c>
      <c r="F2114" t="s">
        <v>4943</v>
      </c>
      <c r="G2114" s="2">
        <v>45736</v>
      </c>
      <c r="H2114" s="2">
        <v>45744</v>
      </c>
      <c r="I2114" t="s">
        <v>5764</v>
      </c>
      <c r="J2114" t="s">
        <v>5770</v>
      </c>
      <c r="K2114">
        <v>98361.23</v>
      </c>
      <c r="L2114" t="s">
        <v>5773</v>
      </c>
      <c r="M2114">
        <v>8</v>
      </c>
    </row>
    <row r="2115" spans="1:13" x14ac:dyDescent="0.25">
      <c r="A2115">
        <v>2114</v>
      </c>
      <c r="B2115" t="s">
        <v>2126</v>
      </c>
      <c r="C2115">
        <v>16</v>
      </c>
      <c r="D2115" t="s">
        <v>2948</v>
      </c>
      <c r="E2115" t="s">
        <v>2954</v>
      </c>
      <c r="F2115" t="s">
        <v>4944</v>
      </c>
      <c r="G2115" s="2">
        <v>45652</v>
      </c>
      <c r="H2115" s="2">
        <v>45665</v>
      </c>
      <c r="I2115" t="s">
        <v>5761</v>
      </c>
      <c r="J2115" t="s">
        <v>2949</v>
      </c>
      <c r="K2115">
        <v>235878.2</v>
      </c>
      <c r="L2115" t="s">
        <v>5773</v>
      </c>
      <c r="M2115">
        <v>13</v>
      </c>
    </row>
    <row r="2116" spans="1:13" x14ac:dyDescent="0.25">
      <c r="A2116">
        <v>2115</v>
      </c>
      <c r="B2116" t="s">
        <v>2127</v>
      </c>
      <c r="C2116">
        <v>64</v>
      </c>
      <c r="D2116" t="s">
        <v>2948</v>
      </c>
      <c r="E2116" t="s">
        <v>2951</v>
      </c>
      <c r="F2116" t="s">
        <v>4945</v>
      </c>
      <c r="G2116" s="2">
        <v>45686</v>
      </c>
      <c r="H2116" s="2">
        <v>45700</v>
      </c>
      <c r="I2116" t="s">
        <v>5762</v>
      </c>
      <c r="J2116" t="s">
        <v>5770</v>
      </c>
      <c r="K2116">
        <v>102607.85</v>
      </c>
      <c r="L2116" t="s">
        <v>5775</v>
      </c>
      <c r="M2116">
        <v>14</v>
      </c>
    </row>
    <row r="2117" spans="1:13" x14ac:dyDescent="0.25">
      <c r="A2117">
        <v>2116</v>
      </c>
      <c r="B2117" t="s">
        <v>2128</v>
      </c>
      <c r="C2117">
        <v>78</v>
      </c>
      <c r="D2117" t="s">
        <v>2947</v>
      </c>
      <c r="E2117" t="s">
        <v>2949</v>
      </c>
      <c r="F2117" t="s">
        <v>4946</v>
      </c>
      <c r="G2117" s="2">
        <v>45688</v>
      </c>
      <c r="H2117" s="2">
        <v>45701</v>
      </c>
      <c r="I2117" t="s">
        <v>5765</v>
      </c>
      <c r="J2117" t="s">
        <v>5772</v>
      </c>
      <c r="K2117">
        <v>335103.34999999998</v>
      </c>
      <c r="L2117" t="s">
        <v>5774</v>
      </c>
      <c r="M2117">
        <v>13</v>
      </c>
    </row>
    <row r="2118" spans="1:13" x14ac:dyDescent="0.25">
      <c r="A2118">
        <v>2117</v>
      </c>
      <c r="B2118" t="s">
        <v>2129</v>
      </c>
      <c r="C2118">
        <v>24</v>
      </c>
      <c r="D2118" t="s">
        <v>2948</v>
      </c>
      <c r="E2118" t="s">
        <v>2952</v>
      </c>
      <c r="F2118" t="s">
        <v>4947</v>
      </c>
      <c r="G2118" s="2">
        <v>45784</v>
      </c>
      <c r="H2118" s="2">
        <v>45796</v>
      </c>
      <c r="I2118" t="s">
        <v>5762</v>
      </c>
      <c r="J2118" t="s">
        <v>5769</v>
      </c>
      <c r="K2118">
        <v>483975.62</v>
      </c>
      <c r="L2118" t="s">
        <v>5774</v>
      </c>
      <c r="M2118">
        <v>12</v>
      </c>
    </row>
    <row r="2119" spans="1:13" x14ac:dyDescent="0.25">
      <c r="A2119">
        <v>2118</v>
      </c>
      <c r="B2119" t="s">
        <v>2130</v>
      </c>
      <c r="C2119">
        <v>21</v>
      </c>
      <c r="D2119" t="s">
        <v>2948</v>
      </c>
      <c r="E2119" t="s">
        <v>2950</v>
      </c>
      <c r="F2119" t="s">
        <v>4948</v>
      </c>
      <c r="G2119" s="2">
        <v>45713</v>
      </c>
      <c r="H2119" s="2">
        <v>45727</v>
      </c>
      <c r="I2119" t="s">
        <v>5763</v>
      </c>
      <c r="J2119" t="s">
        <v>5770</v>
      </c>
      <c r="K2119">
        <v>144649.38</v>
      </c>
      <c r="L2119" t="s">
        <v>5775</v>
      </c>
      <c r="M2119">
        <v>14</v>
      </c>
    </row>
    <row r="2120" spans="1:13" x14ac:dyDescent="0.25">
      <c r="A2120">
        <v>2119</v>
      </c>
      <c r="B2120" t="s">
        <v>2131</v>
      </c>
      <c r="C2120">
        <v>74</v>
      </c>
      <c r="D2120" t="s">
        <v>2948</v>
      </c>
      <c r="E2120" t="s">
        <v>2951</v>
      </c>
      <c r="F2120" t="s">
        <v>4949</v>
      </c>
      <c r="G2120" s="2">
        <v>45667</v>
      </c>
      <c r="H2120" s="2">
        <v>45671</v>
      </c>
      <c r="I2120" t="s">
        <v>5764</v>
      </c>
      <c r="J2120" t="s">
        <v>5770</v>
      </c>
      <c r="K2120">
        <v>489028.78</v>
      </c>
      <c r="L2120" t="s">
        <v>5774</v>
      </c>
      <c r="M2120">
        <v>4</v>
      </c>
    </row>
    <row r="2121" spans="1:13" x14ac:dyDescent="0.25">
      <c r="A2121">
        <v>2120</v>
      </c>
      <c r="B2121" t="s">
        <v>2132</v>
      </c>
      <c r="C2121">
        <v>90</v>
      </c>
      <c r="D2121" t="s">
        <v>2948</v>
      </c>
      <c r="E2121" t="s">
        <v>2954</v>
      </c>
      <c r="F2121" t="s">
        <v>4950</v>
      </c>
      <c r="G2121" s="2">
        <v>45857</v>
      </c>
      <c r="H2121" s="2">
        <v>45872</v>
      </c>
      <c r="I2121" t="s">
        <v>5766</v>
      </c>
      <c r="J2121" t="s">
        <v>5771</v>
      </c>
      <c r="K2121">
        <v>377802.89</v>
      </c>
      <c r="L2121" t="s">
        <v>5775</v>
      </c>
      <c r="M2121">
        <v>15</v>
      </c>
    </row>
    <row r="2122" spans="1:13" x14ac:dyDescent="0.25">
      <c r="A2122">
        <v>2121</v>
      </c>
      <c r="B2122" t="s">
        <v>2133</v>
      </c>
      <c r="C2122">
        <v>49</v>
      </c>
      <c r="D2122" t="s">
        <v>2948</v>
      </c>
      <c r="E2122" t="s">
        <v>2952</v>
      </c>
      <c r="F2122" t="s">
        <v>4951</v>
      </c>
      <c r="G2122" s="2">
        <v>45913</v>
      </c>
      <c r="H2122" s="2">
        <v>45918</v>
      </c>
      <c r="I2122" t="s">
        <v>5758</v>
      </c>
      <c r="J2122" t="s">
        <v>5769</v>
      </c>
      <c r="K2122">
        <v>80139.679999999993</v>
      </c>
      <c r="L2122" t="s">
        <v>5775</v>
      </c>
      <c r="M2122">
        <v>5</v>
      </c>
    </row>
    <row r="2123" spans="1:13" x14ac:dyDescent="0.25">
      <c r="A2123">
        <v>2122</v>
      </c>
      <c r="B2123" t="s">
        <v>2134</v>
      </c>
      <c r="C2123">
        <v>87</v>
      </c>
      <c r="D2123" t="s">
        <v>2948</v>
      </c>
      <c r="E2123" t="s">
        <v>2949</v>
      </c>
      <c r="F2123" t="s">
        <v>4952</v>
      </c>
      <c r="G2123" s="2">
        <v>45688</v>
      </c>
      <c r="H2123" s="2">
        <v>45703</v>
      </c>
      <c r="I2123" t="s">
        <v>5762</v>
      </c>
      <c r="J2123" t="s">
        <v>5772</v>
      </c>
      <c r="K2123">
        <v>463342.12</v>
      </c>
      <c r="L2123" t="s">
        <v>5774</v>
      </c>
      <c r="M2123">
        <v>15</v>
      </c>
    </row>
    <row r="2124" spans="1:13" x14ac:dyDescent="0.25">
      <c r="A2124">
        <v>2123</v>
      </c>
      <c r="B2124" t="s">
        <v>2135</v>
      </c>
      <c r="C2124">
        <v>57</v>
      </c>
      <c r="D2124" t="s">
        <v>2948</v>
      </c>
      <c r="E2124" t="s">
        <v>2953</v>
      </c>
      <c r="F2124" t="s">
        <v>4953</v>
      </c>
      <c r="G2124" s="2">
        <v>45905</v>
      </c>
      <c r="H2124" s="2">
        <v>45907</v>
      </c>
      <c r="I2124" t="s">
        <v>5758</v>
      </c>
      <c r="J2124" t="s">
        <v>5769</v>
      </c>
      <c r="K2124">
        <v>219822.72</v>
      </c>
      <c r="L2124" t="s">
        <v>5773</v>
      </c>
      <c r="M2124">
        <v>2</v>
      </c>
    </row>
    <row r="2125" spans="1:13" x14ac:dyDescent="0.25">
      <c r="A2125">
        <v>2124</v>
      </c>
      <c r="B2125" t="s">
        <v>2136</v>
      </c>
      <c r="C2125">
        <v>69</v>
      </c>
      <c r="D2125" t="s">
        <v>2948</v>
      </c>
      <c r="E2125" t="s">
        <v>2949</v>
      </c>
      <c r="F2125" t="s">
        <v>4954</v>
      </c>
      <c r="G2125" s="2">
        <v>45582</v>
      </c>
      <c r="H2125" s="2">
        <v>45583</v>
      </c>
      <c r="I2125" t="s">
        <v>5762</v>
      </c>
      <c r="J2125" t="s">
        <v>5769</v>
      </c>
      <c r="K2125">
        <v>13382.33</v>
      </c>
      <c r="L2125" t="s">
        <v>5773</v>
      </c>
      <c r="M2125">
        <v>1</v>
      </c>
    </row>
    <row r="2126" spans="1:13" x14ac:dyDescent="0.25">
      <c r="A2126">
        <v>2125</v>
      </c>
      <c r="B2126" t="s">
        <v>2137</v>
      </c>
      <c r="C2126">
        <v>6</v>
      </c>
      <c r="D2126" t="s">
        <v>2947</v>
      </c>
      <c r="E2126" t="s">
        <v>2951</v>
      </c>
      <c r="F2126" t="s">
        <v>4955</v>
      </c>
      <c r="G2126" s="2">
        <v>45668</v>
      </c>
      <c r="H2126" s="2">
        <v>45675</v>
      </c>
      <c r="I2126" t="s">
        <v>5759</v>
      </c>
      <c r="J2126" t="s">
        <v>2949</v>
      </c>
      <c r="K2126">
        <v>15286.69</v>
      </c>
      <c r="L2126" t="s">
        <v>5773</v>
      </c>
      <c r="M2126">
        <v>7</v>
      </c>
    </row>
    <row r="2127" spans="1:13" x14ac:dyDescent="0.25">
      <c r="A2127">
        <v>2126</v>
      </c>
      <c r="B2127" t="s">
        <v>2138</v>
      </c>
      <c r="C2127">
        <v>28</v>
      </c>
      <c r="D2127" t="s">
        <v>2948</v>
      </c>
      <c r="E2127" t="s">
        <v>2951</v>
      </c>
      <c r="F2127" t="s">
        <v>4956</v>
      </c>
      <c r="G2127" s="2">
        <v>45908</v>
      </c>
      <c r="H2127" s="2">
        <v>45910</v>
      </c>
      <c r="I2127" t="s">
        <v>5759</v>
      </c>
      <c r="J2127" t="s">
        <v>5769</v>
      </c>
      <c r="K2127">
        <v>333528.40999999997</v>
      </c>
      <c r="L2127" t="s">
        <v>5774</v>
      </c>
      <c r="M2127">
        <v>2</v>
      </c>
    </row>
    <row r="2128" spans="1:13" x14ac:dyDescent="0.25">
      <c r="A2128">
        <v>2127</v>
      </c>
      <c r="B2128" t="s">
        <v>2139</v>
      </c>
      <c r="C2128">
        <v>85</v>
      </c>
      <c r="D2128" t="s">
        <v>2947</v>
      </c>
      <c r="E2128" t="s">
        <v>2949</v>
      </c>
      <c r="F2128" t="s">
        <v>4957</v>
      </c>
      <c r="G2128" s="2">
        <v>45861</v>
      </c>
      <c r="H2128" s="2">
        <v>45867</v>
      </c>
      <c r="I2128" t="s">
        <v>5764</v>
      </c>
      <c r="J2128" t="s">
        <v>2949</v>
      </c>
      <c r="K2128">
        <v>103485.26</v>
      </c>
      <c r="L2128" t="s">
        <v>5773</v>
      </c>
      <c r="M2128">
        <v>6</v>
      </c>
    </row>
    <row r="2129" spans="1:13" x14ac:dyDescent="0.25">
      <c r="A2129">
        <v>2128</v>
      </c>
      <c r="B2129" t="s">
        <v>2140</v>
      </c>
      <c r="C2129">
        <v>43</v>
      </c>
      <c r="D2129" t="s">
        <v>2947</v>
      </c>
      <c r="E2129" t="s">
        <v>2950</v>
      </c>
      <c r="F2129" t="s">
        <v>4958</v>
      </c>
      <c r="G2129" s="2">
        <v>45715</v>
      </c>
      <c r="H2129" s="2">
        <v>45717</v>
      </c>
      <c r="I2129" t="s">
        <v>5763</v>
      </c>
      <c r="J2129" t="s">
        <v>5772</v>
      </c>
      <c r="K2129">
        <v>428982.91</v>
      </c>
      <c r="L2129" t="s">
        <v>5774</v>
      </c>
      <c r="M2129">
        <v>2</v>
      </c>
    </row>
    <row r="2130" spans="1:13" x14ac:dyDescent="0.25">
      <c r="A2130">
        <v>2129</v>
      </c>
      <c r="B2130" t="s">
        <v>2141</v>
      </c>
      <c r="C2130">
        <v>59</v>
      </c>
      <c r="D2130" t="s">
        <v>2948</v>
      </c>
      <c r="E2130" t="s">
        <v>2954</v>
      </c>
      <c r="F2130" t="s">
        <v>4959</v>
      </c>
      <c r="G2130" s="2">
        <v>45848</v>
      </c>
      <c r="H2130" s="2">
        <v>45854</v>
      </c>
      <c r="I2130" t="s">
        <v>5760</v>
      </c>
      <c r="J2130" t="s">
        <v>5770</v>
      </c>
      <c r="K2130">
        <v>290202.59999999998</v>
      </c>
      <c r="L2130" t="s">
        <v>5775</v>
      </c>
      <c r="M2130">
        <v>6</v>
      </c>
    </row>
    <row r="2131" spans="1:13" x14ac:dyDescent="0.25">
      <c r="A2131">
        <v>2130</v>
      </c>
      <c r="B2131" t="s">
        <v>2142</v>
      </c>
      <c r="C2131">
        <v>27</v>
      </c>
      <c r="D2131" t="s">
        <v>2948</v>
      </c>
      <c r="E2131" t="s">
        <v>2954</v>
      </c>
      <c r="F2131" t="s">
        <v>4960</v>
      </c>
      <c r="G2131" s="2">
        <v>45727</v>
      </c>
      <c r="H2131" s="2">
        <v>45738</v>
      </c>
      <c r="I2131" t="s">
        <v>5759</v>
      </c>
      <c r="J2131" t="s">
        <v>5769</v>
      </c>
      <c r="K2131">
        <v>110310.65</v>
      </c>
      <c r="L2131" t="s">
        <v>5774</v>
      </c>
      <c r="M2131">
        <v>11</v>
      </c>
    </row>
    <row r="2132" spans="1:13" x14ac:dyDescent="0.25">
      <c r="A2132">
        <v>2131</v>
      </c>
      <c r="B2132" t="s">
        <v>2143</v>
      </c>
      <c r="C2132">
        <v>59</v>
      </c>
      <c r="D2132" t="s">
        <v>2947</v>
      </c>
      <c r="E2132" t="s">
        <v>2949</v>
      </c>
      <c r="F2132" t="s">
        <v>2510</v>
      </c>
      <c r="G2132" s="2">
        <v>45607</v>
      </c>
      <c r="H2132" s="2">
        <v>45620</v>
      </c>
      <c r="I2132" t="s">
        <v>5767</v>
      </c>
      <c r="J2132" t="s">
        <v>5768</v>
      </c>
      <c r="K2132">
        <v>236345.76</v>
      </c>
      <c r="L2132" t="s">
        <v>5773</v>
      </c>
      <c r="M2132">
        <v>13</v>
      </c>
    </row>
    <row r="2133" spans="1:13" x14ac:dyDescent="0.25">
      <c r="A2133">
        <v>2132</v>
      </c>
      <c r="B2133" t="s">
        <v>2144</v>
      </c>
      <c r="C2133">
        <v>19</v>
      </c>
      <c r="D2133" t="s">
        <v>2947</v>
      </c>
      <c r="E2133" t="s">
        <v>2953</v>
      </c>
      <c r="F2133" t="s">
        <v>4961</v>
      </c>
      <c r="G2133" s="2">
        <v>45706</v>
      </c>
      <c r="H2133" s="2">
        <v>45707</v>
      </c>
      <c r="I2133" t="s">
        <v>5762</v>
      </c>
      <c r="J2133" t="s">
        <v>5771</v>
      </c>
      <c r="K2133">
        <v>279896.23</v>
      </c>
      <c r="L2133" t="s">
        <v>5775</v>
      </c>
      <c r="M2133">
        <v>1</v>
      </c>
    </row>
    <row r="2134" spans="1:13" x14ac:dyDescent="0.25">
      <c r="A2134">
        <v>2133</v>
      </c>
      <c r="B2134" t="s">
        <v>2145</v>
      </c>
      <c r="C2134">
        <v>17</v>
      </c>
      <c r="D2134" t="s">
        <v>2947</v>
      </c>
      <c r="E2134" t="s">
        <v>2952</v>
      </c>
      <c r="F2134" t="s">
        <v>4962</v>
      </c>
      <c r="G2134" s="2">
        <v>45551</v>
      </c>
      <c r="H2134" s="2">
        <v>45566</v>
      </c>
      <c r="I2134" t="s">
        <v>5760</v>
      </c>
      <c r="J2134" t="s">
        <v>5769</v>
      </c>
      <c r="K2134">
        <v>158101.48000000001</v>
      </c>
      <c r="L2134" t="s">
        <v>5774</v>
      </c>
      <c r="M2134">
        <v>15</v>
      </c>
    </row>
    <row r="2135" spans="1:13" x14ac:dyDescent="0.25">
      <c r="A2135">
        <v>2134</v>
      </c>
      <c r="B2135" t="s">
        <v>2146</v>
      </c>
      <c r="C2135">
        <v>78</v>
      </c>
      <c r="D2135" t="s">
        <v>2948</v>
      </c>
      <c r="E2135" t="s">
        <v>2950</v>
      </c>
      <c r="F2135" t="s">
        <v>4963</v>
      </c>
      <c r="G2135" s="2">
        <v>45649</v>
      </c>
      <c r="H2135" s="2">
        <v>45661</v>
      </c>
      <c r="I2135" t="s">
        <v>5762</v>
      </c>
      <c r="J2135" t="s">
        <v>5768</v>
      </c>
      <c r="K2135">
        <v>359207.5</v>
      </c>
      <c r="L2135" t="s">
        <v>5774</v>
      </c>
      <c r="M2135">
        <v>12</v>
      </c>
    </row>
    <row r="2136" spans="1:13" x14ac:dyDescent="0.25">
      <c r="A2136">
        <v>2135</v>
      </c>
      <c r="B2136" t="s">
        <v>2147</v>
      </c>
      <c r="C2136">
        <v>51</v>
      </c>
      <c r="D2136" t="s">
        <v>2947</v>
      </c>
      <c r="E2136" t="s">
        <v>2949</v>
      </c>
      <c r="F2136" t="s">
        <v>4964</v>
      </c>
      <c r="G2136" s="2">
        <v>45914</v>
      </c>
      <c r="H2136" s="2">
        <v>45921</v>
      </c>
      <c r="I2136" t="s">
        <v>5766</v>
      </c>
      <c r="J2136" t="s">
        <v>5769</v>
      </c>
      <c r="K2136">
        <v>280930.15000000002</v>
      </c>
      <c r="L2136" t="s">
        <v>5773</v>
      </c>
      <c r="M2136">
        <v>7</v>
      </c>
    </row>
    <row r="2137" spans="1:13" x14ac:dyDescent="0.25">
      <c r="A2137">
        <v>2136</v>
      </c>
      <c r="B2137" t="s">
        <v>2148</v>
      </c>
      <c r="C2137">
        <v>37</v>
      </c>
      <c r="D2137" t="s">
        <v>2947</v>
      </c>
      <c r="E2137" t="s">
        <v>2950</v>
      </c>
      <c r="F2137" t="s">
        <v>4965</v>
      </c>
      <c r="G2137" s="2">
        <v>45619</v>
      </c>
      <c r="H2137" s="2">
        <v>45625</v>
      </c>
      <c r="I2137" t="s">
        <v>5766</v>
      </c>
      <c r="J2137" t="s">
        <v>5768</v>
      </c>
      <c r="K2137">
        <v>30497.200000000001</v>
      </c>
      <c r="L2137" t="s">
        <v>5773</v>
      </c>
      <c r="M2137">
        <v>6</v>
      </c>
    </row>
    <row r="2138" spans="1:13" x14ac:dyDescent="0.25">
      <c r="A2138">
        <v>2137</v>
      </c>
      <c r="B2138" t="s">
        <v>2149</v>
      </c>
      <c r="C2138">
        <v>49</v>
      </c>
      <c r="D2138" t="s">
        <v>2948</v>
      </c>
      <c r="E2138" t="s">
        <v>2953</v>
      </c>
      <c r="F2138" t="s">
        <v>4966</v>
      </c>
      <c r="G2138" s="2">
        <v>45621</v>
      </c>
      <c r="H2138" s="2">
        <v>45630</v>
      </c>
      <c r="I2138" t="s">
        <v>5758</v>
      </c>
      <c r="J2138" t="s">
        <v>5772</v>
      </c>
      <c r="K2138">
        <v>492099.99</v>
      </c>
      <c r="L2138" t="s">
        <v>5773</v>
      </c>
      <c r="M2138">
        <v>9</v>
      </c>
    </row>
    <row r="2139" spans="1:13" x14ac:dyDescent="0.25">
      <c r="A2139">
        <v>2138</v>
      </c>
      <c r="B2139" t="s">
        <v>2150</v>
      </c>
      <c r="C2139">
        <v>10</v>
      </c>
      <c r="D2139" t="s">
        <v>2947</v>
      </c>
      <c r="E2139" t="s">
        <v>2955</v>
      </c>
      <c r="F2139" t="s">
        <v>4967</v>
      </c>
      <c r="G2139" s="2">
        <v>45796</v>
      </c>
      <c r="H2139" s="2">
        <v>45807</v>
      </c>
      <c r="I2139" t="s">
        <v>5766</v>
      </c>
      <c r="J2139" t="s">
        <v>5772</v>
      </c>
      <c r="K2139">
        <v>130499.04</v>
      </c>
      <c r="L2139" t="s">
        <v>5774</v>
      </c>
      <c r="M2139">
        <v>11</v>
      </c>
    </row>
    <row r="2140" spans="1:13" x14ac:dyDescent="0.25">
      <c r="A2140">
        <v>2139</v>
      </c>
      <c r="B2140" t="s">
        <v>2151</v>
      </c>
      <c r="C2140">
        <v>34</v>
      </c>
      <c r="D2140" t="s">
        <v>2947</v>
      </c>
      <c r="E2140" t="s">
        <v>2949</v>
      </c>
      <c r="F2140" t="s">
        <v>4968</v>
      </c>
      <c r="G2140" s="2">
        <v>45659</v>
      </c>
      <c r="H2140" s="2">
        <v>45667</v>
      </c>
      <c r="I2140" t="s">
        <v>5761</v>
      </c>
      <c r="J2140" t="s">
        <v>2949</v>
      </c>
      <c r="K2140">
        <v>123704.46</v>
      </c>
      <c r="L2140" t="s">
        <v>5775</v>
      </c>
      <c r="M2140">
        <v>8</v>
      </c>
    </row>
    <row r="2141" spans="1:13" x14ac:dyDescent="0.25">
      <c r="A2141">
        <v>2140</v>
      </c>
      <c r="B2141" t="s">
        <v>2152</v>
      </c>
      <c r="C2141">
        <v>17</v>
      </c>
      <c r="D2141" t="s">
        <v>2947</v>
      </c>
      <c r="E2141" t="s">
        <v>2949</v>
      </c>
      <c r="F2141" t="s">
        <v>4969</v>
      </c>
      <c r="G2141" s="2">
        <v>45882</v>
      </c>
      <c r="H2141" s="2">
        <v>45884</v>
      </c>
      <c r="I2141" t="s">
        <v>5760</v>
      </c>
      <c r="J2141" t="s">
        <v>5769</v>
      </c>
      <c r="K2141">
        <v>363868.6</v>
      </c>
      <c r="L2141" t="s">
        <v>5774</v>
      </c>
      <c r="M2141">
        <v>2</v>
      </c>
    </row>
    <row r="2142" spans="1:13" x14ac:dyDescent="0.25">
      <c r="A2142">
        <v>2141</v>
      </c>
      <c r="B2142" t="s">
        <v>2153</v>
      </c>
      <c r="C2142">
        <v>18</v>
      </c>
      <c r="D2142" t="s">
        <v>2947</v>
      </c>
      <c r="E2142" t="s">
        <v>2952</v>
      </c>
      <c r="F2142" t="s">
        <v>4970</v>
      </c>
      <c r="G2142" s="2">
        <v>45829</v>
      </c>
      <c r="H2142" s="2">
        <v>45831</v>
      </c>
      <c r="I2142" t="s">
        <v>5758</v>
      </c>
      <c r="J2142" t="s">
        <v>5772</v>
      </c>
      <c r="K2142">
        <v>102661.77</v>
      </c>
      <c r="L2142" t="s">
        <v>5775</v>
      </c>
      <c r="M2142">
        <v>2</v>
      </c>
    </row>
    <row r="2143" spans="1:13" x14ac:dyDescent="0.25">
      <c r="A2143">
        <v>2142</v>
      </c>
      <c r="B2143" t="s">
        <v>2154</v>
      </c>
      <c r="C2143">
        <v>51</v>
      </c>
      <c r="D2143" t="s">
        <v>2947</v>
      </c>
      <c r="E2143" t="s">
        <v>2955</v>
      </c>
      <c r="F2143" t="s">
        <v>1261</v>
      </c>
      <c r="G2143" s="2">
        <v>45657</v>
      </c>
      <c r="H2143" s="2">
        <v>45672</v>
      </c>
      <c r="I2143" t="s">
        <v>5760</v>
      </c>
      <c r="J2143" t="s">
        <v>2949</v>
      </c>
      <c r="K2143">
        <v>348643.02</v>
      </c>
      <c r="L2143" t="s">
        <v>5773</v>
      </c>
      <c r="M2143">
        <v>15</v>
      </c>
    </row>
    <row r="2144" spans="1:13" x14ac:dyDescent="0.25">
      <c r="A2144">
        <v>2143</v>
      </c>
      <c r="B2144" t="s">
        <v>2155</v>
      </c>
      <c r="C2144">
        <v>75</v>
      </c>
      <c r="D2144" t="s">
        <v>2948</v>
      </c>
      <c r="E2144" t="s">
        <v>2950</v>
      </c>
      <c r="F2144" t="s">
        <v>4971</v>
      </c>
      <c r="G2144" s="2">
        <v>45587</v>
      </c>
      <c r="H2144" s="2">
        <v>45591</v>
      </c>
      <c r="I2144" t="s">
        <v>5758</v>
      </c>
      <c r="J2144" t="s">
        <v>5768</v>
      </c>
      <c r="K2144">
        <v>289633.81</v>
      </c>
      <c r="L2144" t="s">
        <v>5774</v>
      </c>
      <c r="M2144">
        <v>4</v>
      </c>
    </row>
    <row r="2145" spans="1:13" x14ac:dyDescent="0.25">
      <c r="A2145">
        <v>2144</v>
      </c>
      <c r="B2145" t="s">
        <v>2156</v>
      </c>
      <c r="C2145">
        <v>9</v>
      </c>
      <c r="D2145" t="s">
        <v>2947</v>
      </c>
      <c r="E2145" t="s">
        <v>2955</v>
      </c>
      <c r="F2145" t="s">
        <v>4972</v>
      </c>
      <c r="G2145" s="2">
        <v>45565</v>
      </c>
      <c r="H2145" s="2">
        <v>45575</v>
      </c>
      <c r="I2145" t="s">
        <v>5761</v>
      </c>
      <c r="J2145" t="s">
        <v>5769</v>
      </c>
      <c r="K2145">
        <v>158753.20000000001</v>
      </c>
      <c r="L2145" t="s">
        <v>5775</v>
      </c>
      <c r="M2145">
        <v>10</v>
      </c>
    </row>
    <row r="2146" spans="1:13" x14ac:dyDescent="0.25">
      <c r="A2146">
        <v>2145</v>
      </c>
      <c r="B2146" t="s">
        <v>2157</v>
      </c>
      <c r="C2146">
        <v>32</v>
      </c>
      <c r="D2146" t="s">
        <v>2948</v>
      </c>
      <c r="E2146" t="s">
        <v>2949</v>
      </c>
      <c r="F2146" t="s">
        <v>4973</v>
      </c>
      <c r="G2146" s="2">
        <v>45694</v>
      </c>
      <c r="H2146" s="2">
        <v>45701</v>
      </c>
      <c r="I2146" t="s">
        <v>5764</v>
      </c>
      <c r="J2146" t="s">
        <v>5772</v>
      </c>
      <c r="K2146">
        <v>96691.71</v>
      </c>
      <c r="L2146" t="s">
        <v>5773</v>
      </c>
      <c r="M2146">
        <v>7</v>
      </c>
    </row>
    <row r="2147" spans="1:13" x14ac:dyDescent="0.25">
      <c r="A2147">
        <v>2146</v>
      </c>
      <c r="B2147" t="s">
        <v>2158</v>
      </c>
      <c r="C2147">
        <v>17</v>
      </c>
      <c r="D2147" t="s">
        <v>2948</v>
      </c>
      <c r="E2147" t="s">
        <v>2949</v>
      </c>
      <c r="F2147" t="s">
        <v>4974</v>
      </c>
      <c r="G2147" s="2">
        <v>45612</v>
      </c>
      <c r="H2147" s="2">
        <v>45619</v>
      </c>
      <c r="I2147" t="s">
        <v>5767</v>
      </c>
      <c r="J2147" t="s">
        <v>5768</v>
      </c>
      <c r="K2147">
        <v>27031.62</v>
      </c>
      <c r="L2147" t="s">
        <v>5775</v>
      </c>
      <c r="M2147">
        <v>7</v>
      </c>
    </row>
    <row r="2148" spans="1:13" x14ac:dyDescent="0.25">
      <c r="A2148">
        <v>2147</v>
      </c>
      <c r="B2148" t="s">
        <v>2159</v>
      </c>
      <c r="C2148">
        <v>65</v>
      </c>
      <c r="D2148" t="s">
        <v>2947</v>
      </c>
      <c r="E2148" t="s">
        <v>2955</v>
      </c>
      <c r="F2148" t="s">
        <v>4975</v>
      </c>
      <c r="G2148" s="2">
        <v>45767</v>
      </c>
      <c r="H2148" s="2">
        <v>45772</v>
      </c>
      <c r="I2148" t="s">
        <v>5760</v>
      </c>
      <c r="J2148" t="s">
        <v>5771</v>
      </c>
      <c r="K2148">
        <v>236085.77</v>
      </c>
      <c r="L2148" t="s">
        <v>5775</v>
      </c>
      <c r="M2148">
        <v>5</v>
      </c>
    </row>
    <row r="2149" spans="1:13" x14ac:dyDescent="0.25">
      <c r="A2149">
        <v>2148</v>
      </c>
      <c r="B2149" t="s">
        <v>2160</v>
      </c>
      <c r="C2149">
        <v>50</v>
      </c>
      <c r="D2149" t="s">
        <v>2947</v>
      </c>
      <c r="E2149" t="s">
        <v>2950</v>
      </c>
      <c r="F2149" t="s">
        <v>4976</v>
      </c>
      <c r="G2149" s="2">
        <v>45764</v>
      </c>
      <c r="H2149" s="2">
        <v>45775</v>
      </c>
      <c r="I2149" t="s">
        <v>5766</v>
      </c>
      <c r="J2149" t="s">
        <v>5768</v>
      </c>
      <c r="K2149">
        <v>50568.6</v>
      </c>
      <c r="L2149" t="s">
        <v>5773</v>
      </c>
      <c r="M2149">
        <v>11</v>
      </c>
    </row>
    <row r="2150" spans="1:13" x14ac:dyDescent="0.25">
      <c r="A2150">
        <v>2149</v>
      </c>
      <c r="B2150" t="s">
        <v>2161</v>
      </c>
      <c r="C2150">
        <v>36</v>
      </c>
      <c r="D2150" t="s">
        <v>2948</v>
      </c>
      <c r="E2150" t="s">
        <v>2953</v>
      </c>
      <c r="F2150" t="s">
        <v>4977</v>
      </c>
      <c r="G2150" s="2">
        <v>45612</v>
      </c>
      <c r="H2150" s="2">
        <v>45623</v>
      </c>
      <c r="I2150" t="s">
        <v>5764</v>
      </c>
      <c r="J2150" t="s">
        <v>5769</v>
      </c>
      <c r="K2150">
        <v>104539.87</v>
      </c>
      <c r="L2150" t="s">
        <v>5775</v>
      </c>
      <c r="M2150">
        <v>11</v>
      </c>
    </row>
    <row r="2151" spans="1:13" x14ac:dyDescent="0.25">
      <c r="A2151">
        <v>2150</v>
      </c>
      <c r="B2151" t="s">
        <v>2162</v>
      </c>
      <c r="C2151">
        <v>86</v>
      </c>
      <c r="D2151" t="s">
        <v>2947</v>
      </c>
      <c r="E2151" t="s">
        <v>2952</v>
      </c>
      <c r="F2151" t="s">
        <v>4978</v>
      </c>
      <c r="G2151" s="2">
        <v>45577</v>
      </c>
      <c r="H2151" s="2">
        <v>45578</v>
      </c>
      <c r="I2151" t="s">
        <v>5763</v>
      </c>
      <c r="J2151" t="s">
        <v>5771</v>
      </c>
      <c r="K2151">
        <v>121128.97</v>
      </c>
      <c r="L2151" t="s">
        <v>5774</v>
      </c>
      <c r="M2151">
        <v>1</v>
      </c>
    </row>
    <row r="2152" spans="1:13" x14ac:dyDescent="0.25">
      <c r="A2152">
        <v>2151</v>
      </c>
      <c r="B2152" t="s">
        <v>2163</v>
      </c>
      <c r="C2152">
        <v>12</v>
      </c>
      <c r="D2152" t="s">
        <v>2947</v>
      </c>
      <c r="E2152" t="s">
        <v>2951</v>
      </c>
      <c r="F2152" t="s">
        <v>4979</v>
      </c>
      <c r="G2152" s="2">
        <v>45847</v>
      </c>
      <c r="H2152" s="2">
        <v>45855</v>
      </c>
      <c r="I2152" t="s">
        <v>5759</v>
      </c>
      <c r="J2152" t="s">
        <v>5770</v>
      </c>
      <c r="K2152">
        <v>66327.710000000006</v>
      </c>
      <c r="L2152" t="s">
        <v>5773</v>
      </c>
      <c r="M2152">
        <v>8</v>
      </c>
    </row>
    <row r="2153" spans="1:13" x14ac:dyDescent="0.25">
      <c r="A2153">
        <v>2152</v>
      </c>
      <c r="B2153" t="s">
        <v>2164</v>
      </c>
      <c r="C2153">
        <v>10</v>
      </c>
      <c r="D2153" t="s">
        <v>2948</v>
      </c>
      <c r="E2153" t="s">
        <v>2951</v>
      </c>
      <c r="F2153" t="s">
        <v>4980</v>
      </c>
      <c r="G2153" s="2">
        <v>45807</v>
      </c>
      <c r="H2153" s="2">
        <v>45820</v>
      </c>
      <c r="I2153" t="s">
        <v>5759</v>
      </c>
      <c r="J2153" t="s">
        <v>5772</v>
      </c>
      <c r="K2153">
        <v>165755.74</v>
      </c>
      <c r="L2153" t="s">
        <v>5775</v>
      </c>
      <c r="M2153">
        <v>13</v>
      </c>
    </row>
    <row r="2154" spans="1:13" x14ac:dyDescent="0.25">
      <c r="A2154">
        <v>2153</v>
      </c>
      <c r="B2154" t="s">
        <v>2165</v>
      </c>
      <c r="C2154">
        <v>61</v>
      </c>
      <c r="D2154" t="s">
        <v>2947</v>
      </c>
      <c r="E2154" t="s">
        <v>2955</v>
      </c>
      <c r="F2154" t="s">
        <v>4981</v>
      </c>
      <c r="G2154" s="2">
        <v>45803</v>
      </c>
      <c r="H2154" s="2">
        <v>45814</v>
      </c>
      <c r="I2154" t="s">
        <v>5763</v>
      </c>
      <c r="J2154" t="s">
        <v>5768</v>
      </c>
      <c r="K2154">
        <v>473114.42</v>
      </c>
      <c r="L2154" t="s">
        <v>5775</v>
      </c>
      <c r="M2154">
        <v>11</v>
      </c>
    </row>
    <row r="2155" spans="1:13" x14ac:dyDescent="0.25">
      <c r="A2155">
        <v>2154</v>
      </c>
      <c r="B2155" t="s">
        <v>2166</v>
      </c>
      <c r="C2155">
        <v>34</v>
      </c>
      <c r="D2155" t="s">
        <v>2948</v>
      </c>
      <c r="E2155" t="s">
        <v>2949</v>
      </c>
      <c r="F2155" t="s">
        <v>4982</v>
      </c>
      <c r="G2155" s="2">
        <v>45600</v>
      </c>
      <c r="H2155" s="2">
        <v>45614</v>
      </c>
      <c r="I2155" t="s">
        <v>5767</v>
      </c>
      <c r="J2155" t="s">
        <v>5769</v>
      </c>
      <c r="K2155">
        <v>109469.63</v>
      </c>
      <c r="L2155" t="s">
        <v>5775</v>
      </c>
      <c r="M2155">
        <v>14</v>
      </c>
    </row>
    <row r="2156" spans="1:13" x14ac:dyDescent="0.25">
      <c r="A2156">
        <v>2155</v>
      </c>
      <c r="B2156" t="s">
        <v>2167</v>
      </c>
      <c r="C2156">
        <v>30</v>
      </c>
      <c r="D2156" t="s">
        <v>2948</v>
      </c>
      <c r="E2156" t="s">
        <v>2951</v>
      </c>
      <c r="F2156" t="s">
        <v>4983</v>
      </c>
      <c r="G2156" s="2">
        <v>45858</v>
      </c>
      <c r="H2156" s="2">
        <v>45869</v>
      </c>
      <c r="I2156" t="s">
        <v>5760</v>
      </c>
      <c r="J2156" t="s">
        <v>5771</v>
      </c>
      <c r="K2156">
        <v>363078.23</v>
      </c>
      <c r="L2156" t="s">
        <v>5773</v>
      </c>
      <c r="M2156">
        <v>11</v>
      </c>
    </row>
    <row r="2157" spans="1:13" x14ac:dyDescent="0.25">
      <c r="A2157">
        <v>2156</v>
      </c>
      <c r="B2157" t="s">
        <v>2168</v>
      </c>
      <c r="C2157">
        <v>44</v>
      </c>
      <c r="D2157" t="s">
        <v>2948</v>
      </c>
      <c r="E2157" t="s">
        <v>2954</v>
      </c>
      <c r="F2157" t="s">
        <v>4984</v>
      </c>
      <c r="G2157" s="2">
        <v>45744</v>
      </c>
      <c r="H2157" s="2">
        <v>45747</v>
      </c>
      <c r="I2157" t="s">
        <v>5767</v>
      </c>
      <c r="J2157" t="s">
        <v>5772</v>
      </c>
      <c r="K2157">
        <v>434163.51</v>
      </c>
      <c r="L2157" t="s">
        <v>5773</v>
      </c>
      <c r="M2157">
        <v>3</v>
      </c>
    </row>
    <row r="2158" spans="1:13" x14ac:dyDescent="0.25">
      <c r="A2158">
        <v>2157</v>
      </c>
      <c r="B2158" t="s">
        <v>2169</v>
      </c>
      <c r="C2158">
        <v>40</v>
      </c>
      <c r="D2158" t="s">
        <v>2948</v>
      </c>
      <c r="E2158" t="s">
        <v>2949</v>
      </c>
      <c r="F2158" t="s">
        <v>4985</v>
      </c>
      <c r="G2158" s="2">
        <v>45719</v>
      </c>
      <c r="H2158" s="2">
        <v>45725</v>
      </c>
      <c r="I2158" t="s">
        <v>5765</v>
      </c>
      <c r="J2158" t="s">
        <v>5770</v>
      </c>
      <c r="K2158">
        <v>85768.04</v>
      </c>
      <c r="L2158" t="s">
        <v>5774</v>
      </c>
      <c r="M2158">
        <v>6</v>
      </c>
    </row>
    <row r="2159" spans="1:13" x14ac:dyDescent="0.25">
      <c r="A2159">
        <v>2158</v>
      </c>
      <c r="B2159" t="s">
        <v>2170</v>
      </c>
      <c r="C2159">
        <v>72</v>
      </c>
      <c r="D2159" t="s">
        <v>2947</v>
      </c>
      <c r="E2159" t="s">
        <v>2951</v>
      </c>
      <c r="F2159" t="s">
        <v>4986</v>
      </c>
      <c r="G2159" s="2">
        <v>45883</v>
      </c>
      <c r="H2159" s="2">
        <v>45896</v>
      </c>
      <c r="I2159" t="s">
        <v>5758</v>
      </c>
      <c r="J2159" t="s">
        <v>5769</v>
      </c>
      <c r="K2159">
        <v>192713.91</v>
      </c>
      <c r="L2159" t="s">
        <v>5775</v>
      </c>
      <c r="M2159">
        <v>13</v>
      </c>
    </row>
    <row r="2160" spans="1:13" x14ac:dyDescent="0.25">
      <c r="A2160">
        <v>2159</v>
      </c>
      <c r="B2160" t="s">
        <v>2171</v>
      </c>
      <c r="C2160">
        <v>85</v>
      </c>
      <c r="D2160" t="s">
        <v>2948</v>
      </c>
      <c r="E2160" t="s">
        <v>2955</v>
      </c>
      <c r="F2160" t="s">
        <v>4987</v>
      </c>
      <c r="G2160" s="2">
        <v>45663</v>
      </c>
      <c r="H2160" s="2">
        <v>45667</v>
      </c>
      <c r="I2160" t="s">
        <v>5767</v>
      </c>
      <c r="J2160" t="s">
        <v>5770</v>
      </c>
      <c r="K2160">
        <v>267599.40999999997</v>
      </c>
      <c r="L2160" t="s">
        <v>5775</v>
      </c>
      <c r="M2160">
        <v>4</v>
      </c>
    </row>
    <row r="2161" spans="1:13" x14ac:dyDescent="0.25">
      <c r="A2161">
        <v>2160</v>
      </c>
      <c r="B2161" t="s">
        <v>2172</v>
      </c>
      <c r="C2161">
        <v>38</v>
      </c>
      <c r="D2161" t="s">
        <v>2948</v>
      </c>
      <c r="E2161" t="s">
        <v>2949</v>
      </c>
      <c r="F2161" t="s">
        <v>4988</v>
      </c>
      <c r="G2161" s="2">
        <v>45570</v>
      </c>
      <c r="H2161" s="2">
        <v>45572</v>
      </c>
      <c r="I2161" t="s">
        <v>5762</v>
      </c>
      <c r="J2161" t="s">
        <v>5768</v>
      </c>
      <c r="K2161">
        <v>315485.46000000002</v>
      </c>
      <c r="L2161" t="s">
        <v>5774</v>
      </c>
      <c r="M2161">
        <v>2</v>
      </c>
    </row>
    <row r="2162" spans="1:13" x14ac:dyDescent="0.25">
      <c r="A2162">
        <v>2161</v>
      </c>
      <c r="B2162" t="s">
        <v>2173</v>
      </c>
      <c r="C2162">
        <v>57</v>
      </c>
      <c r="D2162" t="s">
        <v>2948</v>
      </c>
      <c r="E2162" t="s">
        <v>2955</v>
      </c>
      <c r="F2162" t="s">
        <v>4989</v>
      </c>
      <c r="G2162" s="2">
        <v>45594</v>
      </c>
      <c r="H2162" s="2">
        <v>45608</v>
      </c>
      <c r="I2162" t="s">
        <v>5760</v>
      </c>
      <c r="J2162" t="s">
        <v>5770</v>
      </c>
      <c r="K2162">
        <v>142833.04999999999</v>
      </c>
      <c r="L2162" t="s">
        <v>5774</v>
      </c>
      <c r="M2162">
        <v>14</v>
      </c>
    </row>
    <row r="2163" spans="1:13" x14ac:dyDescent="0.25">
      <c r="A2163">
        <v>2162</v>
      </c>
      <c r="B2163" t="s">
        <v>2174</v>
      </c>
      <c r="C2163">
        <v>61</v>
      </c>
      <c r="D2163" t="s">
        <v>2948</v>
      </c>
      <c r="E2163" t="s">
        <v>2953</v>
      </c>
      <c r="F2163" t="s">
        <v>4990</v>
      </c>
      <c r="G2163" s="2">
        <v>45624</v>
      </c>
      <c r="H2163" s="2">
        <v>45625</v>
      </c>
      <c r="I2163" t="s">
        <v>5759</v>
      </c>
      <c r="J2163" t="s">
        <v>5772</v>
      </c>
      <c r="K2163">
        <v>481821.93</v>
      </c>
      <c r="L2163" t="s">
        <v>5775</v>
      </c>
      <c r="M2163">
        <v>1</v>
      </c>
    </row>
    <row r="2164" spans="1:13" x14ac:dyDescent="0.25">
      <c r="A2164">
        <v>2163</v>
      </c>
      <c r="B2164" t="s">
        <v>2175</v>
      </c>
      <c r="C2164">
        <v>64</v>
      </c>
      <c r="D2164" t="s">
        <v>2948</v>
      </c>
      <c r="E2164" t="s">
        <v>2952</v>
      </c>
      <c r="F2164" t="s">
        <v>4991</v>
      </c>
      <c r="G2164" s="2">
        <v>45599</v>
      </c>
      <c r="H2164" s="2">
        <v>45612</v>
      </c>
      <c r="I2164" t="s">
        <v>5765</v>
      </c>
      <c r="J2164" t="s">
        <v>2949</v>
      </c>
      <c r="K2164">
        <v>489189.4</v>
      </c>
      <c r="L2164" t="s">
        <v>5773</v>
      </c>
      <c r="M2164">
        <v>13</v>
      </c>
    </row>
    <row r="2165" spans="1:13" x14ac:dyDescent="0.25">
      <c r="A2165">
        <v>2164</v>
      </c>
      <c r="B2165" t="s">
        <v>2176</v>
      </c>
      <c r="C2165">
        <v>64</v>
      </c>
      <c r="D2165" t="s">
        <v>2948</v>
      </c>
      <c r="E2165" t="s">
        <v>2954</v>
      </c>
      <c r="F2165" t="s">
        <v>4992</v>
      </c>
      <c r="G2165" s="2">
        <v>45845</v>
      </c>
      <c r="H2165" s="2">
        <v>45850</v>
      </c>
      <c r="I2165" t="s">
        <v>5767</v>
      </c>
      <c r="J2165" t="s">
        <v>5770</v>
      </c>
      <c r="K2165">
        <v>455855.88</v>
      </c>
      <c r="L2165" t="s">
        <v>5775</v>
      </c>
      <c r="M2165">
        <v>5</v>
      </c>
    </row>
    <row r="2166" spans="1:13" x14ac:dyDescent="0.25">
      <c r="A2166">
        <v>2165</v>
      </c>
      <c r="B2166" t="s">
        <v>2177</v>
      </c>
      <c r="C2166">
        <v>44</v>
      </c>
      <c r="D2166" t="s">
        <v>2947</v>
      </c>
      <c r="E2166" t="s">
        <v>2952</v>
      </c>
      <c r="F2166" t="s">
        <v>4993</v>
      </c>
      <c r="G2166" s="2">
        <v>45788</v>
      </c>
      <c r="H2166" s="2">
        <v>45799</v>
      </c>
      <c r="I2166" t="s">
        <v>5765</v>
      </c>
      <c r="J2166" t="s">
        <v>5770</v>
      </c>
      <c r="K2166">
        <v>331357.03999999998</v>
      </c>
      <c r="L2166" t="s">
        <v>5775</v>
      </c>
      <c r="M2166">
        <v>11</v>
      </c>
    </row>
    <row r="2167" spans="1:13" x14ac:dyDescent="0.25">
      <c r="A2167">
        <v>2166</v>
      </c>
      <c r="B2167" t="s">
        <v>2178</v>
      </c>
      <c r="C2167">
        <v>78</v>
      </c>
      <c r="D2167" t="s">
        <v>2948</v>
      </c>
      <c r="E2167" t="s">
        <v>2949</v>
      </c>
      <c r="F2167" t="s">
        <v>4994</v>
      </c>
      <c r="G2167" s="2">
        <v>45665</v>
      </c>
      <c r="H2167" s="2">
        <v>45675</v>
      </c>
      <c r="I2167" t="s">
        <v>5766</v>
      </c>
      <c r="J2167" t="s">
        <v>2949</v>
      </c>
      <c r="K2167">
        <v>20106.759999999998</v>
      </c>
      <c r="L2167" t="s">
        <v>5775</v>
      </c>
      <c r="M2167">
        <v>10</v>
      </c>
    </row>
    <row r="2168" spans="1:13" x14ac:dyDescent="0.25">
      <c r="A2168">
        <v>2167</v>
      </c>
      <c r="B2168" t="s">
        <v>2179</v>
      </c>
      <c r="C2168">
        <v>18</v>
      </c>
      <c r="D2168" t="s">
        <v>2948</v>
      </c>
      <c r="E2168" t="s">
        <v>2951</v>
      </c>
      <c r="F2168" t="s">
        <v>4995</v>
      </c>
      <c r="G2168" s="2">
        <v>45842</v>
      </c>
      <c r="H2168" s="2">
        <v>45855</v>
      </c>
      <c r="I2168" t="s">
        <v>5761</v>
      </c>
      <c r="J2168" t="s">
        <v>5771</v>
      </c>
      <c r="K2168">
        <v>409974.6</v>
      </c>
      <c r="L2168" t="s">
        <v>5775</v>
      </c>
      <c r="M2168">
        <v>13</v>
      </c>
    </row>
    <row r="2169" spans="1:13" x14ac:dyDescent="0.25">
      <c r="A2169">
        <v>2168</v>
      </c>
      <c r="B2169" t="s">
        <v>2180</v>
      </c>
      <c r="C2169">
        <v>45</v>
      </c>
      <c r="D2169" t="s">
        <v>2948</v>
      </c>
      <c r="E2169" t="s">
        <v>2951</v>
      </c>
      <c r="F2169" t="s">
        <v>4996</v>
      </c>
      <c r="G2169" s="2">
        <v>45902</v>
      </c>
      <c r="H2169" s="2">
        <v>45905</v>
      </c>
      <c r="I2169" t="s">
        <v>5766</v>
      </c>
      <c r="J2169" t="s">
        <v>5771</v>
      </c>
      <c r="K2169">
        <v>177982.19</v>
      </c>
      <c r="L2169" t="s">
        <v>5773</v>
      </c>
      <c r="M2169">
        <v>3</v>
      </c>
    </row>
    <row r="2170" spans="1:13" x14ac:dyDescent="0.25">
      <c r="A2170">
        <v>2169</v>
      </c>
      <c r="B2170" t="s">
        <v>2181</v>
      </c>
      <c r="C2170">
        <v>80</v>
      </c>
      <c r="D2170" t="s">
        <v>2947</v>
      </c>
      <c r="E2170" t="s">
        <v>2952</v>
      </c>
      <c r="F2170" t="s">
        <v>4997</v>
      </c>
      <c r="G2170" s="2">
        <v>45806</v>
      </c>
      <c r="H2170" s="2">
        <v>45809</v>
      </c>
      <c r="I2170" t="s">
        <v>5763</v>
      </c>
      <c r="J2170" t="s">
        <v>5769</v>
      </c>
      <c r="K2170">
        <v>499064.17</v>
      </c>
      <c r="L2170" t="s">
        <v>5774</v>
      </c>
      <c r="M2170">
        <v>3</v>
      </c>
    </row>
    <row r="2171" spans="1:13" x14ac:dyDescent="0.25">
      <c r="A2171">
        <v>2170</v>
      </c>
      <c r="B2171" t="s">
        <v>2182</v>
      </c>
      <c r="C2171">
        <v>66</v>
      </c>
      <c r="D2171" t="s">
        <v>2948</v>
      </c>
      <c r="E2171" t="s">
        <v>2951</v>
      </c>
      <c r="F2171" t="s">
        <v>4998</v>
      </c>
      <c r="G2171" s="2">
        <v>45885</v>
      </c>
      <c r="H2171" s="2">
        <v>45893</v>
      </c>
      <c r="I2171" t="s">
        <v>5762</v>
      </c>
      <c r="J2171" t="s">
        <v>2949</v>
      </c>
      <c r="K2171">
        <v>172004.94</v>
      </c>
      <c r="L2171" t="s">
        <v>5774</v>
      </c>
      <c r="M2171">
        <v>8</v>
      </c>
    </row>
    <row r="2172" spans="1:13" x14ac:dyDescent="0.25">
      <c r="A2172">
        <v>2171</v>
      </c>
      <c r="B2172" t="s">
        <v>2183</v>
      </c>
      <c r="C2172">
        <v>46</v>
      </c>
      <c r="D2172" t="s">
        <v>2947</v>
      </c>
      <c r="E2172" t="s">
        <v>2954</v>
      </c>
      <c r="F2172" t="s">
        <v>4999</v>
      </c>
      <c r="G2172" s="2">
        <v>45678</v>
      </c>
      <c r="H2172" s="2">
        <v>45691</v>
      </c>
      <c r="I2172" t="s">
        <v>5763</v>
      </c>
      <c r="J2172" t="s">
        <v>5769</v>
      </c>
      <c r="K2172">
        <v>340328.55</v>
      </c>
      <c r="L2172" t="s">
        <v>5775</v>
      </c>
      <c r="M2172">
        <v>13</v>
      </c>
    </row>
    <row r="2173" spans="1:13" x14ac:dyDescent="0.25">
      <c r="A2173">
        <v>2172</v>
      </c>
      <c r="B2173" t="s">
        <v>2184</v>
      </c>
      <c r="C2173">
        <v>8</v>
      </c>
      <c r="D2173" t="s">
        <v>2947</v>
      </c>
      <c r="E2173" t="s">
        <v>2954</v>
      </c>
      <c r="F2173" t="s">
        <v>5000</v>
      </c>
      <c r="G2173" s="2">
        <v>45578</v>
      </c>
      <c r="H2173" s="2">
        <v>45587</v>
      </c>
      <c r="I2173" t="s">
        <v>5767</v>
      </c>
      <c r="J2173" t="s">
        <v>5770</v>
      </c>
      <c r="K2173">
        <v>191666.46</v>
      </c>
      <c r="L2173" t="s">
        <v>5773</v>
      </c>
      <c r="M2173">
        <v>9</v>
      </c>
    </row>
    <row r="2174" spans="1:13" x14ac:dyDescent="0.25">
      <c r="A2174">
        <v>2173</v>
      </c>
      <c r="B2174" t="s">
        <v>2185</v>
      </c>
      <c r="C2174">
        <v>81</v>
      </c>
      <c r="D2174" t="s">
        <v>2948</v>
      </c>
      <c r="E2174" t="s">
        <v>2949</v>
      </c>
      <c r="F2174" t="s">
        <v>5001</v>
      </c>
      <c r="G2174" s="2">
        <v>45665</v>
      </c>
      <c r="H2174" s="2">
        <v>45670</v>
      </c>
      <c r="I2174" t="s">
        <v>5760</v>
      </c>
      <c r="J2174" t="s">
        <v>5770</v>
      </c>
      <c r="K2174">
        <v>449863.07</v>
      </c>
      <c r="L2174" t="s">
        <v>5775</v>
      </c>
      <c r="M2174">
        <v>5</v>
      </c>
    </row>
    <row r="2175" spans="1:13" x14ac:dyDescent="0.25">
      <c r="A2175">
        <v>2174</v>
      </c>
      <c r="B2175" t="s">
        <v>2186</v>
      </c>
      <c r="C2175">
        <v>77</v>
      </c>
      <c r="D2175" t="s">
        <v>2947</v>
      </c>
      <c r="E2175" t="s">
        <v>2953</v>
      </c>
      <c r="F2175" t="s">
        <v>5002</v>
      </c>
      <c r="G2175" s="2">
        <v>45636</v>
      </c>
      <c r="H2175" s="2">
        <v>45650</v>
      </c>
      <c r="I2175" t="s">
        <v>5759</v>
      </c>
      <c r="J2175" t="s">
        <v>5771</v>
      </c>
      <c r="K2175">
        <v>382751.13</v>
      </c>
      <c r="L2175" t="s">
        <v>5775</v>
      </c>
      <c r="M2175">
        <v>14</v>
      </c>
    </row>
    <row r="2176" spans="1:13" x14ac:dyDescent="0.25">
      <c r="A2176">
        <v>2175</v>
      </c>
      <c r="B2176" t="s">
        <v>2187</v>
      </c>
      <c r="C2176">
        <v>81</v>
      </c>
      <c r="D2176" t="s">
        <v>2948</v>
      </c>
      <c r="E2176" t="s">
        <v>2949</v>
      </c>
      <c r="F2176" t="s">
        <v>5003</v>
      </c>
      <c r="G2176" s="2">
        <v>45798</v>
      </c>
      <c r="H2176" s="2">
        <v>45808</v>
      </c>
      <c r="I2176" t="s">
        <v>5767</v>
      </c>
      <c r="J2176" t="s">
        <v>5770</v>
      </c>
      <c r="K2176">
        <v>278520.75</v>
      </c>
      <c r="L2176" t="s">
        <v>5775</v>
      </c>
      <c r="M2176">
        <v>10</v>
      </c>
    </row>
    <row r="2177" spans="1:13" x14ac:dyDescent="0.25">
      <c r="A2177">
        <v>2176</v>
      </c>
      <c r="B2177" t="s">
        <v>2188</v>
      </c>
      <c r="C2177">
        <v>30</v>
      </c>
      <c r="D2177" t="s">
        <v>2948</v>
      </c>
      <c r="E2177" t="s">
        <v>2955</v>
      </c>
      <c r="F2177" t="s">
        <v>5004</v>
      </c>
      <c r="G2177" s="2">
        <v>45657</v>
      </c>
      <c r="H2177" s="2">
        <v>45669</v>
      </c>
      <c r="I2177" t="s">
        <v>5759</v>
      </c>
      <c r="J2177" t="s">
        <v>5770</v>
      </c>
      <c r="K2177">
        <v>286267.05</v>
      </c>
      <c r="L2177" t="s">
        <v>5773</v>
      </c>
      <c r="M2177">
        <v>12</v>
      </c>
    </row>
    <row r="2178" spans="1:13" x14ac:dyDescent="0.25">
      <c r="A2178">
        <v>2177</v>
      </c>
      <c r="B2178" t="s">
        <v>2189</v>
      </c>
      <c r="C2178">
        <v>16</v>
      </c>
      <c r="D2178" t="s">
        <v>2948</v>
      </c>
      <c r="E2178" t="s">
        <v>2952</v>
      </c>
      <c r="F2178" t="s">
        <v>5005</v>
      </c>
      <c r="G2178" s="2">
        <v>45857</v>
      </c>
      <c r="H2178" s="2">
        <v>45872</v>
      </c>
      <c r="I2178" t="s">
        <v>5763</v>
      </c>
      <c r="J2178" t="s">
        <v>5771</v>
      </c>
      <c r="K2178">
        <v>319825.93</v>
      </c>
      <c r="L2178" t="s">
        <v>5774</v>
      </c>
      <c r="M2178">
        <v>15</v>
      </c>
    </row>
    <row r="2179" spans="1:13" x14ac:dyDescent="0.25">
      <c r="A2179">
        <v>2178</v>
      </c>
      <c r="B2179" t="s">
        <v>2190</v>
      </c>
      <c r="C2179">
        <v>61</v>
      </c>
      <c r="D2179" t="s">
        <v>2947</v>
      </c>
      <c r="E2179" t="s">
        <v>2954</v>
      </c>
      <c r="F2179" t="s">
        <v>4969</v>
      </c>
      <c r="G2179" s="2">
        <v>45693</v>
      </c>
      <c r="H2179" s="2">
        <v>45696</v>
      </c>
      <c r="I2179" t="s">
        <v>5767</v>
      </c>
      <c r="J2179" t="s">
        <v>5769</v>
      </c>
      <c r="K2179">
        <v>186855.07</v>
      </c>
      <c r="L2179" t="s">
        <v>5775</v>
      </c>
      <c r="M2179">
        <v>3</v>
      </c>
    </row>
    <row r="2180" spans="1:13" x14ac:dyDescent="0.25">
      <c r="A2180">
        <v>2179</v>
      </c>
      <c r="B2180" t="s">
        <v>2191</v>
      </c>
      <c r="C2180">
        <v>9</v>
      </c>
      <c r="D2180" t="s">
        <v>2947</v>
      </c>
      <c r="E2180" t="s">
        <v>2950</v>
      </c>
      <c r="F2180" t="s">
        <v>5006</v>
      </c>
      <c r="G2180" s="2">
        <v>45895</v>
      </c>
      <c r="H2180" s="2">
        <v>45901</v>
      </c>
      <c r="I2180" t="s">
        <v>5767</v>
      </c>
      <c r="J2180" t="s">
        <v>5768</v>
      </c>
      <c r="K2180">
        <v>497327.07</v>
      </c>
      <c r="L2180" t="s">
        <v>5773</v>
      </c>
      <c r="M2180">
        <v>6</v>
      </c>
    </row>
    <row r="2181" spans="1:13" x14ac:dyDescent="0.25">
      <c r="A2181">
        <v>2180</v>
      </c>
      <c r="B2181" t="s">
        <v>2192</v>
      </c>
      <c r="C2181">
        <v>29</v>
      </c>
      <c r="D2181" t="s">
        <v>2947</v>
      </c>
      <c r="E2181" t="s">
        <v>2953</v>
      </c>
      <c r="F2181" t="s">
        <v>246</v>
      </c>
      <c r="G2181" s="2">
        <v>45768</v>
      </c>
      <c r="H2181" s="2">
        <v>45781</v>
      </c>
      <c r="I2181" t="s">
        <v>5765</v>
      </c>
      <c r="J2181" t="s">
        <v>5772</v>
      </c>
      <c r="K2181">
        <v>207915.8</v>
      </c>
      <c r="L2181" t="s">
        <v>5773</v>
      </c>
      <c r="M2181">
        <v>13</v>
      </c>
    </row>
    <row r="2182" spans="1:13" x14ac:dyDescent="0.25">
      <c r="A2182">
        <v>2181</v>
      </c>
      <c r="B2182" t="s">
        <v>2193</v>
      </c>
      <c r="C2182">
        <v>73</v>
      </c>
      <c r="D2182" t="s">
        <v>2948</v>
      </c>
      <c r="E2182" t="s">
        <v>2954</v>
      </c>
      <c r="F2182" t="s">
        <v>945</v>
      </c>
      <c r="G2182" s="2">
        <v>45792</v>
      </c>
      <c r="H2182" s="2">
        <v>45800</v>
      </c>
      <c r="I2182" t="s">
        <v>5766</v>
      </c>
      <c r="J2182" t="s">
        <v>5771</v>
      </c>
      <c r="K2182">
        <v>454993.84</v>
      </c>
      <c r="L2182" t="s">
        <v>5774</v>
      </c>
      <c r="M2182">
        <v>8</v>
      </c>
    </row>
    <row r="2183" spans="1:13" x14ac:dyDescent="0.25">
      <c r="A2183">
        <v>2182</v>
      </c>
      <c r="B2183" t="s">
        <v>2194</v>
      </c>
      <c r="C2183">
        <v>1</v>
      </c>
      <c r="D2183" t="s">
        <v>2948</v>
      </c>
      <c r="E2183" t="s">
        <v>2953</v>
      </c>
      <c r="F2183" t="s">
        <v>5007</v>
      </c>
      <c r="G2183" s="2">
        <v>45558</v>
      </c>
      <c r="H2183" s="2">
        <v>45559</v>
      </c>
      <c r="I2183" t="s">
        <v>5760</v>
      </c>
      <c r="J2183" t="s">
        <v>5772</v>
      </c>
      <c r="K2183">
        <v>315275.56</v>
      </c>
      <c r="L2183" t="s">
        <v>5773</v>
      </c>
      <c r="M2183">
        <v>1</v>
      </c>
    </row>
    <row r="2184" spans="1:13" x14ac:dyDescent="0.25">
      <c r="A2184">
        <v>2183</v>
      </c>
      <c r="B2184" t="s">
        <v>2195</v>
      </c>
      <c r="C2184">
        <v>29</v>
      </c>
      <c r="D2184" t="s">
        <v>2947</v>
      </c>
      <c r="E2184" t="s">
        <v>2949</v>
      </c>
      <c r="F2184" t="s">
        <v>5008</v>
      </c>
      <c r="G2184" s="2">
        <v>45721</v>
      </c>
      <c r="H2184" s="2">
        <v>45723</v>
      </c>
      <c r="I2184" t="s">
        <v>5764</v>
      </c>
      <c r="J2184" t="s">
        <v>5768</v>
      </c>
      <c r="K2184">
        <v>238407.33</v>
      </c>
      <c r="L2184" t="s">
        <v>5774</v>
      </c>
      <c r="M2184">
        <v>2</v>
      </c>
    </row>
    <row r="2185" spans="1:13" x14ac:dyDescent="0.25">
      <c r="A2185">
        <v>2184</v>
      </c>
      <c r="B2185" t="s">
        <v>2196</v>
      </c>
      <c r="C2185">
        <v>21</v>
      </c>
      <c r="D2185" t="s">
        <v>2947</v>
      </c>
      <c r="E2185" t="s">
        <v>2951</v>
      </c>
      <c r="F2185" t="s">
        <v>5009</v>
      </c>
      <c r="G2185" s="2">
        <v>45818</v>
      </c>
      <c r="H2185" s="2">
        <v>45825</v>
      </c>
      <c r="I2185" t="s">
        <v>5762</v>
      </c>
      <c r="J2185" t="s">
        <v>5769</v>
      </c>
      <c r="K2185">
        <v>444220.46</v>
      </c>
      <c r="L2185" t="s">
        <v>5775</v>
      </c>
      <c r="M2185">
        <v>7</v>
      </c>
    </row>
    <row r="2186" spans="1:13" x14ac:dyDescent="0.25">
      <c r="A2186">
        <v>2185</v>
      </c>
      <c r="B2186" t="s">
        <v>2197</v>
      </c>
      <c r="C2186">
        <v>11</v>
      </c>
      <c r="D2186" t="s">
        <v>2947</v>
      </c>
      <c r="E2186" t="s">
        <v>2949</v>
      </c>
      <c r="F2186" t="s">
        <v>5010</v>
      </c>
      <c r="G2186" s="2">
        <v>45764</v>
      </c>
      <c r="H2186" s="2">
        <v>45765</v>
      </c>
      <c r="I2186" t="s">
        <v>5766</v>
      </c>
      <c r="J2186" t="s">
        <v>5770</v>
      </c>
      <c r="K2186">
        <v>254955.31</v>
      </c>
      <c r="L2186" t="s">
        <v>5774</v>
      </c>
      <c r="M2186">
        <v>1</v>
      </c>
    </row>
    <row r="2187" spans="1:13" x14ac:dyDescent="0.25">
      <c r="A2187">
        <v>2186</v>
      </c>
      <c r="B2187" t="s">
        <v>2198</v>
      </c>
      <c r="C2187">
        <v>29</v>
      </c>
      <c r="D2187" t="s">
        <v>2947</v>
      </c>
      <c r="E2187" t="s">
        <v>2954</v>
      </c>
      <c r="F2187" t="s">
        <v>5011</v>
      </c>
      <c r="G2187" s="2">
        <v>45594</v>
      </c>
      <c r="H2187" s="2">
        <v>45601</v>
      </c>
      <c r="I2187" t="s">
        <v>5762</v>
      </c>
      <c r="J2187" t="s">
        <v>5768</v>
      </c>
      <c r="K2187">
        <v>266561.67</v>
      </c>
      <c r="L2187" t="s">
        <v>5774</v>
      </c>
      <c r="M2187">
        <v>7</v>
      </c>
    </row>
    <row r="2188" spans="1:13" x14ac:dyDescent="0.25">
      <c r="A2188">
        <v>2187</v>
      </c>
      <c r="B2188" t="s">
        <v>2199</v>
      </c>
      <c r="C2188">
        <v>57</v>
      </c>
      <c r="D2188" t="s">
        <v>2947</v>
      </c>
      <c r="E2188" t="s">
        <v>2955</v>
      </c>
      <c r="F2188" t="s">
        <v>5012</v>
      </c>
      <c r="G2188" s="2">
        <v>45789</v>
      </c>
      <c r="H2188" s="2">
        <v>45801</v>
      </c>
      <c r="I2188" t="s">
        <v>5760</v>
      </c>
      <c r="J2188" t="s">
        <v>5769</v>
      </c>
      <c r="K2188">
        <v>357863.76</v>
      </c>
      <c r="L2188" t="s">
        <v>5775</v>
      </c>
      <c r="M2188">
        <v>12</v>
      </c>
    </row>
    <row r="2189" spans="1:13" x14ac:dyDescent="0.25">
      <c r="A2189">
        <v>2188</v>
      </c>
      <c r="B2189" t="s">
        <v>2200</v>
      </c>
      <c r="C2189">
        <v>7</v>
      </c>
      <c r="D2189" t="s">
        <v>2948</v>
      </c>
      <c r="E2189" t="s">
        <v>2954</v>
      </c>
      <c r="F2189" t="s">
        <v>5013</v>
      </c>
      <c r="G2189" s="2">
        <v>45672</v>
      </c>
      <c r="H2189" s="2">
        <v>45678</v>
      </c>
      <c r="I2189" t="s">
        <v>5766</v>
      </c>
      <c r="J2189" t="s">
        <v>5770</v>
      </c>
      <c r="K2189">
        <v>10809.69</v>
      </c>
      <c r="L2189" t="s">
        <v>5774</v>
      </c>
      <c r="M2189">
        <v>6</v>
      </c>
    </row>
    <row r="2190" spans="1:13" x14ac:dyDescent="0.25">
      <c r="A2190">
        <v>2189</v>
      </c>
      <c r="B2190" t="s">
        <v>2201</v>
      </c>
      <c r="C2190">
        <v>23</v>
      </c>
      <c r="D2190" t="s">
        <v>2947</v>
      </c>
      <c r="E2190" t="s">
        <v>2951</v>
      </c>
      <c r="F2190" t="s">
        <v>5014</v>
      </c>
      <c r="G2190" s="2">
        <v>45902</v>
      </c>
      <c r="H2190" s="2">
        <v>45916</v>
      </c>
      <c r="I2190" t="s">
        <v>5760</v>
      </c>
      <c r="J2190" t="s">
        <v>5768</v>
      </c>
      <c r="K2190">
        <v>111372.46</v>
      </c>
      <c r="L2190" t="s">
        <v>5773</v>
      </c>
      <c r="M2190">
        <v>14</v>
      </c>
    </row>
    <row r="2191" spans="1:13" x14ac:dyDescent="0.25">
      <c r="A2191">
        <v>2190</v>
      </c>
      <c r="B2191" t="s">
        <v>2202</v>
      </c>
      <c r="C2191">
        <v>90</v>
      </c>
      <c r="D2191" t="s">
        <v>2948</v>
      </c>
      <c r="E2191" t="s">
        <v>2953</v>
      </c>
      <c r="F2191" t="s">
        <v>5015</v>
      </c>
      <c r="G2191" s="2">
        <v>45712</v>
      </c>
      <c r="H2191" s="2">
        <v>45720</v>
      </c>
      <c r="I2191" t="s">
        <v>5759</v>
      </c>
      <c r="J2191" t="s">
        <v>5769</v>
      </c>
      <c r="K2191">
        <v>493990.77</v>
      </c>
      <c r="L2191" t="s">
        <v>5773</v>
      </c>
      <c r="M2191">
        <v>8</v>
      </c>
    </row>
    <row r="2192" spans="1:13" x14ac:dyDescent="0.25">
      <c r="A2192">
        <v>2191</v>
      </c>
      <c r="B2192" t="s">
        <v>2203</v>
      </c>
      <c r="C2192">
        <v>13</v>
      </c>
      <c r="D2192" t="s">
        <v>2947</v>
      </c>
      <c r="E2192" t="s">
        <v>2955</v>
      </c>
      <c r="F2192" t="s">
        <v>5016</v>
      </c>
      <c r="G2192" s="2">
        <v>45850</v>
      </c>
      <c r="H2192" s="2">
        <v>45861</v>
      </c>
      <c r="I2192" t="s">
        <v>5766</v>
      </c>
      <c r="J2192" t="s">
        <v>2949</v>
      </c>
      <c r="K2192">
        <v>341954.33</v>
      </c>
      <c r="L2192" t="s">
        <v>5773</v>
      </c>
      <c r="M2192">
        <v>11</v>
      </c>
    </row>
    <row r="2193" spans="1:13" x14ac:dyDescent="0.25">
      <c r="A2193">
        <v>2192</v>
      </c>
      <c r="B2193" t="s">
        <v>2204</v>
      </c>
      <c r="C2193">
        <v>54</v>
      </c>
      <c r="D2193" t="s">
        <v>2947</v>
      </c>
      <c r="E2193" t="s">
        <v>2950</v>
      </c>
      <c r="F2193" t="s">
        <v>5017</v>
      </c>
      <c r="G2193" s="2">
        <v>45893</v>
      </c>
      <c r="H2193" s="2">
        <v>45896</v>
      </c>
      <c r="I2193" t="s">
        <v>5758</v>
      </c>
      <c r="J2193" t="s">
        <v>5769</v>
      </c>
      <c r="K2193">
        <v>404635.97</v>
      </c>
      <c r="L2193" t="s">
        <v>5775</v>
      </c>
      <c r="M2193">
        <v>3</v>
      </c>
    </row>
    <row r="2194" spans="1:13" x14ac:dyDescent="0.25">
      <c r="A2194">
        <v>2193</v>
      </c>
      <c r="B2194" t="s">
        <v>2205</v>
      </c>
      <c r="C2194">
        <v>9</v>
      </c>
      <c r="D2194" t="s">
        <v>2947</v>
      </c>
      <c r="E2194" t="s">
        <v>2955</v>
      </c>
      <c r="F2194" t="s">
        <v>5018</v>
      </c>
      <c r="G2194" s="2">
        <v>45670</v>
      </c>
      <c r="H2194" s="2">
        <v>45676</v>
      </c>
      <c r="I2194" t="s">
        <v>5767</v>
      </c>
      <c r="J2194" t="s">
        <v>5772</v>
      </c>
      <c r="K2194">
        <v>438069.19</v>
      </c>
      <c r="L2194" t="s">
        <v>5773</v>
      </c>
      <c r="M2194">
        <v>6</v>
      </c>
    </row>
    <row r="2195" spans="1:13" x14ac:dyDescent="0.25">
      <c r="A2195">
        <v>2194</v>
      </c>
      <c r="B2195" t="s">
        <v>2206</v>
      </c>
      <c r="C2195">
        <v>29</v>
      </c>
      <c r="D2195" t="s">
        <v>2947</v>
      </c>
      <c r="E2195" t="s">
        <v>2955</v>
      </c>
      <c r="F2195" t="s">
        <v>5019</v>
      </c>
      <c r="G2195" s="2">
        <v>45596</v>
      </c>
      <c r="H2195" s="2">
        <v>45611</v>
      </c>
      <c r="I2195" t="s">
        <v>5767</v>
      </c>
      <c r="J2195" t="s">
        <v>5771</v>
      </c>
      <c r="K2195">
        <v>497600.04</v>
      </c>
      <c r="L2195" t="s">
        <v>5773</v>
      </c>
      <c r="M2195">
        <v>15</v>
      </c>
    </row>
    <row r="2196" spans="1:13" x14ac:dyDescent="0.25">
      <c r="A2196">
        <v>2195</v>
      </c>
      <c r="B2196" t="s">
        <v>2207</v>
      </c>
      <c r="C2196">
        <v>26</v>
      </c>
      <c r="D2196" t="s">
        <v>2947</v>
      </c>
      <c r="E2196" t="s">
        <v>2954</v>
      </c>
      <c r="F2196" t="s">
        <v>5020</v>
      </c>
      <c r="G2196" s="2">
        <v>45855</v>
      </c>
      <c r="H2196" s="2">
        <v>45861</v>
      </c>
      <c r="I2196" t="s">
        <v>5761</v>
      </c>
      <c r="J2196" t="s">
        <v>5769</v>
      </c>
      <c r="K2196">
        <v>447867.71</v>
      </c>
      <c r="L2196" t="s">
        <v>5775</v>
      </c>
      <c r="M2196">
        <v>6</v>
      </c>
    </row>
    <row r="2197" spans="1:13" x14ac:dyDescent="0.25">
      <c r="A2197">
        <v>2196</v>
      </c>
      <c r="B2197" t="s">
        <v>2208</v>
      </c>
      <c r="C2197">
        <v>16</v>
      </c>
      <c r="D2197" t="s">
        <v>2948</v>
      </c>
      <c r="E2197" t="s">
        <v>2951</v>
      </c>
      <c r="F2197" t="s">
        <v>5021</v>
      </c>
      <c r="G2197" s="2">
        <v>45774</v>
      </c>
      <c r="H2197" s="2">
        <v>45776</v>
      </c>
      <c r="I2197" t="s">
        <v>5764</v>
      </c>
      <c r="J2197" t="s">
        <v>5770</v>
      </c>
      <c r="K2197">
        <v>68209.22</v>
      </c>
      <c r="L2197" t="s">
        <v>5774</v>
      </c>
      <c r="M2197">
        <v>2</v>
      </c>
    </row>
    <row r="2198" spans="1:13" x14ac:dyDescent="0.25">
      <c r="A2198">
        <v>2197</v>
      </c>
      <c r="B2198" t="s">
        <v>2209</v>
      </c>
      <c r="C2198">
        <v>46</v>
      </c>
      <c r="D2198" t="s">
        <v>2947</v>
      </c>
      <c r="E2198" t="s">
        <v>2951</v>
      </c>
      <c r="F2198" t="s">
        <v>5022</v>
      </c>
      <c r="G2198" s="2">
        <v>45613</v>
      </c>
      <c r="H2198" s="2">
        <v>45620</v>
      </c>
      <c r="I2198" t="s">
        <v>5762</v>
      </c>
      <c r="J2198" t="s">
        <v>5771</v>
      </c>
      <c r="K2198">
        <v>151473.20000000001</v>
      </c>
      <c r="L2198" t="s">
        <v>5774</v>
      </c>
      <c r="M2198">
        <v>7</v>
      </c>
    </row>
    <row r="2199" spans="1:13" x14ac:dyDescent="0.25">
      <c r="A2199">
        <v>2198</v>
      </c>
      <c r="B2199" t="s">
        <v>2210</v>
      </c>
      <c r="C2199">
        <v>58</v>
      </c>
      <c r="D2199" t="s">
        <v>2947</v>
      </c>
      <c r="E2199" t="s">
        <v>2950</v>
      </c>
      <c r="F2199" t="s">
        <v>5023</v>
      </c>
      <c r="G2199" s="2">
        <v>45709</v>
      </c>
      <c r="H2199" s="2">
        <v>45713</v>
      </c>
      <c r="I2199" t="s">
        <v>5758</v>
      </c>
      <c r="J2199" t="s">
        <v>5770</v>
      </c>
      <c r="K2199">
        <v>363457.96</v>
      </c>
      <c r="L2199" t="s">
        <v>5773</v>
      </c>
      <c r="M2199">
        <v>4</v>
      </c>
    </row>
    <row r="2200" spans="1:13" x14ac:dyDescent="0.25">
      <c r="A2200">
        <v>2199</v>
      </c>
      <c r="B2200" t="s">
        <v>2211</v>
      </c>
      <c r="C2200">
        <v>51</v>
      </c>
      <c r="D2200" t="s">
        <v>2947</v>
      </c>
      <c r="E2200" t="s">
        <v>2951</v>
      </c>
      <c r="F2200" t="s">
        <v>3588</v>
      </c>
      <c r="G2200" s="2">
        <v>45739</v>
      </c>
      <c r="H2200" s="2">
        <v>45751</v>
      </c>
      <c r="I2200" t="s">
        <v>5763</v>
      </c>
      <c r="J2200" t="s">
        <v>2949</v>
      </c>
      <c r="K2200">
        <v>101628.11</v>
      </c>
      <c r="L2200" t="s">
        <v>5773</v>
      </c>
      <c r="M2200">
        <v>12</v>
      </c>
    </row>
    <row r="2201" spans="1:13" x14ac:dyDescent="0.25">
      <c r="A2201">
        <v>2200</v>
      </c>
      <c r="B2201" t="s">
        <v>2212</v>
      </c>
      <c r="C2201">
        <v>18</v>
      </c>
      <c r="D2201" t="s">
        <v>2947</v>
      </c>
      <c r="E2201" t="s">
        <v>2950</v>
      </c>
      <c r="F2201" t="s">
        <v>5024</v>
      </c>
      <c r="G2201" s="2">
        <v>45637</v>
      </c>
      <c r="H2201" s="2">
        <v>45644</v>
      </c>
      <c r="I2201" t="s">
        <v>5762</v>
      </c>
      <c r="J2201" t="s">
        <v>5770</v>
      </c>
      <c r="K2201">
        <v>109975.66</v>
      </c>
      <c r="L2201" t="s">
        <v>5775</v>
      </c>
      <c r="M2201">
        <v>7</v>
      </c>
    </row>
    <row r="2202" spans="1:13" x14ac:dyDescent="0.25">
      <c r="A2202">
        <v>2201</v>
      </c>
      <c r="B2202" t="s">
        <v>2213</v>
      </c>
      <c r="C2202">
        <v>59</v>
      </c>
      <c r="D2202" t="s">
        <v>2947</v>
      </c>
      <c r="E2202" t="s">
        <v>2949</v>
      </c>
      <c r="F2202" t="s">
        <v>5025</v>
      </c>
      <c r="G2202" s="2">
        <v>45571</v>
      </c>
      <c r="H2202" s="2">
        <v>45583</v>
      </c>
      <c r="I2202" t="s">
        <v>5767</v>
      </c>
      <c r="J2202" t="s">
        <v>5771</v>
      </c>
      <c r="K2202">
        <v>103295.71</v>
      </c>
      <c r="L2202" t="s">
        <v>5773</v>
      </c>
      <c r="M2202">
        <v>12</v>
      </c>
    </row>
    <row r="2203" spans="1:13" x14ac:dyDescent="0.25">
      <c r="A2203">
        <v>2202</v>
      </c>
      <c r="B2203" t="s">
        <v>2214</v>
      </c>
      <c r="C2203">
        <v>88</v>
      </c>
      <c r="D2203" t="s">
        <v>2948</v>
      </c>
      <c r="E2203" t="s">
        <v>2954</v>
      </c>
      <c r="F2203" t="s">
        <v>5026</v>
      </c>
      <c r="G2203" s="2">
        <v>45575</v>
      </c>
      <c r="H2203" s="2">
        <v>45584</v>
      </c>
      <c r="I2203" t="s">
        <v>5759</v>
      </c>
      <c r="J2203" t="s">
        <v>2949</v>
      </c>
      <c r="K2203">
        <v>287829.02</v>
      </c>
      <c r="L2203" t="s">
        <v>5773</v>
      </c>
      <c r="M2203">
        <v>9</v>
      </c>
    </row>
    <row r="2204" spans="1:13" x14ac:dyDescent="0.25">
      <c r="A2204">
        <v>2203</v>
      </c>
      <c r="B2204" t="s">
        <v>2215</v>
      </c>
      <c r="C2204">
        <v>14</v>
      </c>
      <c r="D2204" t="s">
        <v>2947</v>
      </c>
      <c r="E2204" t="s">
        <v>2953</v>
      </c>
      <c r="F2204" t="s">
        <v>5027</v>
      </c>
      <c r="G2204" s="2">
        <v>45783</v>
      </c>
      <c r="H2204" s="2">
        <v>45784</v>
      </c>
      <c r="I2204" t="s">
        <v>5758</v>
      </c>
      <c r="J2204" t="s">
        <v>5768</v>
      </c>
      <c r="K2204">
        <v>311664.88</v>
      </c>
      <c r="L2204" t="s">
        <v>5774</v>
      </c>
      <c r="M2204">
        <v>1</v>
      </c>
    </row>
    <row r="2205" spans="1:13" x14ac:dyDescent="0.25">
      <c r="A2205">
        <v>2204</v>
      </c>
      <c r="B2205" t="s">
        <v>2216</v>
      </c>
      <c r="C2205">
        <v>62</v>
      </c>
      <c r="D2205" t="s">
        <v>2947</v>
      </c>
      <c r="E2205" t="s">
        <v>2953</v>
      </c>
      <c r="F2205" t="s">
        <v>5028</v>
      </c>
      <c r="G2205" s="2">
        <v>45719</v>
      </c>
      <c r="H2205" s="2">
        <v>45732</v>
      </c>
      <c r="I2205" t="s">
        <v>5765</v>
      </c>
      <c r="J2205" t="s">
        <v>5772</v>
      </c>
      <c r="K2205">
        <v>9764.3799999999992</v>
      </c>
      <c r="L2205" t="s">
        <v>5775</v>
      </c>
      <c r="M2205">
        <v>13</v>
      </c>
    </row>
    <row r="2206" spans="1:13" x14ac:dyDescent="0.25">
      <c r="A2206">
        <v>2205</v>
      </c>
      <c r="B2206" t="s">
        <v>2217</v>
      </c>
      <c r="C2206">
        <v>31</v>
      </c>
      <c r="D2206" t="s">
        <v>2947</v>
      </c>
      <c r="E2206" t="s">
        <v>2951</v>
      </c>
      <c r="F2206" t="s">
        <v>5029</v>
      </c>
      <c r="G2206" s="2">
        <v>45708</v>
      </c>
      <c r="H2206" s="2">
        <v>45711</v>
      </c>
      <c r="I2206" t="s">
        <v>5767</v>
      </c>
      <c r="J2206" t="s">
        <v>5769</v>
      </c>
      <c r="K2206">
        <v>488932.73</v>
      </c>
      <c r="L2206" t="s">
        <v>5774</v>
      </c>
      <c r="M2206">
        <v>3</v>
      </c>
    </row>
    <row r="2207" spans="1:13" x14ac:dyDescent="0.25">
      <c r="A2207">
        <v>2206</v>
      </c>
      <c r="B2207" t="s">
        <v>2218</v>
      </c>
      <c r="C2207">
        <v>41</v>
      </c>
      <c r="D2207" t="s">
        <v>2947</v>
      </c>
      <c r="E2207" t="s">
        <v>2954</v>
      </c>
      <c r="F2207" t="s">
        <v>5030</v>
      </c>
      <c r="G2207" s="2">
        <v>45636</v>
      </c>
      <c r="H2207" s="2">
        <v>45646</v>
      </c>
      <c r="I2207" t="s">
        <v>5758</v>
      </c>
      <c r="J2207" t="s">
        <v>5772</v>
      </c>
      <c r="K2207">
        <v>155636.84</v>
      </c>
      <c r="L2207" t="s">
        <v>5774</v>
      </c>
      <c r="M2207">
        <v>10</v>
      </c>
    </row>
    <row r="2208" spans="1:13" x14ac:dyDescent="0.25">
      <c r="A2208">
        <v>2207</v>
      </c>
      <c r="B2208" t="s">
        <v>2219</v>
      </c>
      <c r="C2208">
        <v>17</v>
      </c>
      <c r="D2208" t="s">
        <v>2948</v>
      </c>
      <c r="E2208" t="s">
        <v>2954</v>
      </c>
      <c r="F2208" t="s">
        <v>5031</v>
      </c>
      <c r="G2208" s="2">
        <v>45658</v>
      </c>
      <c r="H2208" s="2">
        <v>45662</v>
      </c>
      <c r="I2208" t="s">
        <v>5759</v>
      </c>
      <c r="J2208" t="s">
        <v>5772</v>
      </c>
      <c r="K2208">
        <v>453630.32</v>
      </c>
      <c r="L2208" t="s">
        <v>5774</v>
      </c>
      <c r="M2208">
        <v>4</v>
      </c>
    </row>
    <row r="2209" spans="1:13" x14ac:dyDescent="0.25">
      <c r="A2209">
        <v>2208</v>
      </c>
      <c r="B2209" t="s">
        <v>2220</v>
      </c>
      <c r="C2209">
        <v>83</v>
      </c>
      <c r="D2209" t="s">
        <v>2948</v>
      </c>
      <c r="E2209" t="s">
        <v>2954</v>
      </c>
      <c r="F2209" t="s">
        <v>5032</v>
      </c>
      <c r="G2209" s="2">
        <v>45647</v>
      </c>
      <c r="H2209" s="2">
        <v>45648</v>
      </c>
      <c r="I2209" t="s">
        <v>5758</v>
      </c>
      <c r="J2209" t="s">
        <v>5770</v>
      </c>
      <c r="K2209">
        <v>143030.51999999999</v>
      </c>
      <c r="L2209" t="s">
        <v>5774</v>
      </c>
      <c r="M2209">
        <v>1</v>
      </c>
    </row>
    <row r="2210" spans="1:13" x14ac:dyDescent="0.25">
      <c r="A2210">
        <v>2209</v>
      </c>
      <c r="B2210" t="s">
        <v>2221</v>
      </c>
      <c r="C2210">
        <v>48</v>
      </c>
      <c r="D2210" t="s">
        <v>2948</v>
      </c>
      <c r="E2210" t="s">
        <v>2954</v>
      </c>
      <c r="F2210" t="s">
        <v>5033</v>
      </c>
      <c r="G2210" s="2">
        <v>45802</v>
      </c>
      <c r="H2210" s="2">
        <v>45813</v>
      </c>
      <c r="I2210" t="s">
        <v>5761</v>
      </c>
      <c r="J2210" t="s">
        <v>5772</v>
      </c>
      <c r="K2210">
        <v>244201.38</v>
      </c>
      <c r="L2210" t="s">
        <v>5775</v>
      </c>
      <c r="M2210">
        <v>11</v>
      </c>
    </row>
    <row r="2211" spans="1:13" x14ac:dyDescent="0.25">
      <c r="A2211">
        <v>2210</v>
      </c>
      <c r="B2211" t="s">
        <v>2222</v>
      </c>
      <c r="C2211">
        <v>30</v>
      </c>
      <c r="D2211" t="s">
        <v>2947</v>
      </c>
      <c r="E2211" t="s">
        <v>2949</v>
      </c>
      <c r="F2211" t="s">
        <v>5034</v>
      </c>
      <c r="G2211" s="2">
        <v>45568</v>
      </c>
      <c r="H2211" s="2">
        <v>45573</v>
      </c>
      <c r="I2211" t="s">
        <v>5764</v>
      </c>
      <c r="J2211" t="s">
        <v>2949</v>
      </c>
      <c r="K2211">
        <v>63466.37</v>
      </c>
      <c r="L2211" t="s">
        <v>5774</v>
      </c>
      <c r="M2211">
        <v>5</v>
      </c>
    </row>
    <row r="2212" spans="1:13" x14ac:dyDescent="0.25">
      <c r="A2212">
        <v>2211</v>
      </c>
      <c r="B2212" t="s">
        <v>2223</v>
      </c>
      <c r="C2212">
        <v>40</v>
      </c>
      <c r="D2212" t="s">
        <v>2948</v>
      </c>
      <c r="E2212" t="s">
        <v>2949</v>
      </c>
      <c r="F2212" t="s">
        <v>5035</v>
      </c>
      <c r="G2212" s="2">
        <v>45663</v>
      </c>
      <c r="H2212" s="2">
        <v>45675</v>
      </c>
      <c r="I2212" t="s">
        <v>5758</v>
      </c>
      <c r="J2212" t="s">
        <v>5772</v>
      </c>
      <c r="K2212">
        <v>381908.81</v>
      </c>
      <c r="L2212" t="s">
        <v>5773</v>
      </c>
      <c r="M2212">
        <v>12</v>
      </c>
    </row>
    <row r="2213" spans="1:13" x14ac:dyDescent="0.25">
      <c r="A2213">
        <v>2212</v>
      </c>
      <c r="B2213" t="s">
        <v>2224</v>
      </c>
      <c r="C2213">
        <v>41</v>
      </c>
      <c r="D2213" t="s">
        <v>2948</v>
      </c>
      <c r="E2213" t="s">
        <v>2952</v>
      </c>
      <c r="F2213" t="s">
        <v>5036</v>
      </c>
      <c r="G2213" s="2">
        <v>45713</v>
      </c>
      <c r="H2213" s="2">
        <v>45717</v>
      </c>
      <c r="I2213" t="s">
        <v>5760</v>
      </c>
      <c r="J2213" t="s">
        <v>2949</v>
      </c>
      <c r="K2213">
        <v>431987.64</v>
      </c>
      <c r="L2213" t="s">
        <v>5773</v>
      </c>
      <c r="M2213">
        <v>4</v>
      </c>
    </row>
    <row r="2214" spans="1:13" x14ac:dyDescent="0.25">
      <c r="A2214">
        <v>2213</v>
      </c>
      <c r="B2214" t="s">
        <v>2225</v>
      </c>
      <c r="C2214">
        <v>87</v>
      </c>
      <c r="D2214" t="s">
        <v>2947</v>
      </c>
      <c r="E2214" t="s">
        <v>2952</v>
      </c>
      <c r="F2214" t="s">
        <v>5037</v>
      </c>
      <c r="G2214" s="2">
        <v>45759</v>
      </c>
      <c r="H2214" s="2">
        <v>45765</v>
      </c>
      <c r="I2214" t="s">
        <v>5764</v>
      </c>
      <c r="J2214" t="s">
        <v>5768</v>
      </c>
      <c r="K2214">
        <v>297847.65000000002</v>
      </c>
      <c r="L2214" t="s">
        <v>5773</v>
      </c>
      <c r="M2214">
        <v>6</v>
      </c>
    </row>
    <row r="2215" spans="1:13" x14ac:dyDescent="0.25">
      <c r="A2215">
        <v>2214</v>
      </c>
      <c r="B2215" t="s">
        <v>2226</v>
      </c>
      <c r="C2215">
        <v>54</v>
      </c>
      <c r="D2215" t="s">
        <v>2947</v>
      </c>
      <c r="E2215" t="s">
        <v>2954</v>
      </c>
      <c r="F2215" t="s">
        <v>5038</v>
      </c>
      <c r="G2215" s="2">
        <v>45604</v>
      </c>
      <c r="H2215" s="2">
        <v>45607</v>
      </c>
      <c r="I2215" t="s">
        <v>5765</v>
      </c>
      <c r="J2215" t="s">
        <v>5768</v>
      </c>
      <c r="K2215">
        <v>427217.58</v>
      </c>
      <c r="L2215" t="s">
        <v>5775</v>
      </c>
      <c r="M2215">
        <v>3</v>
      </c>
    </row>
    <row r="2216" spans="1:13" x14ac:dyDescent="0.25">
      <c r="A2216">
        <v>2215</v>
      </c>
      <c r="B2216" t="s">
        <v>2227</v>
      </c>
      <c r="C2216">
        <v>27</v>
      </c>
      <c r="D2216" t="s">
        <v>2948</v>
      </c>
      <c r="E2216" t="s">
        <v>2953</v>
      </c>
      <c r="F2216" t="s">
        <v>5039</v>
      </c>
      <c r="G2216" s="2">
        <v>45738</v>
      </c>
      <c r="H2216" s="2">
        <v>45750</v>
      </c>
      <c r="I2216" t="s">
        <v>5760</v>
      </c>
      <c r="J2216" t="s">
        <v>5771</v>
      </c>
      <c r="K2216">
        <v>294188.55</v>
      </c>
      <c r="L2216" t="s">
        <v>5775</v>
      </c>
      <c r="M2216">
        <v>12</v>
      </c>
    </row>
    <row r="2217" spans="1:13" x14ac:dyDescent="0.25">
      <c r="A2217">
        <v>2216</v>
      </c>
      <c r="B2217" t="s">
        <v>2228</v>
      </c>
      <c r="C2217">
        <v>28</v>
      </c>
      <c r="D2217" t="s">
        <v>2948</v>
      </c>
      <c r="E2217" t="s">
        <v>2955</v>
      </c>
      <c r="F2217" t="s">
        <v>5040</v>
      </c>
      <c r="G2217" s="2">
        <v>45701</v>
      </c>
      <c r="H2217" s="2">
        <v>45706</v>
      </c>
      <c r="I2217" t="s">
        <v>5759</v>
      </c>
      <c r="J2217" t="s">
        <v>5772</v>
      </c>
      <c r="K2217">
        <v>311664.99</v>
      </c>
      <c r="L2217" t="s">
        <v>5773</v>
      </c>
      <c r="M2217">
        <v>5</v>
      </c>
    </row>
    <row r="2218" spans="1:13" x14ac:dyDescent="0.25">
      <c r="A2218">
        <v>2217</v>
      </c>
      <c r="B2218" t="s">
        <v>2229</v>
      </c>
      <c r="C2218">
        <v>36</v>
      </c>
      <c r="D2218" t="s">
        <v>2948</v>
      </c>
      <c r="E2218" t="s">
        <v>2952</v>
      </c>
      <c r="F2218" t="s">
        <v>5041</v>
      </c>
      <c r="G2218" s="2">
        <v>45735</v>
      </c>
      <c r="H2218" s="2">
        <v>45749</v>
      </c>
      <c r="I2218" t="s">
        <v>5765</v>
      </c>
      <c r="J2218" t="s">
        <v>5770</v>
      </c>
      <c r="K2218">
        <v>127082.28</v>
      </c>
      <c r="L2218" t="s">
        <v>5774</v>
      </c>
      <c r="M2218">
        <v>14</v>
      </c>
    </row>
    <row r="2219" spans="1:13" x14ac:dyDescent="0.25">
      <c r="A2219">
        <v>2218</v>
      </c>
      <c r="B2219" t="s">
        <v>2230</v>
      </c>
      <c r="C2219">
        <v>60</v>
      </c>
      <c r="D2219" t="s">
        <v>2948</v>
      </c>
      <c r="E2219" t="s">
        <v>2954</v>
      </c>
      <c r="F2219" t="s">
        <v>5042</v>
      </c>
      <c r="G2219" s="2">
        <v>45782</v>
      </c>
      <c r="H2219" s="2">
        <v>45784</v>
      </c>
      <c r="I2219" t="s">
        <v>5758</v>
      </c>
      <c r="J2219" t="s">
        <v>5770</v>
      </c>
      <c r="K2219">
        <v>178982.34</v>
      </c>
      <c r="L2219" t="s">
        <v>5774</v>
      </c>
      <c r="M2219">
        <v>2</v>
      </c>
    </row>
    <row r="2220" spans="1:13" x14ac:dyDescent="0.25">
      <c r="A2220">
        <v>2219</v>
      </c>
      <c r="B2220" t="s">
        <v>2231</v>
      </c>
      <c r="C2220">
        <v>20</v>
      </c>
      <c r="D2220" t="s">
        <v>2947</v>
      </c>
      <c r="E2220" t="s">
        <v>2955</v>
      </c>
      <c r="F2220" t="s">
        <v>5043</v>
      </c>
      <c r="G2220" s="2">
        <v>45816</v>
      </c>
      <c r="H2220" s="2">
        <v>45819</v>
      </c>
      <c r="I2220" t="s">
        <v>5758</v>
      </c>
      <c r="J2220" t="s">
        <v>5769</v>
      </c>
      <c r="K2220">
        <v>72915.34</v>
      </c>
      <c r="L2220" t="s">
        <v>5774</v>
      </c>
      <c r="M2220">
        <v>3</v>
      </c>
    </row>
    <row r="2221" spans="1:13" x14ac:dyDescent="0.25">
      <c r="A2221">
        <v>2220</v>
      </c>
      <c r="B2221" t="s">
        <v>2232</v>
      </c>
      <c r="C2221">
        <v>35</v>
      </c>
      <c r="D2221" t="s">
        <v>2947</v>
      </c>
      <c r="E2221" t="s">
        <v>2951</v>
      </c>
      <c r="F2221" t="s">
        <v>5044</v>
      </c>
      <c r="G2221" s="2">
        <v>45584</v>
      </c>
      <c r="H2221" s="2">
        <v>45592</v>
      </c>
      <c r="I2221" t="s">
        <v>5762</v>
      </c>
      <c r="J2221" t="s">
        <v>5768</v>
      </c>
      <c r="K2221">
        <v>135001.48000000001</v>
      </c>
      <c r="L2221" t="s">
        <v>5774</v>
      </c>
      <c r="M2221">
        <v>8</v>
      </c>
    </row>
    <row r="2222" spans="1:13" x14ac:dyDescent="0.25">
      <c r="A2222">
        <v>2221</v>
      </c>
      <c r="B2222" t="s">
        <v>2233</v>
      </c>
      <c r="C2222">
        <v>28</v>
      </c>
      <c r="D2222" t="s">
        <v>2947</v>
      </c>
      <c r="E2222" t="s">
        <v>2952</v>
      </c>
      <c r="F2222" t="s">
        <v>5045</v>
      </c>
      <c r="G2222" s="2">
        <v>45656</v>
      </c>
      <c r="H2222" s="2">
        <v>45668</v>
      </c>
      <c r="I2222" t="s">
        <v>5766</v>
      </c>
      <c r="J2222" t="s">
        <v>5770</v>
      </c>
      <c r="K2222">
        <v>241860.04</v>
      </c>
      <c r="L2222" t="s">
        <v>5773</v>
      </c>
      <c r="M2222">
        <v>12</v>
      </c>
    </row>
    <row r="2223" spans="1:13" x14ac:dyDescent="0.25">
      <c r="A2223">
        <v>2222</v>
      </c>
      <c r="B2223" t="s">
        <v>2234</v>
      </c>
      <c r="C2223">
        <v>33</v>
      </c>
      <c r="D2223" t="s">
        <v>2947</v>
      </c>
      <c r="E2223" t="s">
        <v>2953</v>
      </c>
      <c r="F2223" t="s">
        <v>5046</v>
      </c>
      <c r="G2223" s="2">
        <v>45910</v>
      </c>
      <c r="H2223" s="2">
        <v>45918</v>
      </c>
      <c r="I2223" t="s">
        <v>5759</v>
      </c>
      <c r="J2223" t="s">
        <v>5770</v>
      </c>
      <c r="K2223">
        <v>490870.05</v>
      </c>
      <c r="L2223" t="s">
        <v>5774</v>
      </c>
      <c r="M2223">
        <v>8</v>
      </c>
    </row>
    <row r="2224" spans="1:13" x14ac:dyDescent="0.25">
      <c r="A2224">
        <v>2223</v>
      </c>
      <c r="B2224" t="s">
        <v>2235</v>
      </c>
      <c r="C2224">
        <v>27</v>
      </c>
      <c r="D2224" t="s">
        <v>2948</v>
      </c>
      <c r="E2224" t="s">
        <v>2950</v>
      </c>
      <c r="F2224" t="s">
        <v>5047</v>
      </c>
      <c r="G2224" s="2">
        <v>45776</v>
      </c>
      <c r="H2224" s="2">
        <v>45791</v>
      </c>
      <c r="I2224" t="s">
        <v>5758</v>
      </c>
      <c r="J2224" t="s">
        <v>5772</v>
      </c>
      <c r="K2224">
        <v>275745.45</v>
      </c>
      <c r="L2224" t="s">
        <v>5775</v>
      </c>
      <c r="M2224">
        <v>15</v>
      </c>
    </row>
    <row r="2225" spans="1:13" x14ac:dyDescent="0.25">
      <c r="A2225">
        <v>2224</v>
      </c>
      <c r="B2225" t="s">
        <v>2236</v>
      </c>
      <c r="C2225">
        <v>27</v>
      </c>
      <c r="D2225" t="s">
        <v>2947</v>
      </c>
      <c r="E2225" t="s">
        <v>2949</v>
      </c>
      <c r="F2225" t="s">
        <v>5048</v>
      </c>
      <c r="G2225" s="2">
        <v>45575</v>
      </c>
      <c r="H2225" s="2">
        <v>45577</v>
      </c>
      <c r="I2225" t="s">
        <v>5763</v>
      </c>
      <c r="J2225" t="s">
        <v>2949</v>
      </c>
      <c r="K2225">
        <v>57417.66</v>
      </c>
      <c r="L2225" t="s">
        <v>5773</v>
      </c>
      <c r="M2225">
        <v>2</v>
      </c>
    </row>
    <row r="2226" spans="1:13" x14ac:dyDescent="0.25">
      <c r="A2226">
        <v>2225</v>
      </c>
      <c r="B2226" t="s">
        <v>2237</v>
      </c>
      <c r="C2226">
        <v>36</v>
      </c>
      <c r="D2226" t="s">
        <v>2948</v>
      </c>
      <c r="E2226" t="s">
        <v>2952</v>
      </c>
      <c r="F2226" t="s">
        <v>5049</v>
      </c>
      <c r="G2226" s="2">
        <v>45756</v>
      </c>
      <c r="H2226" s="2">
        <v>45761</v>
      </c>
      <c r="I2226" t="s">
        <v>5760</v>
      </c>
      <c r="J2226" t="s">
        <v>5772</v>
      </c>
      <c r="K2226">
        <v>212009.61</v>
      </c>
      <c r="L2226" t="s">
        <v>5774</v>
      </c>
      <c r="M2226">
        <v>5</v>
      </c>
    </row>
    <row r="2227" spans="1:13" x14ac:dyDescent="0.25">
      <c r="A2227">
        <v>2226</v>
      </c>
      <c r="B2227" t="s">
        <v>2238</v>
      </c>
      <c r="C2227">
        <v>55</v>
      </c>
      <c r="D2227" t="s">
        <v>2948</v>
      </c>
      <c r="E2227" t="s">
        <v>2953</v>
      </c>
      <c r="F2227" t="s">
        <v>5050</v>
      </c>
      <c r="G2227" s="2">
        <v>45844</v>
      </c>
      <c r="H2227" s="2">
        <v>45852</v>
      </c>
      <c r="I2227" t="s">
        <v>5760</v>
      </c>
      <c r="J2227" t="s">
        <v>2949</v>
      </c>
      <c r="K2227">
        <v>216165.63</v>
      </c>
      <c r="L2227" t="s">
        <v>5774</v>
      </c>
      <c r="M2227">
        <v>8</v>
      </c>
    </row>
    <row r="2228" spans="1:13" x14ac:dyDescent="0.25">
      <c r="A2228">
        <v>2227</v>
      </c>
      <c r="B2228" t="s">
        <v>2239</v>
      </c>
      <c r="C2228">
        <v>33</v>
      </c>
      <c r="D2228" t="s">
        <v>2948</v>
      </c>
      <c r="E2228" t="s">
        <v>2952</v>
      </c>
      <c r="F2228" t="s">
        <v>5051</v>
      </c>
      <c r="G2228" s="2">
        <v>45708</v>
      </c>
      <c r="H2228" s="2">
        <v>45711</v>
      </c>
      <c r="I2228" t="s">
        <v>5758</v>
      </c>
      <c r="J2228" t="s">
        <v>2949</v>
      </c>
      <c r="K2228">
        <v>483643.47</v>
      </c>
      <c r="L2228" t="s">
        <v>5774</v>
      </c>
      <c r="M2228">
        <v>3</v>
      </c>
    </row>
    <row r="2229" spans="1:13" x14ac:dyDescent="0.25">
      <c r="A2229">
        <v>2228</v>
      </c>
      <c r="B2229" t="s">
        <v>2240</v>
      </c>
      <c r="C2229">
        <v>9</v>
      </c>
      <c r="D2229" t="s">
        <v>2947</v>
      </c>
      <c r="E2229" t="s">
        <v>2949</v>
      </c>
      <c r="F2229" t="s">
        <v>5052</v>
      </c>
      <c r="G2229" s="2">
        <v>45844</v>
      </c>
      <c r="H2229" s="2">
        <v>45851</v>
      </c>
      <c r="I2229" t="s">
        <v>5761</v>
      </c>
      <c r="J2229" t="s">
        <v>5768</v>
      </c>
      <c r="K2229">
        <v>290753.77</v>
      </c>
      <c r="L2229" t="s">
        <v>5774</v>
      </c>
      <c r="M2229">
        <v>7</v>
      </c>
    </row>
    <row r="2230" spans="1:13" x14ac:dyDescent="0.25">
      <c r="A2230">
        <v>2229</v>
      </c>
      <c r="B2230" t="s">
        <v>2241</v>
      </c>
      <c r="C2230">
        <v>3</v>
      </c>
      <c r="D2230" t="s">
        <v>2947</v>
      </c>
      <c r="E2230" t="s">
        <v>2952</v>
      </c>
      <c r="F2230" t="s">
        <v>5053</v>
      </c>
      <c r="G2230" s="2">
        <v>45836</v>
      </c>
      <c r="H2230" s="2">
        <v>45843</v>
      </c>
      <c r="I2230" t="s">
        <v>5766</v>
      </c>
      <c r="J2230" t="s">
        <v>5772</v>
      </c>
      <c r="K2230">
        <v>269843.98</v>
      </c>
      <c r="L2230" t="s">
        <v>5775</v>
      </c>
      <c r="M2230">
        <v>7</v>
      </c>
    </row>
    <row r="2231" spans="1:13" x14ac:dyDescent="0.25">
      <c r="A2231">
        <v>2230</v>
      </c>
      <c r="B2231" t="s">
        <v>2242</v>
      </c>
      <c r="C2231">
        <v>19</v>
      </c>
      <c r="D2231" t="s">
        <v>2948</v>
      </c>
      <c r="E2231" t="s">
        <v>2954</v>
      </c>
      <c r="F2231" t="s">
        <v>5054</v>
      </c>
      <c r="G2231" s="2">
        <v>45745</v>
      </c>
      <c r="H2231" s="2">
        <v>45748</v>
      </c>
      <c r="I2231" t="s">
        <v>5763</v>
      </c>
      <c r="J2231" t="s">
        <v>5771</v>
      </c>
      <c r="K2231">
        <v>253887.68</v>
      </c>
      <c r="L2231" t="s">
        <v>5775</v>
      </c>
      <c r="M2231">
        <v>3</v>
      </c>
    </row>
    <row r="2232" spans="1:13" x14ac:dyDescent="0.25">
      <c r="A2232">
        <v>2231</v>
      </c>
      <c r="B2232" t="s">
        <v>2243</v>
      </c>
      <c r="C2232">
        <v>85</v>
      </c>
      <c r="D2232" t="s">
        <v>2948</v>
      </c>
      <c r="E2232" t="s">
        <v>2952</v>
      </c>
      <c r="F2232" t="s">
        <v>5055</v>
      </c>
      <c r="G2232" s="2">
        <v>45565</v>
      </c>
      <c r="H2232" s="2">
        <v>45566</v>
      </c>
      <c r="I2232" t="s">
        <v>5763</v>
      </c>
      <c r="J2232" t="s">
        <v>5772</v>
      </c>
      <c r="K2232">
        <v>166170.62</v>
      </c>
      <c r="L2232" t="s">
        <v>5773</v>
      </c>
      <c r="M2232">
        <v>1</v>
      </c>
    </row>
    <row r="2233" spans="1:13" x14ac:dyDescent="0.25">
      <c r="A2233">
        <v>2232</v>
      </c>
      <c r="B2233" t="s">
        <v>2244</v>
      </c>
      <c r="C2233">
        <v>16</v>
      </c>
      <c r="D2233" t="s">
        <v>2948</v>
      </c>
      <c r="E2233" t="s">
        <v>2949</v>
      </c>
      <c r="F2233" t="s">
        <v>5056</v>
      </c>
      <c r="G2233" s="2">
        <v>45781</v>
      </c>
      <c r="H2233" s="2">
        <v>45784</v>
      </c>
      <c r="I2233" t="s">
        <v>5766</v>
      </c>
      <c r="J2233" t="s">
        <v>5772</v>
      </c>
      <c r="K2233">
        <v>463544.57</v>
      </c>
      <c r="L2233" t="s">
        <v>5774</v>
      </c>
      <c r="M2233">
        <v>3</v>
      </c>
    </row>
    <row r="2234" spans="1:13" x14ac:dyDescent="0.25">
      <c r="A2234">
        <v>2233</v>
      </c>
      <c r="B2234" t="s">
        <v>2245</v>
      </c>
      <c r="C2234">
        <v>23</v>
      </c>
      <c r="D2234" t="s">
        <v>2948</v>
      </c>
      <c r="E2234" t="s">
        <v>2953</v>
      </c>
      <c r="F2234" t="s">
        <v>5057</v>
      </c>
      <c r="G2234" s="2">
        <v>45840</v>
      </c>
      <c r="H2234" s="2">
        <v>45848</v>
      </c>
      <c r="I2234" t="s">
        <v>5760</v>
      </c>
      <c r="J2234" t="s">
        <v>5772</v>
      </c>
      <c r="K2234">
        <v>261906.64</v>
      </c>
      <c r="L2234" t="s">
        <v>5775</v>
      </c>
      <c r="M2234">
        <v>8</v>
      </c>
    </row>
    <row r="2235" spans="1:13" x14ac:dyDescent="0.25">
      <c r="A2235">
        <v>2234</v>
      </c>
      <c r="B2235" t="s">
        <v>2246</v>
      </c>
      <c r="C2235">
        <v>22</v>
      </c>
      <c r="D2235" t="s">
        <v>2948</v>
      </c>
      <c r="E2235" t="s">
        <v>2951</v>
      </c>
      <c r="F2235" t="s">
        <v>5058</v>
      </c>
      <c r="G2235" s="2">
        <v>45765</v>
      </c>
      <c r="H2235" s="2">
        <v>45774</v>
      </c>
      <c r="I2235" t="s">
        <v>5764</v>
      </c>
      <c r="J2235" t="s">
        <v>5768</v>
      </c>
      <c r="K2235">
        <v>135941.99</v>
      </c>
      <c r="L2235" t="s">
        <v>5774</v>
      </c>
      <c r="M2235">
        <v>9</v>
      </c>
    </row>
    <row r="2236" spans="1:13" x14ac:dyDescent="0.25">
      <c r="A2236">
        <v>2235</v>
      </c>
      <c r="B2236" t="s">
        <v>2247</v>
      </c>
      <c r="C2236">
        <v>72</v>
      </c>
      <c r="D2236" t="s">
        <v>2948</v>
      </c>
      <c r="E2236" t="s">
        <v>2953</v>
      </c>
      <c r="F2236" t="s">
        <v>5059</v>
      </c>
      <c r="G2236" s="2">
        <v>45882</v>
      </c>
      <c r="H2236" s="2">
        <v>45885</v>
      </c>
      <c r="I2236" t="s">
        <v>5758</v>
      </c>
      <c r="J2236" t="s">
        <v>5768</v>
      </c>
      <c r="K2236">
        <v>150943.85999999999</v>
      </c>
      <c r="L2236" t="s">
        <v>5773</v>
      </c>
      <c r="M2236">
        <v>3</v>
      </c>
    </row>
    <row r="2237" spans="1:13" x14ac:dyDescent="0.25">
      <c r="A2237">
        <v>2236</v>
      </c>
      <c r="B2237" t="s">
        <v>2248</v>
      </c>
      <c r="C2237">
        <v>63</v>
      </c>
      <c r="D2237" t="s">
        <v>2947</v>
      </c>
      <c r="E2237" t="s">
        <v>2950</v>
      </c>
      <c r="F2237" t="s">
        <v>5060</v>
      </c>
      <c r="G2237" s="2">
        <v>45734</v>
      </c>
      <c r="H2237" s="2">
        <v>45738</v>
      </c>
      <c r="I2237" t="s">
        <v>5766</v>
      </c>
      <c r="J2237" t="s">
        <v>5770</v>
      </c>
      <c r="K2237">
        <v>234143.84</v>
      </c>
      <c r="L2237" t="s">
        <v>5773</v>
      </c>
      <c r="M2237">
        <v>4</v>
      </c>
    </row>
    <row r="2238" spans="1:13" x14ac:dyDescent="0.25">
      <c r="A2238">
        <v>2237</v>
      </c>
      <c r="B2238" t="s">
        <v>2249</v>
      </c>
      <c r="C2238">
        <v>40</v>
      </c>
      <c r="D2238" t="s">
        <v>2948</v>
      </c>
      <c r="E2238" t="s">
        <v>2951</v>
      </c>
      <c r="F2238" t="s">
        <v>2393</v>
      </c>
      <c r="G2238" s="2">
        <v>45903</v>
      </c>
      <c r="H2238" s="2">
        <v>45906</v>
      </c>
      <c r="I2238" t="s">
        <v>5763</v>
      </c>
      <c r="J2238" t="s">
        <v>5770</v>
      </c>
      <c r="K2238">
        <v>22407.23</v>
      </c>
      <c r="L2238" t="s">
        <v>5775</v>
      </c>
      <c r="M2238">
        <v>3</v>
      </c>
    </row>
    <row r="2239" spans="1:13" x14ac:dyDescent="0.25">
      <c r="A2239">
        <v>2238</v>
      </c>
      <c r="B2239" t="s">
        <v>2250</v>
      </c>
      <c r="C2239">
        <v>30</v>
      </c>
      <c r="D2239" t="s">
        <v>2948</v>
      </c>
      <c r="E2239" t="s">
        <v>2949</v>
      </c>
      <c r="F2239" t="s">
        <v>5061</v>
      </c>
      <c r="G2239" s="2">
        <v>45908</v>
      </c>
      <c r="H2239" s="2">
        <v>45917</v>
      </c>
      <c r="I2239" t="s">
        <v>5765</v>
      </c>
      <c r="J2239" t="s">
        <v>5771</v>
      </c>
      <c r="K2239">
        <v>217264.02</v>
      </c>
      <c r="L2239" t="s">
        <v>5774</v>
      </c>
      <c r="M2239">
        <v>9</v>
      </c>
    </row>
    <row r="2240" spans="1:13" x14ac:dyDescent="0.25">
      <c r="A2240">
        <v>2239</v>
      </c>
      <c r="B2240" t="s">
        <v>2251</v>
      </c>
      <c r="C2240">
        <v>81</v>
      </c>
      <c r="D2240" t="s">
        <v>2947</v>
      </c>
      <c r="E2240" t="s">
        <v>2950</v>
      </c>
      <c r="F2240" t="s">
        <v>5062</v>
      </c>
      <c r="G2240" s="2">
        <v>45624</v>
      </c>
      <c r="H2240" s="2">
        <v>45636</v>
      </c>
      <c r="I2240" t="s">
        <v>5760</v>
      </c>
      <c r="J2240" t="s">
        <v>5770</v>
      </c>
      <c r="K2240">
        <v>5071.92</v>
      </c>
      <c r="L2240" t="s">
        <v>5775</v>
      </c>
      <c r="M2240">
        <v>12</v>
      </c>
    </row>
    <row r="2241" spans="1:13" x14ac:dyDescent="0.25">
      <c r="A2241">
        <v>2240</v>
      </c>
      <c r="B2241" t="s">
        <v>2252</v>
      </c>
      <c r="C2241">
        <v>59</v>
      </c>
      <c r="D2241" t="s">
        <v>2947</v>
      </c>
      <c r="E2241" t="s">
        <v>2955</v>
      </c>
      <c r="F2241" t="s">
        <v>5063</v>
      </c>
      <c r="G2241" s="2">
        <v>45590</v>
      </c>
      <c r="H2241" s="2">
        <v>45597</v>
      </c>
      <c r="I2241" t="s">
        <v>5760</v>
      </c>
      <c r="J2241" t="s">
        <v>5771</v>
      </c>
      <c r="K2241">
        <v>241259.08</v>
      </c>
      <c r="L2241" t="s">
        <v>5774</v>
      </c>
      <c r="M2241">
        <v>7</v>
      </c>
    </row>
    <row r="2242" spans="1:13" x14ac:dyDescent="0.25">
      <c r="A2242">
        <v>2241</v>
      </c>
      <c r="B2242" t="s">
        <v>2253</v>
      </c>
      <c r="C2242">
        <v>90</v>
      </c>
      <c r="D2242" t="s">
        <v>2947</v>
      </c>
      <c r="E2242" t="s">
        <v>2952</v>
      </c>
      <c r="F2242" t="s">
        <v>5064</v>
      </c>
      <c r="G2242" s="2">
        <v>45848</v>
      </c>
      <c r="H2242" s="2">
        <v>45850</v>
      </c>
      <c r="I2242" t="s">
        <v>5761</v>
      </c>
      <c r="J2242" t="s">
        <v>5772</v>
      </c>
      <c r="K2242">
        <v>198930.19</v>
      </c>
      <c r="L2242" t="s">
        <v>5773</v>
      </c>
      <c r="M2242">
        <v>2</v>
      </c>
    </row>
    <row r="2243" spans="1:13" x14ac:dyDescent="0.25">
      <c r="A2243">
        <v>2242</v>
      </c>
      <c r="B2243" t="s">
        <v>2254</v>
      </c>
      <c r="C2243">
        <v>2</v>
      </c>
      <c r="D2243" t="s">
        <v>2947</v>
      </c>
      <c r="E2243" t="s">
        <v>2951</v>
      </c>
      <c r="F2243" t="s">
        <v>5065</v>
      </c>
      <c r="G2243" s="2">
        <v>45830</v>
      </c>
      <c r="H2243" s="2">
        <v>45842</v>
      </c>
      <c r="I2243" t="s">
        <v>5764</v>
      </c>
      <c r="J2243" t="s">
        <v>2949</v>
      </c>
      <c r="K2243">
        <v>306373.83</v>
      </c>
      <c r="L2243" t="s">
        <v>5773</v>
      </c>
      <c r="M2243">
        <v>12</v>
      </c>
    </row>
    <row r="2244" spans="1:13" x14ac:dyDescent="0.25">
      <c r="A2244">
        <v>2243</v>
      </c>
      <c r="B2244" t="s">
        <v>2255</v>
      </c>
      <c r="C2244">
        <v>71</v>
      </c>
      <c r="D2244" t="s">
        <v>2948</v>
      </c>
      <c r="E2244" t="s">
        <v>2951</v>
      </c>
      <c r="F2244" t="s">
        <v>420</v>
      </c>
      <c r="G2244" s="2">
        <v>45817</v>
      </c>
      <c r="H2244" s="2">
        <v>45822</v>
      </c>
      <c r="I2244" t="s">
        <v>5766</v>
      </c>
      <c r="J2244" t="s">
        <v>5770</v>
      </c>
      <c r="K2244">
        <v>272365.77</v>
      </c>
      <c r="L2244" t="s">
        <v>5773</v>
      </c>
      <c r="M2244">
        <v>5</v>
      </c>
    </row>
    <row r="2245" spans="1:13" x14ac:dyDescent="0.25">
      <c r="A2245">
        <v>2244</v>
      </c>
      <c r="B2245" t="s">
        <v>2256</v>
      </c>
      <c r="C2245">
        <v>58</v>
      </c>
      <c r="D2245" t="s">
        <v>2947</v>
      </c>
      <c r="E2245" t="s">
        <v>2954</v>
      </c>
      <c r="F2245" t="s">
        <v>5066</v>
      </c>
      <c r="G2245" s="2">
        <v>45691</v>
      </c>
      <c r="H2245" s="2">
        <v>45701</v>
      </c>
      <c r="I2245" t="s">
        <v>5765</v>
      </c>
      <c r="J2245" t="s">
        <v>5769</v>
      </c>
      <c r="K2245">
        <v>375746.67</v>
      </c>
      <c r="L2245" t="s">
        <v>5774</v>
      </c>
      <c r="M2245">
        <v>10</v>
      </c>
    </row>
    <row r="2246" spans="1:13" x14ac:dyDescent="0.25">
      <c r="A2246">
        <v>2245</v>
      </c>
      <c r="B2246" t="s">
        <v>2257</v>
      </c>
      <c r="C2246">
        <v>29</v>
      </c>
      <c r="D2246" t="s">
        <v>2948</v>
      </c>
      <c r="E2246" t="s">
        <v>2955</v>
      </c>
      <c r="F2246" t="s">
        <v>5067</v>
      </c>
      <c r="G2246" s="2">
        <v>45845</v>
      </c>
      <c r="H2246" s="2">
        <v>45854</v>
      </c>
      <c r="I2246" t="s">
        <v>5760</v>
      </c>
      <c r="J2246" t="s">
        <v>2949</v>
      </c>
      <c r="K2246">
        <v>369131.36</v>
      </c>
      <c r="L2246" t="s">
        <v>5773</v>
      </c>
      <c r="M2246">
        <v>9</v>
      </c>
    </row>
    <row r="2247" spans="1:13" x14ac:dyDescent="0.25">
      <c r="A2247">
        <v>2246</v>
      </c>
      <c r="B2247" t="s">
        <v>2258</v>
      </c>
      <c r="C2247">
        <v>3</v>
      </c>
      <c r="D2247" t="s">
        <v>2948</v>
      </c>
      <c r="E2247" t="s">
        <v>2953</v>
      </c>
      <c r="F2247" t="s">
        <v>5068</v>
      </c>
      <c r="G2247" s="2">
        <v>45819</v>
      </c>
      <c r="H2247" s="2">
        <v>45829</v>
      </c>
      <c r="I2247" t="s">
        <v>5759</v>
      </c>
      <c r="J2247" t="s">
        <v>2949</v>
      </c>
      <c r="K2247">
        <v>430893.09</v>
      </c>
      <c r="L2247" t="s">
        <v>5775</v>
      </c>
      <c r="M2247">
        <v>10</v>
      </c>
    </row>
    <row r="2248" spans="1:13" x14ac:dyDescent="0.25">
      <c r="A2248">
        <v>2247</v>
      </c>
      <c r="B2248" t="s">
        <v>2259</v>
      </c>
      <c r="C2248">
        <v>80</v>
      </c>
      <c r="D2248" t="s">
        <v>2947</v>
      </c>
      <c r="E2248" t="s">
        <v>2949</v>
      </c>
      <c r="F2248" t="s">
        <v>3125</v>
      </c>
      <c r="G2248" s="2">
        <v>45810</v>
      </c>
      <c r="H2248" s="2">
        <v>45823</v>
      </c>
      <c r="I2248" t="s">
        <v>5763</v>
      </c>
      <c r="J2248" t="s">
        <v>5768</v>
      </c>
      <c r="K2248">
        <v>315656.89</v>
      </c>
      <c r="L2248" t="s">
        <v>5773</v>
      </c>
      <c r="M2248">
        <v>13</v>
      </c>
    </row>
    <row r="2249" spans="1:13" x14ac:dyDescent="0.25">
      <c r="A2249">
        <v>2248</v>
      </c>
      <c r="B2249" t="s">
        <v>2260</v>
      </c>
      <c r="C2249">
        <v>23</v>
      </c>
      <c r="D2249" t="s">
        <v>2948</v>
      </c>
      <c r="E2249" t="s">
        <v>2951</v>
      </c>
      <c r="F2249" t="s">
        <v>5069</v>
      </c>
      <c r="G2249" s="2">
        <v>45765</v>
      </c>
      <c r="H2249" s="2">
        <v>45770</v>
      </c>
      <c r="I2249" t="s">
        <v>5767</v>
      </c>
      <c r="J2249" t="s">
        <v>5768</v>
      </c>
      <c r="K2249">
        <v>401008.11</v>
      </c>
      <c r="L2249" t="s">
        <v>5774</v>
      </c>
      <c r="M2249">
        <v>5</v>
      </c>
    </row>
    <row r="2250" spans="1:13" x14ac:dyDescent="0.25">
      <c r="A2250">
        <v>2249</v>
      </c>
      <c r="B2250" t="s">
        <v>2261</v>
      </c>
      <c r="C2250">
        <v>40</v>
      </c>
      <c r="D2250" t="s">
        <v>2947</v>
      </c>
      <c r="E2250" t="s">
        <v>2953</v>
      </c>
      <c r="F2250" t="s">
        <v>5070</v>
      </c>
      <c r="G2250" s="2">
        <v>45635</v>
      </c>
      <c r="H2250" s="2">
        <v>45650</v>
      </c>
      <c r="I2250" t="s">
        <v>5762</v>
      </c>
      <c r="J2250" t="s">
        <v>5769</v>
      </c>
      <c r="K2250">
        <v>7852.57</v>
      </c>
      <c r="L2250" t="s">
        <v>5775</v>
      </c>
      <c r="M2250">
        <v>15</v>
      </c>
    </row>
    <row r="2251" spans="1:13" x14ac:dyDescent="0.25">
      <c r="A2251">
        <v>2250</v>
      </c>
      <c r="B2251" t="s">
        <v>2262</v>
      </c>
      <c r="C2251">
        <v>60</v>
      </c>
      <c r="D2251" t="s">
        <v>2947</v>
      </c>
      <c r="E2251" t="s">
        <v>2950</v>
      </c>
      <c r="F2251" t="s">
        <v>5071</v>
      </c>
      <c r="G2251" s="2">
        <v>45905</v>
      </c>
      <c r="H2251" s="2">
        <v>45912</v>
      </c>
      <c r="I2251" t="s">
        <v>5759</v>
      </c>
      <c r="J2251" t="s">
        <v>2949</v>
      </c>
      <c r="K2251">
        <v>11134.02</v>
      </c>
      <c r="L2251" t="s">
        <v>5773</v>
      </c>
      <c r="M2251">
        <v>7</v>
      </c>
    </row>
    <row r="2252" spans="1:13" x14ac:dyDescent="0.25">
      <c r="A2252">
        <v>2251</v>
      </c>
      <c r="B2252" t="s">
        <v>2263</v>
      </c>
      <c r="C2252">
        <v>11</v>
      </c>
      <c r="D2252" t="s">
        <v>2948</v>
      </c>
      <c r="E2252" t="s">
        <v>2949</v>
      </c>
      <c r="F2252" t="s">
        <v>5072</v>
      </c>
      <c r="G2252" s="2">
        <v>45698</v>
      </c>
      <c r="H2252" s="2">
        <v>45702</v>
      </c>
      <c r="I2252" t="s">
        <v>5767</v>
      </c>
      <c r="J2252" t="s">
        <v>5769</v>
      </c>
      <c r="K2252">
        <v>24989.47</v>
      </c>
      <c r="L2252" t="s">
        <v>5775</v>
      </c>
      <c r="M2252">
        <v>4</v>
      </c>
    </row>
    <row r="2253" spans="1:13" x14ac:dyDescent="0.25">
      <c r="A2253">
        <v>2252</v>
      </c>
      <c r="B2253" t="s">
        <v>2264</v>
      </c>
      <c r="C2253">
        <v>20</v>
      </c>
      <c r="D2253" t="s">
        <v>2947</v>
      </c>
      <c r="E2253" t="s">
        <v>2952</v>
      </c>
      <c r="F2253" t="s">
        <v>5073</v>
      </c>
      <c r="G2253" s="2">
        <v>45736</v>
      </c>
      <c r="H2253" s="2">
        <v>45749</v>
      </c>
      <c r="I2253" t="s">
        <v>5764</v>
      </c>
      <c r="J2253" t="s">
        <v>2949</v>
      </c>
      <c r="K2253">
        <v>235092.11</v>
      </c>
      <c r="L2253" t="s">
        <v>5774</v>
      </c>
      <c r="M2253">
        <v>13</v>
      </c>
    </row>
    <row r="2254" spans="1:13" x14ac:dyDescent="0.25">
      <c r="A2254">
        <v>2253</v>
      </c>
      <c r="B2254" t="s">
        <v>2265</v>
      </c>
      <c r="C2254">
        <v>1</v>
      </c>
      <c r="D2254" t="s">
        <v>2947</v>
      </c>
      <c r="E2254" t="s">
        <v>2955</v>
      </c>
      <c r="F2254" t="s">
        <v>5074</v>
      </c>
      <c r="G2254" s="2">
        <v>45900</v>
      </c>
      <c r="H2254" s="2">
        <v>45915</v>
      </c>
      <c r="I2254" t="s">
        <v>5760</v>
      </c>
      <c r="J2254" t="s">
        <v>2949</v>
      </c>
      <c r="K2254">
        <v>220685.63</v>
      </c>
      <c r="L2254" t="s">
        <v>5774</v>
      </c>
      <c r="M2254">
        <v>15</v>
      </c>
    </row>
    <row r="2255" spans="1:13" x14ac:dyDescent="0.25">
      <c r="A2255">
        <v>2254</v>
      </c>
      <c r="B2255" t="s">
        <v>2266</v>
      </c>
      <c r="C2255">
        <v>38</v>
      </c>
      <c r="D2255" t="s">
        <v>2947</v>
      </c>
      <c r="E2255" t="s">
        <v>2953</v>
      </c>
      <c r="F2255" t="s">
        <v>5075</v>
      </c>
      <c r="G2255" s="2">
        <v>45778</v>
      </c>
      <c r="H2255" s="2">
        <v>45779</v>
      </c>
      <c r="I2255" t="s">
        <v>5759</v>
      </c>
      <c r="J2255" t="s">
        <v>5772</v>
      </c>
      <c r="K2255">
        <v>223140.29</v>
      </c>
      <c r="L2255" t="s">
        <v>5773</v>
      </c>
      <c r="M2255">
        <v>1</v>
      </c>
    </row>
    <row r="2256" spans="1:13" x14ac:dyDescent="0.25">
      <c r="A2256">
        <v>2255</v>
      </c>
      <c r="B2256" t="s">
        <v>2267</v>
      </c>
      <c r="C2256">
        <v>57</v>
      </c>
      <c r="D2256" t="s">
        <v>2948</v>
      </c>
      <c r="E2256" t="s">
        <v>2951</v>
      </c>
      <c r="F2256" t="s">
        <v>5076</v>
      </c>
      <c r="G2256" s="2">
        <v>45862</v>
      </c>
      <c r="H2256" s="2">
        <v>45871</v>
      </c>
      <c r="I2256" t="s">
        <v>5764</v>
      </c>
      <c r="J2256" t="s">
        <v>5772</v>
      </c>
      <c r="K2256">
        <v>300831.89</v>
      </c>
      <c r="L2256" t="s">
        <v>5774</v>
      </c>
      <c r="M2256">
        <v>9</v>
      </c>
    </row>
    <row r="2257" spans="1:13" x14ac:dyDescent="0.25">
      <c r="A2257">
        <v>2256</v>
      </c>
      <c r="B2257" t="s">
        <v>2268</v>
      </c>
      <c r="C2257">
        <v>66</v>
      </c>
      <c r="D2257" t="s">
        <v>2948</v>
      </c>
      <c r="E2257" t="s">
        <v>2954</v>
      </c>
      <c r="F2257" t="s">
        <v>5077</v>
      </c>
      <c r="G2257" s="2">
        <v>45625</v>
      </c>
      <c r="H2257" s="2">
        <v>45640</v>
      </c>
      <c r="I2257" t="s">
        <v>5767</v>
      </c>
      <c r="J2257" t="s">
        <v>5771</v>
      </c>
      <c r="K2257">
        <v>359290.49</v>
      </c>
      <c r="L2257" t="s">
        <v>5773</v>
      </c>
      <c r="M2257">
        <v>15</v>
      </c>
    </row>
    <row r="2258" spans="1:13" x14ac:dyDescent="0.25">
      <c r="A2258">
        <v>2257</v>
      </c>
      <c r="B2258" t="s">
        <v>2269</v>
      </c>
      <c r="C2258">
        <v>1</v>
      </c>
      <c r="D2258" t="s">
        <v>2947</v>
      </c>
      <c r="E2258" t="s">
        <v>2955</v>
      </c>
      <c r="F2258" t="s">
        <v>5078</v>
      </c>
      <c r="G2258" s="2">
        <v>45905</v>
      </c>
      <c r="H2258" s="2">
        <v>45920</v>
      </c>
      <c r="I2258" t="s">
        <v>5763</v>
      </c>
      <c r="J2258" t="s">
        <v>5771</v>
      </c>
      <c r="K2258">
        <v>343871.6</v>
      </c>
      <c r="L2258" t="s">
        <v>5773</v>
      </c>
      <c r="M2258">
        <v>15</v>
      </c>
    </row>
    <row r="2259" spans="1:13" x14ac:dyDescent="0.25">
      <c r="A2259">
        <v>2258</v>
      </c>
      <c r="B2259" t="s">
        <v>2270</v>
      </c>
      <c r="C2259">
        <v>74</v>
      </c>
      <c r="D2259" t="s">
        <v>2947</v>
      </c>
      <c r="E2259" t="s">
        <v>2953</v>
      </c>
      <c r="F2259" t="s">
        <v>5079</v>
      </c>
      <c r="G2259" s="2">
        <v>45872</v>
      </c>
      <c r="H2259" s="2">
        <v>45876</v>
      </c>
      <c r="I2259" t="s">
        <v>5760</v>
      </c>
      <c r="J2259" t="s">
        <v>5769</v>
      </c>
      <c r="K2259">
        <v>210380.74</v>
      </c>
      <c r="L2259" t="s">
        <v>5775</v>
      </c>
      <c r="M2259">
        <v>4</v>
      </c>
    </row>
    <row r="2260" spans="1:13" x14ac:dyDescent="0.25">
      <c r="A2260">
        <v>2259</v>
      </c>
      <c r="B2260" t="s">
        <v>2271</v>
      </c>
      <c r="C2260">
        <v>71</v>
      </c>
      <c r="D2260" t="s">
        <v>2947</v>
      </c>
      <c r="E2260" t="s">
        <v>2949</v>
      </c>
      <c r="F2260" t="s">
        <v>5080</v>
      </c>
      <c r="G2260" s="2">
        <v>45654</v>
      </c>
      <c r="H2260" s="2">
        <v>45664</v>
      </c>
      <c r="I2260" t="s">
        <v>5758</v>
      </c>
      <c r="J2260" t="s">
        <v>5771</v>
      </c>
      <c r="K2260">
        <v>120676.1</v>
      </c>
      <c r="L2260" t="s">
        <v>5775</v>
      </c>
      <c r="M2260">
        <v>10</v>
      </c>
    </row>
    <row r="2261" spans="1:13" x14ac:dyDescent="0.25">
      <c r="A2261">
        <v>2260</v>
      </c>
      <c r="B2261" t="s">
        <v>2272</v>
      </c>
      <c r="C2261">
        <v>83</v>
      </c>
      <c r="D2261" t="s">
        <v>2947</v>
      </c>
      <c r="E2261" t="s">
        <v>2952</v>
      </c>
      <c r="F2261" t="s">
        <v>5081</v>
      </c>
      <c r="G2261" s="2">
        <v>45716</v>
      </c>
      <c r="H2261" s="2">
        <v>45719</v>
      </c>
      <c r="I2261" t="s">
        <v>5767</v>
      </c>
      <c r="J2261" t="s">
        <v>5768</v>
      </c>
      <c r="K2261">
        <v>297761.15999999997</v>
      </c>
      <c r="L2261" t="s">
        <v>5774</v>
      </c>
      <c r="M2261">
        <v>3</v>
      </c>
    </row>
    <row r="2262" spans="1:13" x14ac:dyDescent="0.25">
      <c r="A2262">
        <v>2261</v>
      </c>
      <c r="B2262" t="s">
        <v>2273</v>
      </c>
      <c r="C2262">
        <v>17</v>
      </c>
      <c r="D2262" t="s">
        <v>2947</v>
      </c>
      <c r="E2262" t="s">
        <v>2951</v>
      </c>
      <c r="F2262" t="s">
        <v>5082</v>
      </c>
      <c r="G2262" s="2">
        <v>45726</v>
      </c>
      <c r="H2262" s="2">
        <v>45733</v>
      </c>
      <c r="I2262" t="s">
        <v>5762</v>
      </c>
      <c r="J2262" t="s">
        <v>5768</v>
      </c>
      <c r="K2262">
        <v>486644.69</v>
      </c>
      <c r="L2262" t="s">
        <v>5775</v>
      </c>
      <c r="M2262">
        <v>7</v>
      </c>
    </row>
    <row r="2263" spans="1:13" x14ac:dyDescent="0.25">
      <c r="A2263">
        <v>2262</v>
      </c>
      <c r="B2263" t="s">
        <v>2274</v>
      </c>
      <c r="C2263">
        <v>58</v>
      </c>
      <c r="D2263" t="s">
        <v>2947</v>
      </c>
      <c r="E2263" t="s">
        <v>2950</v>
      </c>
      <c r="F2263" t="s">
        <v>5083</v>
      </c>
      <c r="G2263" s="2">
        <v>45705</v>
      </c>
      <c r="H2263" s="2">
        <v>45719</v>
      </c>
      <c r="I2263" t="s">
        <v>5767</v>
      </c>
      <c r="J2263" t="s">
        <v>5772</v>
      </c>
      <c r="K2263">
        <v>138170.81</v>
      </c>
      <c r="L2263" t="s">
        <v>5775</v>
      </c>
      <c r="M2263">
        <v>14</v>
      </c>
    </row>
    <row r="2264" spans="1:13" x14ac:dyDescent="0.25">
      <c r="A2264">
        <v>2263</v>
      </c>
      <c r="B2264" t="s">
        <v>2275</v>
      </c>
      <c r="C2264">
        <v>28</v>
      </c>
      <c r="D2264" t="s">
        <v>2948</v>
      </c>
      <c r="E2264" t="s">
        <v>2949</v>
      </c>
      <c r="F2264" t="s">
        <v>5084</v>
      </c>
      <c r="G2264" s="2">
        <v>45740</v>
      </c>
      <c r="H2264" s="2">
        <v>45744</v>
      </c>
      <c r="I2264" t="s">
        <v>5760</v>
      </c>
      <c r="J2264" t="s">
        <v>5772</v>
      </c>
      <c r="K2264">
        <v>444060.47</v>
      </c>
      <c r="L2264" t="s">
        <v>5773</v>
      </c>
      <c r="M2264">
        <v>4</v>
      </c>
    </row>
    <row r="2265" spans="1:13" x14ac:dyDescent="0.25">
      <c r="A2265">
        <v>2264</v>
      </c>
      <c r="B2265" t="s">
        <v>2276</v>
      </c>
      <c r="C2265">
        <v>37</v>
      </c>
      <c r="D2265" t="s">
        <v>2947</v>
      </c>
      <c r="E2265" t="s">
        <v>2954</v>
      </c>
      <c r="F2265" t="s">
        <v>5085</v>
      </c>
      <c r="G2265" s="2">
        <v>45863</v>
      </c>
      <c r="H2265" s="2">
        <v>45867</v>
      </c>
      <c r="I2265" t="s">
        <v>5758</v>
      </c>
      <c r="J2265" t="s">
        <v>5769</v>
      </c>
      <c r="K2265">
        <v>305208.69</v>
      </c>
      <c r="L2265" t="s">
        <v>5773</v>
      </c>
      <c r="M2265">
        <v>4</v>
      </c>
    </row>
    <row r="2266" spans="1:13" x14ac:dyDescent="0.25">
      <c r="A2266">
        <v>2265</v>
      </c>
      <c r="B2266" t="s">
        <v>2277</v>
      </c>
      <c r="C2266">
        <v>72</v>
      </c>
      <c r="D2266" t="s">
        <v>2947</v>
      </c>
      <c r="E2266" t="s">
        <v>2953</v>
      </c>
      <c r="F2266" t="s">
        <v>5086</v>
      </c>
      <c r="G2266" s="2">
        <v>45837</v>
      </c>
      <c r="H2266" s="2">
        <v>45840</v>
      </c>
      <c r="I2266" t="s">
        <v>5766</v>
      </c>
      <c r="J2266" t="s">
        <v>5772</v>
      </c>
      <c r="K2266">
        <v>404053.9</v>
      </c>
      <c r="L2266" t="s">
        <v>5775</v>
      </c>
      <c r="M2266">
        <v>3</v>
      </c>
    </row>
    <row r="2267" spans="1:13" x14ac:dyDescent="0.25">
      <c r="A2267">
        <v>2266</v>
      </c>
      <c r="B2267" t="s">
        <v>2278</v>
      </c>
      <c r="C2267">
        <v>86</v>
      </c>
      <c r="D2267" t="s">
        <v>2948</v>
      </c>
      <c r="E2267" t="s">
        <v>2953</v>
      </c>
      <c r="F2267" t="s">
        <v>2497</v>
      </c>
      <c r="G2267" s="2">
        <v>45847</v>
      </c>
      <c r="H2267" s="2">
        <v>45859</v>
      </c>
      <c r="I2267" t="s">
        <v>5760</v>
      </c>
      <c r="J2267" t="s">
        <v>5772</v>
      </c>
      <c r="K2267">
        <v>50858.87</v>
      </c>
      <c r="L2267" t="s">
        <v>5775</v>
      </c>
      <c r="M2267">
        <v>12</v>
      </c>
    </row>
    <row r="2268" spans="1:13" x14ac:dyDescent="0.25">
      <c r="A2268">
        <v>2267</v>
      </c>
      <c r="B2268" t="s">
        <v>2279</v>
      </c>
      <c r="C2268">
        <v>59</v>
      </c>
      <c r="D2268" t="s">
        <v>2947</v>
      </c>
      <c r="E2268" t="s">
        <v>2952</v>
      </c>
      <c r="F2268" t="s">
        <v>5087</v>
      </c>
      <c r="G2268" s="2">
        <v>45602</v>
      </c>
      <c r="H2268" s="2">
        <v>45603</v>
      </c>
      <c r="I2268" t="s">
        <v>5762</v>
      </c>
      <c r="J2268" t="s">
        <v>5772</v>
      </c>
      <c r="K2268">
        <v>493097.43</v>
      </c>
      <c r="L2268" t="s">
        <v>5774</v>
      </c>
      <c r="M2268">
        <v>1</v>
      </c>
    </row>
    <row r="2269" spans="1:13" x14ac:dyDescent="0.25">
      <c r="A2269">
        <v>2268</v>
      </c>
      <c r="B2269" t="s">
        <v>2280</v>
      </c>
      <c r="C2269">
        <v>87</v>
      </c>
      <c r="D2269" t="s">
        <v>2947</v>
      </c>
      <c r="E2269" t="s">
        <v>2955</v>
      </c>
      <c r="F2269" t="s">
        <v>5088</v>
      </c>
      <c r="G2269" s="2">
        <v>45759</v>
      </c>
      <c r="H2269" s="2">
        <v>45771</v>
      </c>
      <c r="I2269" t="s">
        <v>5766</v>
      </c>
      <c r="J2269" t="s">
        <v>5769</v>
      </c>
      <c r="K2269">
        <v>260517.58</v>
      </c>
      <c r="L2269" t="s">
        <v>5775</v>
      </c>
      <c r="M2269">
        <v>12</v>
      </c>
    </row>
    <row r="2270" spans="1:13" x14ac:dyDescent="0.25">
      <c r="A2270">
        <v>2269</v>
      </c>
      <c r="B2270" t="s">
        <v>2281</v>
      </c>
      <c r="C2270">
        <v>25</v>
      </c>
      <c r="D2270" t="s">
        <v>2947</v>
      </c>
      <c r="E2270" t="s">
        <v>2952</v>
      </c>
      <c r="F2270" t="s">
        <v>5089</v>
      </c>
      <c r="G2270" s="2">
        <v>45632</v>
      </c>
      <c r="H2270" s="2">
        <v>45633</v>
      </c>
      <c r="I2270" t="s">
        <v>5759</v>
      </c>
      <c r="J2270" t="s">
        <v>5771</v>
      </c>
      <c r="K2270">
        <v>191610.36</v>
      </c>
      <c r="L2270" t="s">
        <v>5774</v>
      </c>
      <c r="M2270">
        <v>1</v>
      </c>
    </row>
    <row r="2271" spans="1:13" x14ac:dyDescent="0.25">
      <c r="A2271">
        <v>2270</v>
      </c>
      <c r="B2271" t="s">
        <v>2282</v>
      </c>
      <c r="C2271">
        <v>19</v>
      </c>
      <c r="D2271" t="s">
        <v>2948</v>
      </c>
      <c r="E2271" t="s">
        <v>2953</v>
      </c>
      <c r="F2271" t="s">
        <v>5090</v>
      </c>
      <c r="G2271" s="2">
        <v>45746</v>
      </c>
      <c r="H2271" s="2">
        <v>45754</v>
      </c>
      <c r="I2271" t="s">
        <v>5762</v>
      </c>
      <c r="J2271" t="s">
        <v>5769</v>
      </c>
      <c r="K2271">
        <v>105790.13</v>
      </c>
      <c r="L2271" t="s">
        <v>5774</v>
      </c>
      <c r="M2271">
        <v>8</v>
      </c>
    </row>
    <row r="2272" spans="1:13" x14ac:dyDescent="0.25">
      <c r="A2272">
        <v>2271</v>
      </c>
      <c r="B2272" t="s">
        <v>2283</v>
      </c>
      <c r="C2272">
        <v>13</v>
      </c>
      <c r="D2272" t="s">
        <v>2947</v>
      </c>
      <c r="E2272" t="s">
        <v>2953</v>
      </c>
      <c r="F2272" t="s">
        <v>2318</v>
      </c>
      <c r="G2272" s="2">
        <v>45612</v>
      </c>
      <c r="H2272" s="2">
        <v>45627</v>
      </c>
      <c r="I2272" t="s">
        <v>5758</v>
      </c>
      <c r="J2272" t="s">
        <v>5771</v>
      </c>
      <c r="K2272">
        <v>6995.8</v>
      </c>
      <c r="L2272" t="s">
        <v>5774</v>
      </c>
      <c r="M2272">
        <v>15</v>
      </c>
    </row>
    <row r="2273" spans="1:13" x14ac:dyDescent="0.25">
      <c r="A2273">
        <v>2272</v>
      </c>
      <c r="B2273" t="s">
        <v>2284</v>
      </c>
      <c r="C2273">
        <v>82</v>
      </c>
      <c r="D2273" t="s">
        <v>2948</v>
      </c>
      <c r="E2273" t="s">
        <v>2955</v>
      </c>
      <c r="F2273" t="s">
        <v>5091</v>
      </c>
      <c r="G2273" s="2">
        <v>45723</v>
      </c>
      <c r="H2273" s="2">
        <v>45728</v>
      </c>
      <c r="I2273" t="s">
        <v>5763</v>
      </c>
      <c r="J2273" t="s">
        <v>2949</v>
      </c>
      <c r="K2273">
        <v>378946.33</v>
      </c>
      <c r="L2273" t="s">
        <v>5774</v>
      </c>
      <c r="M2273">
        <v>5</v>
      </c>
    </row>
    <row r="2274" spans="1:13" x14ac:dyDescent="0.25">
      <c r="A2274">
        <v>2273</v>
      </c>
      <c r="B2274" t="s">
        <v>2285</v>
      </c>
      <c r="C2274">
        <v>60</v>
      </c>
      <c r="D2274" t="s">
        <v>2947</v>
      </c>
      <c r="E2274" t="s">
        <v>2949</v>
      </c>
      <c r="F2274" t="s">
        <v>5092</v>
      </c>
      <c r="G2274" s="2">
        <v>45703</v>
      </c>
      <c r="H2274" s="2">
        <v>45709</v>
      </c>
      <c r="I2274" t="s">
        <v>5758</v>
      </c>
      <c r="J2274" t="s">
        <v>5771</v>
      </c>
      <c r="K2274">
        <v>32890.32</v>
      </c>
      <c r="L2274" t="s">
        <v>5775</v>
      </c>
      <c r="M2274">
        <v>6</v>
      </c>
    </row>
    <row r="2275" spans="1:13" x14ac:dyDescent="0.25">
      <c r="A2275">
        <v>2274</v>
      </c>
      <c r="B2275" t="s">
        <v>2286</v>
      </c>
      <c r="C2275">
        <v>57</v>
      </c>
      <c r="D2275" t="s">
        <v>2947</v>
      </c>
      <c r="E2275" t="s">
        <v>2955</v>
      </c>
      <c r="F2275" t="s">
        <v>5093</v>
      </c>
      <c r="G2275" s="2">
        <v>45846</v>
      </c>
      <c r="H2275" s="2">
        <v>45857</v>
      </c>
      <c r="I2275" t="s">
        <v>5758</v>
      </c>
      <c r="J2275" t="s">
        <v>2949</v>
      </c>
      <c r="K2275">
        <v>178249.39</v>
      </c>
      <c r="L2275" t="s">
        <v>5773</v>
      </c>
      <c r="M2275">
        <v>11</v>
      </c>
    </row>
    <row r="2276" spans="1:13" x14ac:dyDescent="0.25">
      <c r="A2276">
        <v>2275</v>
      </c>
      <c r="B2276" t="s">
        <v>2287</v>
      </c>
      <c r="C2276">
        <v>19</v>
      </c>
      <c r="D2276" t="s">
        <v>2948</v>
      </c>
      <c r="E2276" t="s">
        <v>2950</v>
      </c>
      <c r="F2276" t="s">
        <v>5094</v>
      </c>
      <c r="G2276" s="2">
        <v>45853</v>
      </c>
      <c r="H2276" s="2">
        <v>45860</v>
      </c>
      <c r="I2276" t="s">
        <v>5762</v>
      </c>
      <c r="J2276" t="s">
        <v>5771</v>
      </c>
      <c r="K2276">
        <v>271749.59999999998</v>
      </c>
      <c r="L2276" t="s">
        <v>5774</v>
      </c>
      <c r="M2276">
        <v>7</v>
      </c>
    </row>
    <row r="2277" spans="1:13" x14ac:dyDescent="0.25">
      <c r="A2277">
        <v>2276</v>
      </c>
      <c r="B2277" t="s">
        <v>2288</v>
      </c>
      <c r="C2277">
        <v>44</v>
      </c>
      <c r="D2277" t="s">
        <v>2947</v>
      </c>
      <c r="E2277" t="s">
        <v>2950</v>
      </c>
      <c r="F2277" t="s">
        <v>5095</v>
      </c>
      <c r="G2277" s="2">
        <v>45668</v>
      </c>
      <c r="H2277" s="2">
        <v>45671</v>
      </c>
      <c r="I2277" t="s">
        <v>5762</v>
      </c>
      <c r="J2277" t="s">
        <v>5769</v>
      </c>
      <c r="K2277">
        <v>303471.88</v>
      </c>
      <c r="L2277" t="s">
        <v>5775</v>
      </c>
      <c r="M2277">
        <v>3</v>
      </c>
    </row>
    <row r="2278" spans="1:13" x14ac:dyDescent="0.25">
      <c r="A2278">
        <v>2277</v>
      </c>
      <c r="B2278" t="s">
        <v>2289</v>
      </c>
      <c r="C2278">
        <v>63</v>
      </c>
      <c r="D2278" t="s">
        <v>2947</v>
      </c>
      <c r="E2278" t="s">
        <v>2953</v>
      </c>
      <c r="F2278" t="s">
        <v>5096</v>
      </c>
      <c r="G2278" s="2">
        <v>45853</v>
      </c>
      <c r="H2278" s="2">
        <v>45865</v>
      </c>
      <c r="I2278" t="s">
        <v>5761</v>
      </c>
      <c r="J2278" t="s">
        <v>5770</v>
      </c>
      <c r="K2278">
        <v>9293.01</v>
      </c>
      <c r="L2278" t="s">
        <v>5773</v>
      </c>
      <c r="M2278">
        <v>12</v>
      </c>
    </row>
    <row r="2279" spans="1:13" x14ac:dyDescent="0.25">
      <c r="A2279">
        <v>2278</v>
      </c>
      <c r="B2279" t="s">
        <v>2290</v>
      </c>
      <c r="C2279">
        <v>82</v>
      </c>
      <c r="D2279" t="s">
        <v>2947</v>
      </c>
      <c r="E2279" t="s">
        <v>2953</v>
      </c>
      <c r="F2279" t="s">
        <v>5097</v>
      </c>
      <c r="G2279" s="2">
        <v>45629</v>
      </c>
      <c r="H2279" s="2">
        <v>45643</v>
      </c>
      <c r="I2279" t="s">
        <v>5762</v>
      </c>
      <c r="J2279" t="s">
        <v>5772</v>
      </c>
      <c r="K2279">
        <v>338355.73</v>
      </c>
      <c r="L2279" t="s">
        <v>5773</v>
      </c>
      <c r="M2279">
        <v>14</v>
      </c>
    </row>
    <row r="2280" spans="1:13" x14ac:dyDescent="0.25">
      <c r="A2280">
        <v>2279</v>
      </c>
      <c r="B2280" t="s">
        <v>2291</v>
      </c>
      <c r="C2280">
        <v>12</v>
      </c>
      <c r="D2280" t="s">
        <v>2948</v>
      </c>
      <c r="E2280" t="s">
        <v>2954</v>
      </c>
      <c r="F2280" t="s">
        <v>5098</v>
      </c>
      <c r="G2280" s="2">
        <v>45561</v>
      </c>
      <c r="H2280" s="2">
        <v>45576</v>
      </c>
      <c r="I2280" t="s">
        <v>5766</v>
      </c>
      <c r="J2280" t="s">
        <v>5771</v>
      </c>
      <c r="K2280">
        <v>431826.15</v>
      </c>
      <c r="L2280" t="s">
        <v>5775</v>
      </c>
      <c r="M2280">
        <v>15</v>
      </c>
    </row>
    <row r="2281" spans="1:13" x14ac:dyDescent="0.25">
      <c r="A2281">
        <v>2280</v>
      </c>
      <c r="B2281" t="s">
        <v>2292</v>
      </c>
      <c r="C2281">
        <v>83</v>
      </c>
      <c r="D2281" t="s">
        <v>2947</v>
      </c>
      <c r="E2281" t="s">
        <v>2953</v>
      </c>
      <c r="F2281" t="s">
        <v>5099</v>
      </c>
      <c r="G2281" s="2">
        <v>45598</v>
      </c>
      <c r="H2281" s="2">
        <v>45600</v>
      </c>
      <c r="I2281" t="s">
        <v>5763</v>
      </c>
      <c r="J2281" t="s">
        <v>5768</v>
      </c>
      <c r="K2281">
        <v>101186.8</v>
      </c>
      <c r="L2281" t="s">
        <v>5775</v>
      </c>
      <c r="M2281">
        <v>2</v>
      </c>
    </row>
    <row r="2282" spans="1:13" x14ac:dyDescent="0.25">
      <c r="A2282">
        <v>2281</v>
      </c>
      <c r="B2282" t="s">
        <v>2293</v>
      </c>
      <c r="C2282">
        <v>87</v>
      </c>
      <c r="D2282" t="s">
        <v>2948</v>
      </c>
      <c r="E2282" t="s">
        <v>2955</v>
      </c>
      <c r="F2282" t="s">
        <v>5100</v>
      </c>
      <c r="G2282" s="2">
        <v>45828</v>
      </c>
      <c r="H2282" s="2">
        <v>45841</v>
      </c>
      <c r="I2282" t="s">
        <v>5761</v>
      </c>
      <c r="J2282" t="s">
        <v>2949</v>
      </c>
      <c r="K2282">
        <v>433887.69</v>
      </c>
      <c r="L2282" t="s">
        <v>5775</v>
      </c>
      <c r="M2282">
        <v>13</v>
      </c>
    </row>
    <row r="2283" spans="1:13" x14ac:dyDescent="0.25">
      <c r="A2283">
        <v>2282</v>
      </c>
      <c r="B2283" t="s">
        <v>2294</v>
      </c>
      <c r="C2283">
        <v>78</v>
      </c>
      <c r="D2283" t="s">
        <v>2948</v>
      </c>
      <c r="E2283" t="s">
        <v>2949</v>
      </c>
      <c r="F2283" t="s">
        <v>5101</v>
      </c>
      <c r="G2283" s="2">
        <v>45677</v>
      </c>
      <c r="H2283" s="2">
        <v>45680</v>
      </c>
      <c r="I2283" t="s">
        <v>5764</v>
      </c>
      <c r="J2283" t="s">
        <v>5770</v>
      </c>
      <c r="K2283">
        <v>482190.34</v>
      </c>
      <c r="L2283" t="s">
        <v>5774</v>
      </c>
      <c r="M2283">
        <v>3</v>
      </c>
    </row>
    <row r="2284" spans="1:13" x14ac:dyDescent="0.25">
      <c r="A2284">
        <v>2283</v>
      </c>
      <c r="B2284" t="s">
        <v>2295</v>
      </c>
      <c r="C2284">
        <v>22</v>
      </c>
      <c r="D2284" t="s">
        <v>2947</v>
      </c>
      <c r="E2284" t="s">
        <v>2951</v>
      </c>
      <c r="F2284" t="s">
        <v>5102</v>
      </c>
      <c r="G2284" s="2">
        <v>45720</v>
      </c>
      <c r="H2284" s="2">
        <v>45727</v>
      </c>
      <c r="I2284" t="s">
        <v>5761</v>
      </c>
      <c r="J2284" t="s">
        <v>2949</v>
      </c>
      <c r="K2284">
        <v>486333.57</v>
      </c>
      <c r="L2284" t="s">
        <v>5773</v>
      </c>
      <c r="M2284">
        <v>7</v>
      </c>
    </row>
    <row r="2285" spans="1:13" x14ac:dyDescent="0.25">
      <c r="A2285">
        <v>2284</v>
      </c>
      <c r="B2285" t="s">
        <v>2296</v>
      </c>
      <c r="C2285">
        <v>44</v>
      </c>
      <c r="D2285" t="s">
        <v>2948</v>
      </c>
      <c r="E2285" t="s">
        <v>2955</v>
      </c>
      <c r="F2285" t="s">
        <v>5103</v>
      </c>
      <c r="G2285" s="2">
        <v>45792</v>
      </c>
      <c r="H2285" s="2">
        <v>45806</v>
      </c>
      <c r="I2285" t="s">
        <v>5760</v>
      </c>
      <c r="J2285" t="s">
        <v>5772</v>
      </c>
      <c r="K2285">
        <v>258658.99</v>
      </c>
      <c r="L2285" t="s">
        <v>5773</v>
      </c>
      <c r="M2285">
        <v>14</v>
      </c>
    </row>
    <row r="2286" spans="1:13" x14ac:dyDescent="0.25">
      <c r="A2286">
        <v>2285</v>
      </c>
      <c r="B2286" t="s">
        <v>2297</v>
      </c>
      <c r="C2286">
        <v>5</v>
      </c>
      <c r="D2286" t="s">
        <v>2947</v>
      </c>
      <c r="E2286" t="s">
        <v>2951</v>
      </c>
      <c r="F2286" t="s">
        <v>5104</v>
      </c>
      <c r="G2286" s="2">
        <v>45834</v>
      </c>
      <c r="H2286" s="2">
        <v>45836</v>
      </c>
      <c r="I2286" t="s">
        <v>5758</v>
      </c>
      <c r="J2286" t="s">
        <v>5772</v>
      </c>
      <c r="K2286">
        <v>303819.78000000003</v>
      </c>
      <c r="L2286" t="s">
        <v>5773</v>
      </c>
      <c r="M2286">
        <v>2</v>
      </c>
    </row>
    <row r="2287" spans="1:13" x14ac:dyDescent="0.25">
      <c r="A2287">
        <v>2286</v>
      </c>
      <c r="B2287" t="s">
        <v>2298</v>
      </c>
      <c r="C2287">
        <v>20</v>
      </c>
      <c r="D2287" t="s">
        <v>2948</v>
      </c>
      <c r="E2287" t="s">
        <v>2955</v>
      </c>
      <c r="F2287" t="s">
        <v>5105</v>
      </c>
      <c r="G2287" s="2">
        <v>45682</v>
      </c>
      <c r="H2287" s="2">
        <v>45692</v>
      </c>
      <c r="I2287" t="s">
        <v>5758</v>
      </c>
      <c r="J2287" t="s">
        <v>5771</v>
      </c>
      <c r="K2287">
        <v>210569.04</v>
      </c>
      <c r="L2287" t="s">
        <v>5773</v>
      </c>
      <c r="M2287">
        <v>10</v>
      </c>
    </row>
    <row r="2288" spans="1:13" x14ac:dyDescent="0.25">
      <c r="A2288">
        <v>2287</v>
      </c>
      <c r="B2288" t="s">
        <v>2299</v>
      </c>
      <c r="C2288">
        <v>87</v>
      </c>
      <c r="D2288" t="s">
        <v>2947</v>
      </c>
      <c r="E2288" t="s">
        <v>2954</v>
      </c>
      <c r="F2288" t="s">
        <v>5106</v>
      </c>
      <c r="G2288" s="2">
        <v>45770</v>
      </c>
      <c r="H2288" s="2">
        <v>45778</v>
      </c>
      <c r="I2288" t="s">
        <v>5767</v>
      </c>
      <c r="J2288" t="s">
        <v>5770</v>
      </c>
      <c r="K2288">
        <v>415497.99</v>
      </c>
      <c r="L2288" t="s">
        <v>5773</v>
      </c>
      <c r="M2288">
        <v>8</v>
      </c>
    </row>
    <row r="2289" spans="1:13" x14ac:dyDescent="0.25">
      <c r="A2289">
        <v>2288</v>
      </c>
      <c r="B2289" t="s">
        <v>2300</v>
      </c>
      <c r="C2289">
        <v>31</v>
      </c>
      <c r="D2289" t="s">
        <v>2947</v>
      </c>
      <c r="E2289" t="s">
        <v>2951</v>
      </c>
      <c r="F2289" t="s">
        <v>2823</v>
      </c>
      <c r="G2289" s="2">
        <v>45729</v>
      </c>
      <c r="H2289" s="2">
        <v>45732</v>
      </c>
      <c r="I2289" t="s">
        <v>5762</v>
      </c>
      <c r="J2289" t="s">
        <v>5770</v>
      </c>
      <c r="K2289">
        <v>97994.85</v>
      </c>
      <c r="L2289" t="s">
        <v>5773</v>
      </c>
      <c r="M2289">
        <v>3</v>
      </c>
    </row>
    <row r="2290" spans="1:13" x14ac:dyDescent="0.25">
      <c r="A2290">
        <v>2289</v>
      </c>
      <c r="B2290" t="s">
        <v>2301</v>
      </c>
      <c r="C2290">
        <v>22</v>
      </c>
      <c r="D2290" t="s">
        <v>2947</v>
      </c>
      <c r="E2290" t="s">
        <v>2955</v>
      </c>
      <c r="F2290" t="s">
        <v>5107</v>
      </c>
      <c r="G2290" s="2">
        <v>45575</v>
      </c>
      <c r="H2290" s="2">
        <v>45584</v>
      </c>
      <c r="I2290" t="s">
        <v>5760</v>
      </c>
      <c r="J2290" t="s">
        <v>5768</v>
      </c>
      <c r="K2290">
        <v>211622.17</v>
      </c>
      <c r="L2290" t="s">
        <v>5774</v>
      </c>
      <c r="M2290">
        <v>9</v>
      </c>
    </row>
    <row r="2291" spans="1:13" x14ac:dyDescent="0.25">
      <c r="A2291">
        <v>2290</v>
      </c>
      <c r="B2291" t="s">
        <v>2302</v>
      </c>
      <c r="C2291">
        <v>89</v>
      </c>
      <c r="D2291" t="s">
        <v>2948</v>
      </c>
      <c r="E2291" t="s">
        <v>2949</v>
      </c>
      <c r="F2291" t="s">
        <v>5108</v>
      </c>
      <c r="G2291" s="2">
        <v>45912</v>
      </c>
      <c r="H2291" s="2">
        <v>45915</v>
      </c>
      <c r="I2291" t="s">
        <v>5763</v>
      </c>
      <c r="J2291" t="s">
        <v>5771</v>
      </c>
      <c r="K2291">
        <v>352709.59</v>
      </c>
      <c r="L2291" t="s">
        <v>5775</v>
      </c>
      <c r="M2291">
        <v>3</v>
      </c>
    </row>
    <row r="2292" spans="1:13" x14ac:dyDescent="0.25">
      <c r="A2292">
        <v>2291</v>
      </c>
      <c r="B2292" t="s">
        <v>2303</v>
      </c>
      <c r="C2292">
        <v>48</v>
      </c>
      <c r="D2292" t="s">
        <v>2948</v>
      </c>
      <c r="E2292" t="s">
        <v>2954</v>
      </c>
      <c r="F2292" t="s">
        <v>5109</v>
      </c>
      <c r="G2292" s="2">
        <v>45880</v>
      </c>
      <c r="H2292" s="2">
        <v>45894</v>
      </c>
      <c r="I2292" t="s">
        <v>5760</v>
      </c>
      <c r="J2292" t="s">
        <v>5768</v>
      </c>
      <c r="K2292">
        <v>247662.93</v>
      </c>
      <c r="L2292" t="s">
        <v>5774</v>
      </c>
      <c r="M2292">
        <v>14</v>
      </c>
    </row>
    <row r="2293" spans="1:13" x14ac:dyDescent="0.25">
      <c r="A2293">
        <v>2292</v>
      </c>
      <c r="B2293" t="s">
        <v>2304</v>
      </c>
      <c r="C2293">
        <v>86</v>
      </c>
      <c r="D2293" t="s">
        <v>2948</v>
      </c>
      <c r="E2293" t="s">
        <v>2949</v>
      </c>
      <c r="F2293" t="s">
        <v>5110</v>
      </c>
      <c r="G2293" s="2">
        <v>45829</v>
      </c>
      <c r="H2293" s="2">
        <v>45836</v>
      </c>
      <c r="I2293" t="s">
        <v>5763</v>
      </c>
      <c r="J2293" t="s">
        <v>5769</v>
      </c>
      <c r="K2293">
        <v>229234.42</v>
      </c>
      <c r="L2293" t="s">
        <v>5773</v>
      </c>
      <c r="M2293">
        <v>7</v>
      </c>
    </row>
    <row r="2294" spans="1:13" x14ac:dyDescent="0.25">
      <c r="A2294">
        <v>2293</v>
      </c>
      <c r="B2294" t="s">
        <v>2305</v>
      </c>
      <c r="C2294">
        <v>31</v>
      </c>
      <c r="D2294" t="s">
        <v>2947</v>
      </c>
      <c r="E2294" t="s">
        <v>2949</v>
      </c>
      <c r="F2294" t="s">
        <v>5111</v>
      </c>
      <c r="G2294" s="2">
        <v>45688</v>
      </c>
      <c r="H2294" s="2">
        <v>45689</v>
      </c>
      <c r="I2294" t="s">
        <v>5766</v>
      </c>
      <c r="J2294" t="s">
        <v>2949</v>
      </c>
      <c r="K2294">
        <v>359340.12</v>
      </c>
      <c r="L2294" t="s">
        <v>5773</v>
      </c>
      <c r="M2294">
        <v>1</v>
      </c>
    </row>
    <row r="2295" spans="1:13" x14ac:dyDescent="0.25">
      <c r="A2295">
        <v>2294</v>
      </c>
      <c r="B2295" t="s">
        <v>2306</v>
      </c>
      <c r="C2295">
        <v>34</v>
      </c>
      <c r="D2295" t="s">
        <v>2947</v>
      </c>
      <c r="E2295" t="s">
        <v>2955</v>
      </c>
      <c r="F2295" t="s">
        <v>5112</v>
      </c>
      <c r="G2295" s="2">
        <v>45769</v>
      </c>
      <c r="H2295" s="2">
        <v>45778</v>
      </c>
      <c r="I2295" t="s">
        <v>5758</v>
      </c>
      <c r="J2295" t="s">
        <v>5771</v>
      </c>
      <c r="K2295">
        <v>345055.65</v>
      </c>
      <c r="L2295" t="s">
        <v>5774</v>
      </c>
      <c r="M2295">
        <v>9</v>
      </c>
    </row>
    <row r="2296" spans="1:13" x14ac:dyDescent="0.25">
      <c r="A2296">
        <v>2295</v>
      </c>
      <c r="B2296" t="s">
        <v>2307</v>
      </c>
      <c r="C2296">
        <v>85</v>
      </c>
      <c r="D2296" t="s">
        <v>2948</v>
      </c>
      <c r="E2296" t="s">
        <v>2953</v>
      </c>
      <c r="F2296" t="s">
        <v>5113</v>
      </c>
      <c r="G2296" s="2">
        <v>45841</v>
      </c>
      <c r="H2296" s="2">
        <v>45853</v>
      </c>
      <c r="I2296" t="s">
        <v>5761</v>
      </c>
      <c r="J2296" t="s">
        <v>5769</v>
      </c>
      <c r="K2296">
        <v>200185.98</v>
      </c>
      <c r="L2296" t="s">
        <v>5775</v>
      </c>
      <c r="M2296">
        <v>12</v>
      </c>
    </row>
    <row r="2297" spans="1:13" x14ac:dyDescent="0.25">
      <c r="A2297">
        <v>2296</v>
      </c>
      <c r="B2297" t="s">
        <v>2308</v>
      </c>
      <c r="C2297">
        <v>82</v>
      </c>
      <c r="D2297" t="s">
        <v>2948</v>
      </c>
      <c r="E2297" t="s">
        <v>2950</v>
      </c>
      <c r="F2297" t="s">
        <v>5114</v>
      </c>
      <c r="G2297" s="2">
        <v>45838</v>
      </c>
      <c r="H2297" s="2">
        <v>45841</v>
      </c>
      <c r="I2297" t="s">
        <v>5764</v>
      </c>
      <c r="J2297" t="s">
        <v>2949</v>
      </c>
      <c r="K2297">
        <v>499587.38</v>
      </c>
      <c r="L2297" t="s">
        <v>5774</v>
      </c>
      <c r="M2297">
        <v>3</v>
      </c>
    </row>
    <row r="2298" spans="1:13" x14ac:dyDescent="0.25">
      <c r="A2298">
        <v>2297</v>
      </c>
      <c r="B2298" t="s">
        <v>2309</v>
      </c>
      <c r="C2298">
        <v>41</v>
      </c>
      <c r="D2298" t="s">
        <v>2948</v>
      </c>
      <c r="E2298" t="s">
        <v>2951</v>
      </c>
      <c r="F2298" t="s">
        <v>5115</v>
      </c>
      <c r="G2298" s="2">
        <v>45806</v>
      </c>
      <c r="H2298" s="2">
        <v>45812</v>
      </c>
      <c r="I2298" t="s">
        <v>5766</v>
      </c>
      <c r="J2298" t="s">
        <v>5770</v>
      </c>
      <c r="K2298">
        <v>169446.77</v>
      </c>
      <c r="L2298" t="s">
        <v>5775</v>
      </c>
      <c r="M2298">
        <v>6</v>
      </c>
    </row>
    <row r="2299" spans="1:13" x14ac:dyDescent="0.25">
      <c r="A2299">
        <v>2298</v>
      </c>
      <c r="B2299" t="s">
        <v>2310</v>
      </c>
      <c r="C2299">
        <v>69</v>
      </c>
      <c r="D2299" t="s">
        <v>2948</v>
      </c>
      <c r="E2299" t="s">
        <v>2955</v>
      </c>
      <c r="F2299" t="s">
        <v>5116</v>
      </c>
      <c r="G2299" s="2">
        <v>45592</v>
      </c>
      <c r="H2299" s="2">
        <v>45593</v>
      </c>
      <c r="I2299" t="s">
        <v>5766</v>
      </c>
      <c r="J2299" t="s">
        <v>5769</v>
      </c>
      <c r="K2299">
        <v>264984.32000000001</v>
      </c>
      <c r="L2299" t="s">
        <v>5773</v>
      </c>
      <c r="M2299">
        <v>1</v>
      </c>
    </row>
    <row r="2300" spans="1:13" x14ac:dyDescent="0.25">
      <c r="A2300">
        <v>2299</v>
      </c>
      <c r="B2300" t="s">
        <v>2311</v>
      </c>
      <c r="C2300">
        <v>41</v>
      </c>
      <c r="D2300" t="s">
        <v>2948</v>
      </c>
      <c r="E2300" t="s">
        <v>2952</v>
      </c>
      <c r="F2300" t="s">
        <v>5117</v>
      </c>
      <c r="G2300" s="2">
        <v>45632</v>
      </c>
      <c r="H2300" s="2">
        <v>45641</v>
      </c>
      <c r="I2300" t="s">
        <v>5766</v>
      </c>
      <c r="J2300" t="s">
        <v>5772</v>
      </c>
      <c r="K2300">
        <v>159112.79999999999</v>
      </c>
      <c r="L2300" t="s">
        <v>5775</v>
      </c>
      <c r="M2300">
        <v>9</v>
      </c>
    </row>
    <row r="2301" spans="1:13" x14ac:dyDescent="0.25">
      <c r="A2301">
        <v>2300</v>
      </c>
      <c r="B2301" t="s">
        <v>2312</v>
      </c>
      <c r="C2301">
        <v>20</v>
      </c>
      <c r="D2301" t="s">
        <v>2947</v>
      </c>
      <c r="E2301" t="s">
        <v>2952</v>
      </c>
      <c r="F2301" t="s">
        <v>5118</v>
      </c>
      <c r="G2301" s="2">
        <v>45908</v>
      </c>
      <c r="H2301" s="2">
        <v>45916</v>
      </c>
      <c r="I2301" t="s">
        <v>5766</v>
      </c>
      <c r="J2301" t="s">
        <v>5770</v>
      </c>
      <c r="K2301">
        <v>79394.89</v>
      </c>
      <c r="L2301" t="s">
        <v>5775</v>
      </c>
      <c r="M2301">
        <v>8</v>
      </c>
    </row>
    <row r="2302" spans="1:13" x14ac:dyDescent="0.25">
      <c r="A2302">
        <v>2301</v>
      </c>
      <c r="B2302" t="s">
        <v>2313</v>
      </c>
      <c r="C2302">
        <v>71</v>
      </c>
      <c r="D2302" t="s">
        <v>2947</v>
      </c>
      <c r="E2302" t="s">
        <v>2952</v>
      </c>
      <c r="F2302" t="s">
        <v>5119</v>
      </c>
      <c r="G2302" s="2">
        <v>45874</v>
      </c>
      <c r="H2302" s="2">
        <v>45887</v>
      </c>
      <c r="I2302" t="s">
        <v>5765</v>
      </c>
      <c r="J2302" t="s">
        <v>5769</v>
      </c>
      <c r="K2302">
        <v>395128.44</v>
      </c>
      <c r="L2302" t="s">
        <v>5773</v>
      </c>
      <c r="M2302">
        <v>13</v>
      </c>
    </row>
    <row r="2303" spans="1:13" x14ac:dyDescent="0.25">
      <c r="A2303">
        <v>2302</v>
      </c>
      <c r="B2303" t="s">
        <v>2314</v>
      </c>
      <c r="C2303">
        <v>47</v>
      </c>
      <c r="D2303" t="s">
        <v>2948</v>
      </c>
      <c r="E2303" t="s">
        <v>2955</v>
      </c>
      <c r="F2303" t="s">
        <v>5120</v>
      </c>
      <c r="G2303" s="2">
        <v>45757</v>
      </c>
      <c r="H2303" s="2">
        <v>45764</v>
      </c>
      <c r="I2303" t="s">
        <v>5766</v>
      </c>
      <c r="J2303" t="s">
        <v>2949</v>
      </c>
      <c r="K2303">
        <v>220562.15</v>
      </c>
      <c r="L2303" t="s">
        <v>5775</v>
      </c>
      <c r="M2303">
        <v>7</v>
      </c>
    </row>
    <row r="2304" spans="1:13" x14ac:dyDescent="0.25">
      <c r="A2304">
        <v>2303</v>
      </c>
      <c r="B2304" t="s">
        <v>2315</v>
      </c>
      <c r="C2304">
        <v>11</v>
      </c>
      <c r="D2304" t="s">
        <v>2948</v>
      </c>
      <c r="E2304" t="s">
        <v>2951</v>
      </c>
      <c r="F2304" t="s">
        <v>5121</v>
      </c>
      <c r="G2304" s="2">
        <v>45705</v>
      </c>
      <c r="H2304" s="2">
        <v>45713</v>
      </c>
      <c r="I2304" t="s">
        <v>5758</v>
      </c>
      <c r="J2304" t="s">
        <v>5770</v>
      </c>
      <c r="K2304">
        <v>341717.88</v>
      </c>
      <c r="L2304" t="s">
        <v>5773</v>
      </c>
      <c r="M2304">
        <v>8</v>
      </c>
    </row>
    <row r="2305" spans="1:13" x14ac:dyDescent="0.25">
      <c r="A2305">
        <v>2304</v>
      </c>
      <c r="B2305" t="s">
        <v>2316</v>
      </c>
      <c r="C2305">
        <v>47</v>
      </c>
      <c r="D2305" t="s">
        <v>2947</v>
      </c>
      <c r="E2305" t="s">
        <v>2952</v>
      </c>
      <c r="F2305" t="s">
        <v>831</v>
      </c>
      <c r="G2305" s="2">
        <v>45810</v>
      </c>
      <c r="H2305" s="2">
        <v>45813</v>
      </c>
      <c r="I2305" t="s">
        <v>5767</v>
      </c>
      <c r="J2305" t="s">
        <v>5772</v>
      </c>
      <c r="K2305">
        <v>103944.04</v>
      </c>
      <c r="L2305" t="s">
        <v>5773</v>
      </c>
      <c r="M2305">
        <v>3</v>
      </c>
    </row>
    <row r="2306" spans="1:13" x14ac:dyDescent="0.25">
      <c r="A2306">
        <v>2305</v>
      </c>
      <c r="B2306" t="s">
        <v>2317</v>
      </c>
      <c r="C2306">
        <v>34</v>
      </c>
      <c r="D2306" t="s">
        <v>2947</v>
      </c>
      <c r="E2306" t="s">
        <v>2953</v>
      </c>
      <c r="F2306" t="s">
        <v>5122</v>
      </c>
      <c r="G2306" s="2">
        <v>45906</v>
      </c>
      <c r="H2306" s="2">
        <v>45916</v>
      </c>
      <c r="I2306" t="s">
        <v>5762</v>
      </c>
      <c r="J2306" t="s">
        <v>5769</v>
      </c>
      <c r="K2306">
        <v>190664.33</v>
      </c>
      <c r="L2306" t="s">
        <v>5773</v>
      </c>
      <c r="M2306">
        <v>10</v>
      </c>
    </row>
    <row r="2307" spans="1:13" x14ac:dyDescent="0.25">
      <c r="A2307">
        <v>2306</v>
      </c>
      <c r="B2307" t="s">
        <v>2318</v>
      </c>
      <c r="C2307">
        <v>44</v>
      </c>
      <c r="D2307" t="s">
        <v>2947</v>
      </c>
      <c r="E2307" t="s">
        <v>2953</v>
      </c>
      <c r="F2307" t="s">
        <v>5123</v>
      </c>
      <c r="G2307" s="2">
        <v>45739</v>
      </c>
      <c r="H2307" s="2">
        <v>45747</v>
      </c>
      <c r="I2307" t="s">
        <v>5762</v>
      </c>
      <c r="J2307" t="s">
        <v>5768</v>
      </c>
      <c r="K2307">
        <v>304876.15000000002</v>
      </c>
      <c r="L2307" t="s">
        <v>5774</v>
      </c>
      <c r="M2307">
        <v>8</v>
      </c>
    </row>
    <row r="2308" spans="1:13" x14ac:dyDescent="0.25">
      <c r="A2308">
        <v>2307</v>
      </c>
      <c r="B2308" t="s">
        <v>2319</v>
      </c>
      <c r="C2308">
        <v>29</v>
      </c>
      <c r="D2308" t="s">
        <v>2948</v>
      </c>
      <c r="E2308" t="s">
        <v>2953</v>
      </c>
      <c r="F2308" t="s">
        <v>5124</v>
      </c>
      <c r="G2308" s="2">
        <v>45748</v>
      </c>
      <c r="H2308" s="2">
        <v>45751</v>
      </c>
      <c r="I2308" t="s">
        <v>5760</v>
      </c>
      <c r="J2308" t="s">
        <v>5771</v>
      </c>
      <c r="K2308">
        <v>220095.12</v>
      </c>
      <c r="L2308" t="s">
        <v>5774</v>
      </c>
      <c r="M2308">
        <v>3</v>
      </c>
    </row>
    <row r="2309" spans="1:13" x14ac:dyDescent="0.25">
      <c r="A2309">
        <v>2308</v>
      </c>
      <c r="B2309" t="s">
        <v>2320</v>
      </c>
      <c r="C2309">
        <v>39</v>
      </c>
      <c r="D2309" t="s">
        <v>2948</v>
      </c>
      <c r="E2309" t="s">
        <v>2954</v>
      </c>
      <c r="F2309" t="s">
        <v>5125</v>
      </c>
      <c r="G2309" s="2">
        <v>45801</v>
      </c>
      <c r="H2309" s="2">
        <v>45809</v>
      </c>
      <c r="I2309" t="s">
        <v>5765</v>
      </c>
      <c r="J2309" t="s">
        <v>5769</v>
      </c>
      <c r="K2309">
        <v>14054.71</v>
      </c>
      <c r="L2309" t="s">
        <v>5774</v>
      </c>
      <c r="M2309">
        <v>8</v>
      </c>
    </row>
    <row r="2310" spans="1:13" x14ac:dyDescent="0.25">
      <c r="A2310">
        <v>2309</v>
      </c>
      <c r="B2310" t="s">
        <v>2321</v>
      </c>
      <c r="C2310">
        <v>69</v>
      </c>
      <c r="D2310" t="s">
        <v>2948</v>
      </c>
      <c r="E2310" t="s">
        <v>2955</v>
      </c>
      <c r="F2310" t="s">
        <v>5126</v>
      </c>
      <c r="G2310" s="2">
        <v>45848</v>
      </c>
      <c r="H2310" s="2">
        <v>45855</v>
      </c>
      <c r="I2310" t="s">
        <v>5760</v>
      </c>
      <c r="J2310" t="s">
        <v>5769</v>
      </c>
      <c r="K2310">
        <v>366273.51</v>
      </c>
      <c r="L2310" t="s">
        <v>5773</v>
      </c>
      <c r="M2310">
        <v>7</v>
      </c>
    </row>
    <row r="2311" spans="1:13" x14ac:dyDescent="0.25">
      <c r="A2311">
        <v>2310</v>
      </c>
      <c r="B2311" t="s">
        <v>2322</v>
      </c>
      <c r="C2311">
        <v>7</v>
      </c>
      <c r="D2311" t="s">
        <v>2948</v>
      </c>
      <c r="E2311" t="s">
        <v>2950</v>
      </c>
      <c r="F2311" t="s">
        <v>5127</v>
      </c>
      <c r="G2311" s="2">
        <v>45834</v>
      </c>
      <c r="H2311" s="2">
        <v>45839</v>
      </c>
      <c r="I2311" t="s">
        <v>5767</v>
      </c>
      <c r="J2311" t="s">
        <v>2949</v>
      </c>
      <c r="K2311">
        <v>115805.41</v>
      </c>
      <c r="L2311" t="s">
        <v>5775</v>
      </c>
      <c r="M2311">
        <v>5</v>
      </c>
    </row>
    <row r="2312" spans="1:13" x14ac:dyDescent="0.25">
      <c r="A2312">
        <v>2311</v>
      </c>
      <c r="B2312" t="s">
        <v>2323</v>
      </c>
      <c r="C2312">
        <v>42</v>
      </c>
      <c r="D2312" t="s">
        <v>2947</v>
      </c>
      <c r="E2312" t="s">
        <v>2952</v>
      </c>
      <c r="F2312" t="s">
        <v>5128</v>
      </c>
      <c r="G2312" s="2">
        <v>45606</v>
      </c>
      <c r="H2312" s="2">
        <v>45608</v>
      </c>
      <c r="I2312" t="s">
        <v>5759</v>
      </c>
      <c r="J2312" t="s">
        <v>2949</v>
      </c>
      <c r="K2312">
        <v>350230.4</v>
      </c>
      <c r="L2312" t="s">
        <v>5774</v>
      </c>
      <c r="M2312">
        <v>2</v>
      </c>
    </row>
    <row r="2313" spans="1:13" x14ac:dyDescent="0.25">
      <c r="A2313">
        <v>2312</v>
      </c>
      <c r="B2313" t="s">
        <v>2324</v>
      </c>
      <c r="C2313">
        <v>29</v>
      </c>
      <c r="D2313" t="s">
        <v>2947</v>
      </c>
      <c r="E2313" t="s">
        <v>2949</v>
      </c>
      <c r="F2313" t="s">
        <v>5129</v>
      </c>
      <c r="G2313" s="2">
        <v>45892</v>
      </c>
      <c r="H2313" s="2">
        <v>45904</v>
      </c>
      <c r="I2313" t="s">
        <v>5764</v>
      </c>
      <c r="J2313" t="s">
        <v>5770</v>
      </c>
      <c r="K2313">
        <v>481166.23</v>
      </c>
      <c r="L2313" t="s">
        <v>5774</v>
      </c>
      <c r="M2313">
        <v>12</v>
      </c>
    </row>
    <row r="2314" spans="1:13" x14ac:dyDescent="0.25">
      <c r="A2314">
        <v>2313</v>
      </c>
      <c r="B2314" t="s">
        <v>2325</v>
      </c>
      <c r="C2314">
        <v>60</v>
      </c>
      <c r="D2314" t="s">
        <v>2947</v>
      </c>
      <c r="E2314" t="s">
        <v>2949</v>
      </c>
      <c r="F2314" t="s">
        <v>5130</v>
      </c>
      <c r="G2314" s="2">
        <v>45555</v>
      </c>
      <c r="H2314" s="2">
        <v>45566</v>
      </c>
      <c r="I2314" t="s">
        <v>5763</v>
      </c>
      <c r="J2314" t="s">
        <v>5772</v>
      </c>
      <c r="K2314">
        <v>400114.95</v>
      </c>
      <c r="L2314" t="s">
        <v>5773</v>
      </c>
      <c r="M2314">
        <v>11</v>
      </c>
    </row>
    <row r="2315" spans="1:13" x14ac:dyDescent="0.25">
      <c r="A2315">
        <v>2314</v>
      </c>
      <c r="B2315" t="s">
        <v>2326</v>
      </c>
      <c r="C2315">
        <v>3</v>
      </c>
      <c r="D2315" t="s">
        <v>2947</v>
      </c>
      <c r="E2315" t="s">
        <v>2950</v>
      </c>
      <c r="F2315" t="s">
        <v>4596</v>
      </c>
      <c r="G2315" s="2">
        <v>45727</v>
      </c>
      <c r="H2315" s="2">
        <v>45729</v>
      </c>
      <c r="I2315" t="s">
        <v>5758</v>
      </c>
      <c r="J2315" t="s">
        <v>5772</v>
      </c>
      <c r="K2315">
        <v>152863.53</v>
      </c>
      <c r="L2315" t="s">
        <v>5774</v>
      </c>
      <c r="M2315">
        <v>2</v>
      </c>
    </row>
    <row r="2316" spans="1:13" x14ac:dyDescent="0.25">
      <c r="A2316">
        <v>2315</v>
      </c>
      <c r="B2316" t="s">
        <v>2327</v>
      </c>
      <c r="C2316">
        <v>7</v>
      </c>
      <c r="D2316" t="s">
        <v>2948</v>
      </c>
      <c r="E2316" t="s">
        <v>2951</v>
      </c>
      <c r="F2316" t="s">
        <v>5131</v>
      </c>
      <c r="G2316" s="2">
        <v>45695</v>
      </c>
      <c r="H2316" s="2">
        <v>45704</v>
      </c>
      <c r="I2316" t="s">
        <v>5762</v>
      </c>
      <c r="J2316" t="s">
        <v>2949</v>
      </c>
      <c r="K2316">
        <v>193939.6</v>
      </c>
      <c r="L2316" t="s">
        <v>5775</v>
      </c>
      <c r="M2316">
        <v>9</v>
      </c>
    </row>
    <row r="2317" spans="1:13" x14ac:dyDescent="0.25">
      <c r="A2317">
        <v>2316</v>
      </c>
      <c r="B2317" t="s">
        <v>2328</v>
      </c>
      <c r="C2317">
        <v>14</v>
      </c>
      <c r="D2317" t="s">
        <v>2947</v>
      </c>
      <c r="E2317" t="s">
        <v>2954</v>
      </c>
      <c r="F2317" t="s">
        <v>5132</v>
      </c>
      <c r="G2317" s="2">
        <v>45824</v>
      </c>
      <c r="H2317" s="2">
        <v>45835</v>
      </c>
      <c r="I2317" t="s">
        <v>5762</v>
      </c>
      <c r="J2317" t="s">
        <v>5772</v>
      </c>
      <c r="K2317">
        <v>390359.9</v>
      </c>
      <c r="L2317" t="s">
        <v>5775</v>
      </c>
      <c r="M2317">
        <v>11</v>
      </c>
    </row>
    <row r="2318" spans="1:13" x14ac:dyDescent="0.25">
      <c r="A2318">
        <v>2317</v>
      </c>
      <c r="B2318" t="s">
        <v>2329</v>
      </c>
      <c r="C2318">
        <v>68</v>
      </c>
      <c r="D2318" t="s">
        <v>2948</v>
      </c>
      <c r="E2318" t="s">
        <v>2955</v>
      </c>
      <c r="F2318" t="s">
        <v>5133</v>
      </c>
      <c r="G2318" s="2">
        <v>45716</v>
      </c>
      <c r="H2318" s="2">
        <v>45727</v>
      </c>
      <c r="I2318" t="s">
        <v>5761</v>
      </c>
      <c r="J2318" t="s">
        <v>5772</v>
      </c>
      <c r="K2318">
        <v>35762.589999999997</v>
      </c>
      <c r="L2318" t="s">
        <v>5773</v>
      </c>
      <c r="M2318">
        <v>11</v>
      </c>
    </row>
    <row r="2319" spans="1:13" x14ac:dyDescent="0.25">
      <c r="A2319">
        <v>2318</v>
      </c>
      <c r="B2319" t="s">
        <v>2330</v>
      </c>
      <c r="C2319">
        <v>77</v>
      </c>
      <c r="D2319" t="s">
        <v>2947</v>
      </c>
      <c r="E2319" t="s">
        <v>2950</v>
      </c>
      <c r="F2319" t="s">
        <v>5134</v>
      </c>
      <c r="G2319" s="2">
        <v>45676</v>
      </c>
      <c r="H2319" s="2">
        <v>45682</v>
      </c>
      <c r="I2319" t="s">
        <v>5766</v>
      </c>
      <c r="J2319" t="s">
        <v>5769</v>
      </c>
      <c r="K2319">
        <v>64616.959999999999</v>
      </c>
      <c r="L2319" t="s">
        <v>5775</v>
      </c>
      <c r="M2319">
        <v>6</v>
      </c>
    </row>
    <row r="2320" spans="1:13" x14ac:dyDescent="0.25">
      <c r="A2320">
        <v>2319</v>
      </c>
      <c r="B2320" t="s">
        <v>2331</v>
      </c>
      <c r="C2320">
        <v>39</v>
      </c>
      <c r="D2320" t="s">
        <v>2948</v>
      </c>
      <c r="E2320" t="s">
        <v>2952</v>
      </c>
      <c r="F2320" t="s">
        <v>5135</v>
      </c>
      <c r="G2320" s="2">
        <v>45747</v>
      </c>
      <c r="H2320" s="2">
        <v>45758</v>
      </c>
      <c r="I2320" t="s">
        <v>5762</v>
      </c>
      <c r="J2320" t="s">
        <v>5769</v>
      </c>
      <c r="K2320">
        <v>127021.18</v>
      </c>
      <c r="L2320" t="s">
        <v>5774</v>
      </c>
      <c r="M2320">
        <v>11</v>
      </c>
    </row>
    <row r="2321" spans="1:13" x14ac:dyDescent="0.25">
      <c r="A2321">
        <v>2320</v>
      </c>
      <c r="B2321" t="s">
        <v>2332</v>
      </c>
      <c r="C2321">
        <v>50</v>
      </c>
      <c r="D2321" t="s">
        <v>2947</v>
      </c>
      <c r="E2321" t="s">
        <v>2955</v>
      </c>
      <c r="F2321" t="s">
        <v>2285</v>
      </c>
      <c r="G2321" s="2">
        <v>45858</v>
      </c>
      <c r="H2321" s="2">
        <v>45864</v>
      </c>
      <c r="I2321" t="s">
        <v>5760</v>
      </c>
      <c r="J2321" t="s">
        <v>5770</v>
      </c>
      <c r="K2321">
        <v>109329.4</v>
      </c>
      <c r="L2321" t="s">
        <v>5774</v>
      </c>
      <c r="M2321">
        <v>6</v>
      </c>
    </row>
    <row r="2322" spans="1:13" x14ac:dyDescent="0.25">
      <c r="A2322">
        <v>2321</v>
      </c>
      <c r="B2322" t="s">
        <v>2333</v>
      </c>
      <c r="C2322">
        <v>89</v>
      </c>
      <c r="D2322" t="s">
        <v>2948</v>
      </c>
      <c r="E2322" t="s">
        <v>2952</v>
      </c>
      <c r="F2322" t="s">
        <v>5136</v>
      </c>
      <c r="G2322" s="2">
        <v>45782</v>
      </c>
      <c r="H2322" s="2">
        <v>45794</v>
      </c>
      <c r="I2322" t="s">
        <v>5764</v>
      </c>
      <c r="J2322" t="s">
        <v>5772</v>
      </c>
      <c r="K2322">
        <v>168746.15</v>
      </c>
      <c r="L2322" t="s">
        <v>5773</v>
      </c>
      <c r="M2322">
        <v>12</v>
      </c>
    </row>
    <row r="2323" spans="1:13" x14ac:dyDescent="0.25">
      <c r="A2323">
        <v>2322</v>
      </c>
      <c r="B2323" t="s">
        <v>2334</v>
      </c>
      <c r="C2323">
        <v>44</v>
      </c>
      <c r="D2323" t="s">
        <v>2947</v>
      </c>
      <c r="E2323" t="s">
        <v>2955</v>
      </c>
      <c r="F2323" t="s">
        <v>5137</v>
      </c>
      <c r="G2323" s="2">
        <v>45663</v>
      </c>
      <c r="H2323" s="2">
        <v>45666</v>
      </c>
      <c r="I2323" t="s">
        <v>5764</v>
      </c>
      <c r="J2323" t="s">
        <v>5771</v>
      </c>
      <c r="K2323">
        <v>458952.8</v>
      </c>
      <c r="L2323" t="s">
        <v>5774</v>
      </c>
      <c r="M2323">
        <v>3</v>
      </c>
    </row>
    <row r="2324" spans="1:13" x14ac:dyDescent="0.25">
      <c r="A2324">
        <v>2323</v>
      </c>
      <c r="B2324" t="s">
        <v>2335</v>
      </c>
      <c r="C2324">
        <v>39</v>
      </c>
      <c r="D2324" t="s">
        <v>2947</v>
      </c>
      <c r="E2324" t="s">
        <v>2950</v>
      </c>
      <c r="F2324" t="s">
        <v>5138</v>
      </c>
      <c r="G2324" s="2">
        <v>45648</v>
      </c>
      <c r="H2324" s="2">
        <v>45654</v>
      </c>
      <c r="I2324" t="s">
        <v>5758</v>
      </c>
      <c r="J2324" t="s">
        <v>5772</v>
      </c>
      <c r="K2324">
        <v>253736.78</v>
      </c>
      <c r="L2324" t="s">
        <v>5773</v>
      </c>
      <c r="M2324">
        <v>6</v>
      </c>
    </row>
    <row r="2325" spans="1:13" x14ac:dyDescent="0.25">
      <c r="A2325">
        <v>2324</v>
      </c>
      <c r="B2325" t="s">
        <v>2336</v>
      </c>
      <c r="C2325">
        <v>52</v>
      </c>
      <c r="D2325" t="s">
        <v>2947</v>
      </c>
      <c r="E2325" t="s">
        <v>2954</v>
      </c>
      <c r="F2325" t="s">
        <v>5139</v>
      </c>
      <c r="G2325" s="2">
        <v>45617</v>
      </c>
      <c r="H2325" s="2">
        <v>45626</v>
      </c>
      <c r="I2325" t="s">
        <v>5761</v>
      </c>
      <c r="J2325" t="s">
        <v>5770</v>
      </c>
      <c r="K2325">
        <v>243704.88</v>
      </c>
      <c r="L2325" t="s">
        <v>5775</v>
      </c>
      <c r="M2325">
        <v>9</v>
      </c>
    </row>
    <row r="2326" spans="1:13" x14ac:dyDescent="0.25">
      <c r="A2326">
        <v>2325</v>
      </c>
      <c r="B2326" t="s">
        <v>2337</v>
      </c>
      <c r="C2326">
        <v>28</v>
      </c>
      <c r="D2326" t="s">
        <v>2947</v>
      </c>
      <c r="E2326" t="s">
        <v>2954</v>
      </c>
      <c r="F2326" t="s">
        <v>568</v>
      </c>
      <c r="G2326" s="2">
        <v>45795</v>
      </c>
      <c r="H2326" s="2">
        <v>45796</v>
      </c>
      <c r="I2326" t="s">
        <v>5758</v>
      </c>
      <c r="J2326" t="s">
        <v>5771</v>
      </c>
      <c r="K2326">
        <v>194490.17</v>
      </c>
      <c r="L2326" t="s">
        <v>5774</v>
      </c>
      <c r="M2326">
        <v>1</v>
      </c>
    </row>
    <row r="2327" spans="1:13" x14ac:dyDescent="0.25">
      <c r="A2327">
        <v>2326</v>
      </c>
      <c r="B2327" t="s">
        <v>2338</v>
      </c>
      <c r="C2327">
        <v>46</v>
      </c>
      <c r="D2327" t="s">
        <v>2948</v>
      </c>
      <c r="E2327" t="s">
        <v>2952</v>
      </c>
      <c r="F2327" t="s">
        <v>5140</v>
      </c>
      <c r="G2327" s="2">
        <v>45717</v>
      </c>
      <c r="H2327" s="2">
        <v>45719</v>
      </c>
      <c r="I2327" t="s">
        <v>5767</v>
      </c>
      <c r="J2327" t="s">
        <v>2949</v>
      </c>
      <c r="K2327">
        <v>14200.51</v>
      </c>
      <c r="L2327" t="s">
        <v>5773</v>
      </c>
      <c r="M2327">
        <v>2</v>
      </c>
    </row>
    <row r="2328" spans="1:13" x14ac:dyDescent="0.25">
      <c r="A2328">
        <v>2327</v>
      </c>
      <c r="B2328" t="s">
        <v>2339</v>
      </c>
      <c r="C2328">
        <v>70</v>
      </c>
      <c r="D2328" t="s">
        <v>2947</v>
      </c>
      <c r="E2328" t="s">
        <v>2953</v>
      </c>
      <c r="F2328" t="s">
        <v>5141</v>
      </c>
      <c r="G2328" s="2">
        <v>45597</v>
      </c>
      <c r="H2328" s="2">
        <v>45610</v>
      </c>
      <c r="I2328" t="s">
        <v>5764</v>
      </c>
      <c r="J2328" t="s">
        <v>5772</v>
      </c>
      <c r="K2328">
        <v>214903.24</v>
      </c>
      <c r="L2328" t="s">
        <v>5774</v>
      </c>
      <c r="M2328">
        <v>13</v>
      </c>
    </row>
    <row r="2329" spans="1:13" x14ac:dyDescent="0.25">
      <c r="A2329">
        <v>2328</v>
      </c>
      <c r="B2329" t="s">
        <v>2340</v>
      </c>
      <c r="C2329">
        <v>30</v>
      </c>
      <c r="D2329" t="s">
        <v>2948</v>
      </c>
      <c r="E2329" t="s">
        <v>2954</v>
      </c>
      <c r="F2329" t="s">
        <v>5142</v>
      </c>
      <c r="G2329" s="2">
        <v>45822</v>
      </c>
      <c r="H2329" s="2">
        <v>45835</v>
      </c>
      <c r="I2329" t="s">
        <v>5766</v>
      </c>
      <c r="J2329" t="s">
        <v>5770</v>
      </c>
      <c r="K2329">
        <v>330381.59000000003</v>
      </c>
      <c r="L2329" t="s">
        <v>5774</v>
      </c>
      <c r="M2329">
        <v>13</v>
      </c>
    </row>
    <row r="2330" spans="1:13" x14ac:dyDescent="0.25">
      <c r="A2330">
        <v>2329</v>
      </c>
      <c r="B2330" t="s">
        <v>2341</v>
      </c>
      <c r="C2330">
        <v>86</v>
      </c>
      <c r="D2330" t="s">
        <v>2948</v>
      </c>
      <c r="E2330" t="s">
        <v>2954</v>
      </c>
      <c r="F2330" t="s">
        <v>5143</v>
      </c>
      <c r="G2330" s="2">
        <v>45679</v>
      </c>
      <c r="H2330" s="2">
        <v>45681</v>
      </c>
      <c r="I2330" t="s">
        <v>5764</v>
      </c>
      <c r="J2330" t="s">
        <v>5772</v>
      </c>
      <c r="K2330">
        <v>171335.13</v>
      </c>
      <c r="L2330" t="s">
        <v>5773</v>
      </c>
      <c r="M2330">
        <v>2</v>
      </c>
    </row>
    <row r="2331" spans="1:13" x14ac:dyDescent="0.25">
      <c r="A2331">
        <v>2330</v>
      </c>
      <c r="B2331" t="s">
        <v>2342</v>
      </c>
      <c r="C2331">
        <v>79</v>
      </c>
      <c r="D2331" t="s">
        <v>2948</v>
      </c>
      <c r="E2331" t="s">
        <v>2955</v>
      </c>
      <c r="F2331" t="s">
        <v>5144</v>
      </c>
      <c r="G2331" s="2">
        <v>45756</v>
      </c>
      <c r="H2331" s="2">
        <v>45767</v>
      </c>
      <c r="I2331" t="s">
        <v>5763</v>
      </c>
      <c r="J2331" t="s">
        <v>5772</v>
      </c>
      <c r="K2331">
        <v>106433.54</v>
      </c>
      <c r="L2331" t="s">
        <v>5773</v>
      </c>
      <c r="M2331">
        <v>11</v>
      </c>
    </row>
    <row r="2332" spans="1:13" x14ac:dyDescent="0.25">
      <c r="A2332">
        <v>2331</v>
      </c>
      <c r="B2332" t="s">
        <v>2343</v>
      </c>
      <c r="C2332">
        <v>2</v>
      </c>
      <c r="D2332" t="s">
        <v>2947</v>
      </c>
      <c r="E2332" t="s">
        <v>2953</v>
      </c>
      <c r="F2332" t="s">
        <v>5145</v>
      </c>
      <c r="G2332" s="2">
        <v>45832</v>
      </c>
      <c r="H2332" s="2">
        <v>45843</v>
      </c>
      <c r="I2332" t="s">
        <v>5762</v>
      </c>
      <c r="J2332" t="s">
        <v>5769</v>
      </c>
      <c r="K2332">
        <v>41136.44</v>
      </c>
      <c r="L2332" t="s">
        <v>5775</v>
      </c>
      <c r="M2332">
        <v>11</v>
      </c>
    </row>
    <row r="2333" spans="1:13" x14ac:dyDescent="0.25">
      <c r="A2333">
        <v>2332</v>
      </c>
      <c r="B2333" t="s">
        <v>2344</v>
      </c>
      <c r="C2333">
        <v>65</v>
      </c>
      <c r="D2333" t="s">
        <v>2947</v>
      </c>
      <c r="E2333" t="s">
        <v>2951</v>
      </c>
      <c r="F2333" t="s">
        <v>5146</v>
      </c>
      <c r="G2333" s="2">
        <v>45707</v>
      </c>
      <c r="H2333" s="2">
        <v>45718</v>
      </c>
      <c r="I2333" t="s">
        <v>5766</v>
      </c>
      <c r="J2333" t="s">
        <v>5770</v>
      </c>
      <c r="K2333">
        <v>370541</v>
      </c>
      <c r="L2333" t="s">
        <v>5773</v>
      </c>
      <c r="M2333">
        <v>11</v>
      </c>
    </row>
    <row r="2334" spans="1:13" x14ac:dyDescent="0.25">
      <c r="A2334">
        <v>2333</v>
      </c>
      <c r="B2334" t="s">
        <v>2345</v>
      </c>
      <c r="C2334">
        <v>68</v>
      </c>
      <c r="D2334" t="s">
        <v>2947</v>
      </c>
      <c r="E2334" t="s">
        <v>2953</v>
      </c>
      <c r="F2334" t="s">
        <v>5147</v>
      </c>
      <c r="G2334" s="2">
        <v>45881</v>
      </c>
      <c r="H2334" s="2">
        <v>45885</v>
      </c>
      <c r="I2334" t="s">
        <v>5767</v>
      </c>
      <c r="J2334" t="s">
        <v>5772</v>
      </c>
      <c r="K2334">
        <v>414294.69</v>
      </c>
      <c r="L2334" t="s">
        <v>5774</v>
      </c>
      <c r="M2334">
        <v>4</v>
      </c>
    </row>
    <row r="2335" spans="1:13" x14ac:dyDescent="0.25">
      <c r="A2335">
        <v>2334</v>
      </c>
      <c r="B2335" t="s">
        <v>2346</v>
      </c>
      <c r="C2335">
        <v>36</v>
      </c>
      <c r="D2335" t="s">
        <v>2947</v>
      </c>
      <c r="E2335" t="s">
        <v>2950</v>
      </c>
      <c r="F2335" t="s">
        <v>5148</v>
      </c>
      <c r="G2335" s="2">
        <v>45884</v>
      </c>
      <c r="H2335" s="2">
        <v>45896</v>
      </c>
      <c r="I2335" t="s">
        <v>5761</v>
      </c>
      <c r="J2335" t="s">
        <v>5772</v>
      </c>
      <c r="K2335">
        <v>185491.05</v>
      </c>
      <c r="L2335" t="s">
        <v>5774</v>
      </c>
      <c r="M2335">
        <v>12</v>
      </c>
    </row>
    <row r="2336" spans="1:13" x14ac:dyDescent="0.25">
      <c r="A2336">
        <v>2335</v>
      </c>
      <c r="B2336" t="s">
        <v>2347</v>
      </c>
      <c r="C2336">
        <v>16</v>
      </c>
      <c r="D2336" t="s">
        <v>2947</v>
      </c>
      <c r="E2336" t="s">
        <v>2950</v>
      </c>
      <c r="F2336" t="s">
        <v>4971</v>
      </c>
      <c r="G2336" s="2">
        <v>45706</v>
      </c>
      <c r="H2336" s="2">
        <v>45718</v>
      </c>
      <c r="I2336" t="s">
        <v>5763</v>
      </c>
      <c r="J2336" t="s">
        <v>5770</v>
      </c>
      <c r="K2336">
        <v>216470.65</v>
      </c>
      <c r="L2336" t="s">
        <v>5774</v>
      </c>
      <c r="M2336">
        <v>12</v>
      </c>
    </row>
    <row r="2337" spans="1:13" x14ac:dyDescent="0.25">
      <c r="A2337">
        <v>2336</v>
      </c>
      <c r="B2337" t="s">
        <v>2348</v>
      </c>
      <c r="C2337">
        <v>43</v>
      </c>
      <c r="D2337" t="s">
        <v>2948</v>
      </c>
      <c r="E2337" t="s">
        <v>2949</v>
      </c>
      <c r="F2337" t="s">
        <v>5149</v>
      </c>
      <c r="G2337" s="2">
        <v>45857</v>
      </c>
      <c r="H2337" s="2">
        <v>45870</v>
      </c>
      <c r="I2337" t="s">
        <v>5762</v>
      </c>
      <c r="J2337" t="s">
        <v>5770</v>
      </c>
      <c r="K2337">
        <v>375990.43</v>
      </c>
      <c r="L2337" t="s">
        <v>5775</v>
      </c>
      <c r="M2337">
        <v>13</v>
      </c>
    </row>
    <row r="2338" spans="1:13" x14ac:dyDescent="0.25">
      <c r="A2338">
        <v>2337</v>
      </c>
      <c r="B2338" t="s">
        <v>2349</v>
      </c>
      <c r="C2338">
        <v>72</v>
      </c>
      <c r="D2338" t="s">
        <v>2948</v>
      </c>
      <c r="E2338" t="s">
        <v>2955</v>
      </c>
      <c r="F2338" t="s">
        <v>5150</v>
      </c>
      <c r="G2338" s="2">
        <v>45642</v>
      </c>
      <c r="H2338" s="2">
        <v>45647</v>
      </c>
      <c r="I2338" t="s">
        <v>5767</v>
      </c>
      <c r="J2338" t="s">
        <v>5769</v>
      </c>
      <c r="K2338">
        <v>104088.49</v>
      </c>
      <c r="L2338" t="s">
        <v>5775</v>
      </c>
      <c r="M2338">
        <v>5</v>
      </c>
    </row>
    <row r="2339" spans="1:13" x14ac:dyDescent="0.25">
      <c r="A2339">
        <v>2338</v>
      </c>
      <c r="B2339" t="s">
        <v>2350</v>
      </c>
      <c r="C2339">
        <v>88</v>
      </c>
      <c r="D2339" t="s">
        <v>2948</v>
      </c>
      <c r="E2339" t="s">
        <v>2951</v>
      </c>
      <c r="F2339" t="s">
        <v>5151</v>
      </c>
      <c r="G2339" s="2">
        <v>45713</v>
      </c>
      <c r="H2339" s="2">
        <v>45721</v>
      </c>
      <c r="I2339" t="s">
        <v>5765</v>
      </c>
      <c r="J2339" t="s">
        <v>5772</v>
      </c>
      <c r="K2339">
        <v>85035.28</v>
      </c>
      <c r="L2339" t="s">
        <v>5775</v>
      </c>
      <c r="M2339">
        <v>8</v>
      </c>
    </row>
    <row r="2340" spans="1:13" x14ac:dyDescent="0.25">
      <c r="A2340">
        <v>2339</v>
      </c>
      <c r="B2340" t="s">
        <v>2351</v>
      </c>
      <c r="C2340">
        <v>49</v>
      </c>
      <c r="D2340" t="s">
        <v>2947</v>
      </c>
      <c r="E2340" t="s">
        <v>2949</v>
      </c>
      <c r="F2340" t="s">
        <v>5152</v>
      </c>
      <c r="G2340" s="2">
        <v>45691</v>
      </c>
      <c r="H2340" s="2">
        <v>45702</v>
      </c>
      <c r="I2340" t="s">
        <v>5767</v>
      </c>
      <c r="J2340" t="s">
        <v>2949</v>
      </c>
      <c r="K2340">
        <v>431209.46</v>
      </c>
      <c r="L2340" t="s">
        <v>5774</v>
      </c>
      <c r="M2340">
        <v>11</v>
      </c>
    </row>
    <row r="2341" spans="1:13" x14ac:dyDescent="0.25">
      <c r="A2341">
        <v>2340</v>
      </c>
      <c r="B2341" t="s">
        <v>2352</v>
      </c>
      <c r="C2341">
        <v>80</v>
      </c>
      <c r="D2341" t="s">
        <v>2947</v>
      </c>
      <c r="E2341" t="s">
        <v>2950</v>
      </c>
      <c r="F2341" t="s">
        <v>5153</v>
      </c>
      <c r="G2341" s="2">
        <v>45650</v>
      </c>
      <c r="H2341" s="2">
        <v>45661</v>
      </c>
      <c r="I2341" t="s">
        <v>5762</v>
      </c>
      <c r="J2341" t="s">
        <v>5771</v>
      </c>
      <c r="K2341">
        <v>297755.42</v>
      </c>
      <c r="L2341" t="s">
        <v>5775</v>
      </c>
      <c r="M2341">
        <v>11</v>
      </c>
    </row>
    <row r="2342" spans="1:13" x14ac:dyDescent="0.25">
      <c r="A2342">
        <v>2341</v>
      </c>
      <c r="B2342" t="s">
        <v>2353</v>
      </c>
      <c r="C2342">
        <v>15</v>
      </c>
      <c r="D2342" t="s">
        <v>2948</v>
      </c>
      <c r="E2342" t="s">
        <v>2954</v>
      </c>
      <c r="F2342" t="s">
        <v>5154</v>
      </c>
      <c r="G2342" s="2">
        <v>45806</v>
      </c>
      <c r="H2342" s="2">
        <v>45808</v>
      </c>
      <c r="I2342" t="s">
        <v>5760</v>
      </c>
      <c r="J2342" t="s">
        <v>5772</v>
      </c>
      <c r="K2342">
        <v>138635.28</v>
      </c>
      <c r="L2342" t="s">
        <v>5774</v>
      </c>
      <c r="M2342">
        <v>2</v>
      </c>
    </row>
    <row r="2343" spans="1:13" x14ac:dyDescent="0.25">
      <c r="A2343">
        <v>2342</v>
      </c>
      <c r="B2343" t="s">
        <v>2354</v>
      </c>
      <c r="C2343">
        <v>65</v>
      </c>
      <c r="D2343" t="s">
        <v>2947</v>
      </c>
      <c r="E2343" t="s">
        <v>2954</v>
      </c>
      <c r="F2343" t="s">
        <v>5155</v>
      </c>
      <c r="G2343" s="2">
        <v>45908</v>
      </c>
      <c r="H2343" s="2">
        <v>45912</v>
      </c>
      <c r="I2343" t="s">
        <v>5760</v>
      </c>
      <c r="J2343" t="s">
        <v>5770</v>
      </c>
      <c r="K2343">
        <v>272767.45</v>
      </c>
      <c r="L2343" t="s">
        <v>5773</v>
      </c>
      <c r="M2343">
        <v>4</v>
      </c>
    </row>
    <row r="2344" spans="1:13" x14ac:dyDescent="0.25">
      <c r="A2344">
        <v>2343</v>
      </c>
      <c r="B2344" t="s">
        <v>2355</v>
      </c>
      <c r="C2344">
        <v>18</v>
      </c>
      <c r="D2344" t="s">
        <v>2948</v>
      </c>
      <c r="E2344" t="s">
        <v>2953</v>
      </c>
      <c r="F2344" t="s">
        <v>5156</v>
      </c>
      <c r="G2344" s="2">
        <v>45638</v>
      </c>
      <c r="H2344" s="2">
        <v>45650</v>
      </c>
      <c r="I2344" t="s">
        <v>5759</v>
      </c>
      <c r="J2344" t="s">
        <v>2949</v>
      </c>
      <c r="K2344">
        <v>347174.94</v>
      </c>
      <c r="L2344" t="s">
        <v>5775</v>
      </c>
      <c r="M2344">
        <v>12</v>
      </c>
    </row>
    <row r="2345" spans="1:13" x14ac:dyDescent="0.25">
      <c r="A2345">
        <v>2344</v>
      </c>
      <c r="B2345" t="s">
        <v>2356</v>
      </c>
      <c r="C2345">
        <v>55</v>
      </c>
      <c r="D2345" t="s">
        <v>2948</v>
      </c>
      <c r="E2345" t="s">
        <v>2953</v>
      </c>
      <c r="F2345" t="s">
        <v>5157</v>
      </c>
      <c r="G2345" s="2">
        <v>45774</v>
      </c>
      <c r="H2345" s="2">
        <v>45782</v>
      </c>
      <c r="I2345" t="s">
        <v>5762</v>
      </c>
      <c r="J2345" t="s">
        <v>5768</v>
      </c>
      <c r="K2345">
        <v>110487.23</v>
      </c>
      <c r="L2345" t="s">
        <v>5774</v>
      </c>
      <c r="M2345">
        <v>8</v>
      </c>
    </row>
    <row r="2346" spans="1:13" x14ac:dyDescent="0.25">
      <c r="A2346">
        <v>2345</v>
      </c>
      <c r="B2346" t="s">
        <v>2357</v>
      </c>
      <c r="C2346">
        <v>45</v>
      </c>
      <c r="D2346" t="s">
        <v>2948</v>
      </c>
      <c r="E2346" t="s">
        <v>2954</v>
      </c>
      <c r="F2346" t="s">
        <v>5158</v>
      </c>
      <c r="G2346" s="2">
        <v>45563</v>
      </c>
      <c r="H2346" s="2">
        <v>45566</v>
      </c>
      <c r="I2346" t="s">
        <v>5766</v>
      </c>
      <c r="J2346" t="s">
        <v>5772</v>
      </c>
      <c r="K2346">
        <v>92345.19</v>
      </c>
      <c r="L2346" t="s">
        <v>5773</v>
      </c>
      <c r="M2346">
        <v>3</v>
      </c>
    </row>
    <row r="2347" spans="1:13" x14ac:dyDescent="0.25">
      <c r="A2347">
        <v>2346</v>
      </c>
      <c r="B2347" t="s">
        <v>2358</v>
      </c>
      <c r="C2347">
        <v>57</v>
      </c>
      <c r="D2347" t="s">
        <v>2948</v>
      </c>
      <c r="E2347" t="s">
        <v>2949</v>
      </c>
      <c r="F2347" t="s">
        <v>5159</v>
      </c>
      <c r="G2347" s="2">
        <v>45695</v>
      </c>
      <c r="H2347" s="2">
        <v>45703</v>
      </c>
      <c r="I2347" t="s">
        <v>5760</v>
      </c>
      <c r="J2347" t="s">
        <v>5769</v>
      </c>
      <c r="K2347">
        <v>9707.0499999999993</v>
      </c>
      <c r="L2347" t="s">
        <v>5775</v>
      </c>
      <c r="M2347">
        <v>8</v>
      </c>
    </row>
    <row r="2348" spans="1:13" x14ac:dyDescent="0.25">
      <c r="A2348">
        <v>2347</v>
      </c>
      <c r="B2348" t="s">
        <v>2359</v>
      </c>
      <c r="C2348">
        <v>63</v>
      </c>
      <c r="D2348" t="s">
        <v>2948</v>
      </c>
      <c r="E2348" t="s">
        <v>2953</v>
      </c>
      <c r="F2348" t="s">
        <v>5160</v>
      </c>
      <c r="G2348" s="2">
        <v>45569</v>
      </c>
      <c r="H2348" s="2">
        <v>45571</v>
      </c>
      <c r="I2348" t="s">
        <v>5758</v>
      </c>
      <c r="J2348" t="s">
        <v>5768</v>
      </c>
      <c r="K2348">
        <v>333666.65000000002</v>
      </c>
      <c r="L2348" t="s">
        <v>5775</v>
      </c>
      <c r="M2348">
        <v>2</v>
      </c>
    </row>
    <row r="2349" spans="1:13" x14ac:dyDescent="0.25">
      <c r="A2349">
        <v>2348</v>
      </c>
      <c r="B2349" t="s">
        <v>2360</v>
      </c>
      <c r="C2349">
        <v>86</v>
      </c>
      <c r="D2349" t="s">
        <v>2947</v>
      </c>
      <c r="E2349" t="s">
        <v>2953</v>
      </c>
      <c r="F2349" t="s">
        <v>5161</v>
      </c>
      <c r="G2349" s="2">
        <v>45839</v>
      </c>
      <c r="H2349" s="2">
        <v>45854</v>
      </c>
      <c r="I2349" t="s">
        <v>5766</v>
      </c>
      <c r="J2349" t="s">
        <v>5770</v>
      </c>
      <c r="K2349">
        <v>414842.96</v>
      </c>
      <c r="L2349" t="s">
        <v>5774</v>
      </c>
      <c r="M2349">
        <v>15</v>
      </c>
    </row>
    <row r="2350" spans="1:13" x14ac:dyDescent="0.25">
      <c r="A2350">
        <v>2349</v>
      </c>
      <c r="B2350" t="s">
        <v>2361</v>
      </c>
      <c r="C2350">
        <v>46</v>
      </c>
      <c r="D2350" t="s">
        <v>2947</v>
      </c>
      <c r="E2350" t="s">
        <v>2951</v>
      </c>
      <c r="F2350" t="s">
        <v>442</v>
      </c>
      <c r="G2350" s="2">
        <v>45704</v>
      </c>
      <c r="H2350" s="2">
        <v>45719</v>
      </c>
      <c r="I2350" t="s">
        <v>5765</v>
      </c>
      <c r="J2350" t="s">
        <v>5768</v>
      </c>
      <c r="K2350">
        <v>200848.86</v>
      </c>
      <c r="L2350" t="s">
        <v>5774</v>
      </c>
      <c r="M2350">
        <v>15</v>
      </c>
    </row>
    <row r="2351" spans="1:13" x14ac:dyDescent="0.25">
      <c r="A2351">
        <v>2350</v>
      </c>
      <c r="B2351" t="s">
        <v>2362</v>
      </c>
      <c r="C2351">
        <v>22</v>
      </c>
      <c r="D2351" t="s">
        <v>2947</v>
      </c>
      <c r="E2351" t="s">
        <v>2955</v>
      </c>
      <c r="F2351" t="s">
        <v>5162</v>
      </c>
      <c r="G2351" s="2">
        <v>45787</v>
      </c>
      <c r="H2351" s="2">
        <v>45800</v>
      </c>
      <c r="I2351" t="s">
        <v>5767</v>
      </c>
      <c r="J2351" t="s">
        <v>5769</v>
      </c>
      <c r="K2351">
        <v>38787.31</v>
      </c>
      <c r="L2351" t="s">
        <v>5773</v>
      </c>
      <c r="M2351">
        <v>13</v>
      </c>
    </row>
    <row r="2352" spans="1:13" x14ac:dyDescent="0.25">
      <c r="A2352">
        <v>2351</v>
      </c>
      <c r="B2352" t="s">
        <v>2363</v>
      </c>
      <c r="C2352">
        <v>3</v>
      </c>
      <c r="D2352" t="s">
        <v>2948</v>
      </c>
      <c r="E2352" t="s">
        <v>2949</v>
      </c>
      <c r="F2352" t="s">
        <v>5163</v>
      </c>
      <c r="G2352" s="2">
        <v>45773</v>
      </c>
      <c r="H2352" s="2">
        <v>45775</v>
      </c>
      <c r="I2352" t="s">
        <v>5766</v>
      </c>
      <c r="J2352" t="s">
        <v>2949</v>
      </c>
      <c r="K2352">
        <v>29025.57</v>
      </c>
      <c r="L2352" t="s">
        <v>5775</v>
      </c>
      <c r="M2352">
        <v>2</v>
      </c>
    </row>
    <row r="2353" spans="1:13" x14ac:dyDescent="0.25">
      <c r="A2353">
        <v>2352</v>
      </c>
      <c r="B2353" t="s">
        <v>2364</v>
      </c>
      <c r="C2353">
        <v>51</v>
      </c>
      <c r="D2353" t="s">
        <v>2948</v>
      </c>
      <c r="E2353" t="s">
        <v>2952</v>
      </c>
      <c r="F2353" t="s">
        <v>5164</v>
      </c>
      <c r="G2353" s="2">
        <v>45805</v>
      </c>
      <c r="H2353" s="2">
        <v>45807</v>
      </c>
      <c r="I2353" t="s">
        <v>5764</v>
      </c>
      <c r="J2353" t="s">
        <v>2949</v>
      </c>
      <c r="K2353">
        <v>293020.34999999998</v>
      </c>
      <c r="L2353" t="s">
        <v>5773</v>
      </c>
      <c r="M2353">
        <v>2</v>
      </c>
    </row>
    <row r="2354" spans="1:13" x14ac:dyDescent="0.25">
      <c r="A2354">
        <v>2353</v>
      </c>
      <c r="B2354" t="s">
        <v>2365</v>
      </c>
      <c r="C2354">
        <v>56</v>
      </c>
      <c r="D2354" t="s">
        <v>2948</v>
      </c>
      <c r="E2354" t="s">
        <v>2953</v>
      </c>
      <c r="F2354" t="s">
        <v>5165</v>
      </c>
      <c r="G2354" s="2">
        <v>45596</v>
      </c>
      <c r="H2354" s="2">
        <v>45599</v>
      </c>
      <c r="I2354" t="s">
        <v>5766</v>
      </c>
      <c r="J2354" t="s">
        <v>2949</v>
      </c>
      <c r="K2354">
        <v>408373.13</v>
      </c>
      <c r="L2354" t="s">
        <v>5773</v>
      </c>
      <c r="M2354">
        <v>3</v>
      </c>
    </row>
    <row r="2355" spans="1:13" x14ac:dyDescent="0.25">
      <c r="A2355">
        <v>2354</v>
      </c>
      <c r="B2355" t="s">
        <v>2366</v>
      </c>
      <c r="C2355">
        <v>85</v>
      </c>
      <c r="D2355" t="s">
        <v>2947</v>
      </c>
      <c r="E2355" t="s">
        <v>2952</v>
      </c>
      <c r="F2355" t="s">
        <v>5166</v>
      </c>
      <c r="G2355" s="2">
        <v>45791</v>
      </c>
      <c r="H2355" s="2">
        <v>45804</v>
      </c>
      <c r="I2355" t="s">
        <v>5763</v>
      </c>
      <c r="J2355" t="s">
        <v>5771</v>
      </c>
      <c r="K2355">
        <v>461439.84</v>
      </c>
      <c r="L2355" t="s">
        <v>5774</v>
      </c>
      <c r="M2355">
        <v>13</v>
      </c>
    </row>
    <row r="2356" spans="1:13" x14ac:dyDescent="0.25">
      <c r="A2356">
        <v>2355</v>
      </c>
      <c r="B2356" t="s">
        <v>2367</v>
      </c>
      <c r="C2356">
        <v>8</v>
      </c>
      <c r="D2356" t="s">
        <v>2948</v>
      </c>
      <c r="E2356" t="s">
        <v>2955</v>
      </c>
      <c r="F2356" t="s">
        <v>5167</v>
      </c>
      <c r="G2356" s="2">
        <v>45628</v>
      </c>
      <c r="H2356" s="2">
        <v>45640</v>
      </c>
      <c r="I2356" t="s">
        <v>5759</v>
      </c>
      <c r="J2356" t="s">
        <v>5770</v>
      </c>
      <c r="K2356">
        <v>372527.77</v>
      </c>
      <c r="L2356" t="s">
        <v>5774</v>
      </c>
      <c r="M2356">
        <v>12</v>
      </c>
    </row>
    <row r="2357" spans="1:13" x14ac:dyDescent="0.25">
      <c r="A2357">
        <v>2356</v>
      </c>
      <c r="B2357" t="s">
        <v>2368</v>
      </c>
      <c r="C2357">
        <v>90</v>
      </c>
      <c r="D2357" t="s">
        <v>2947</v>
      </c>
      <c r="E2357" t="s">
        <v>2954</v>
      </c>
      <c r="F2357" t="s">
        <v>5168</v>
      </c>
      <c r="G2357" s="2">
        <v>45801</v>
      </c>
      <c r="H2357" s="2">
        <v>45807</v>
      </c>
      <c r="I2357" t="s">
        <v>5759</v>
      </c>
      <c r="J2357" t="s">
        <v>5770</v>
      </c>
      <c r="K2357">
        <v>185500.39</v>
      </c>
      <c r="L2357" t="s">
        <v>5775</v>
      </c>
      <c r="M2357">
        <v>6</v>
      </c>
    </row>
    <row r="2358" spans="1:13" x14ac:dyDescent="0.25">
      <c r="A2358">
        <v>2357</v>
      </c>
      <c r="B2358" t="s">
        <v>2369</v>
      </c>
      <c r="C2358">
        <v>43</v>
      </c>
      <c r="D2358" t="s">
        <v>2947</v>
      </c>
      <c r="E2358" t="s">
        <v>2954</v>
      </c>
      <c r="F2358" t="s">
        <v>5169</v>
      </c>
      <c r="G2358" s="2">
        <v>45572</v>
      </c>
      <c r="H2358" s="2">
        <v>45575</v>
      </c>
      <c r="I2358" t="s">
        <v>5759</v>
      </c>
      <c r="J2358" t="s">
        <v>5772</v>
      </c>
      <c r="K2358">
        <v>377561.8</v>
      </c>
      <c r="L2358" t="s">
        <v>5775</v>
      </c>
      <c r="M2358">
        <v>3</v>
      </c>
    </row>
    <row r="2359" spans="1:13" x14ac:dyDescent="0.25">
      <c r="A2359">
        <v>2358</v>
      </c>
      <c r="B2359" t="s">
        <v>2370</v>
      </c>
      <c r="C2359">
        <v>19</v>
      </c>
      <c r="D2359" t="s">
        <v>2948</v>
      </c>
      <c r="E2359" t="s">
        <v>2954</v>
      </c>
      <c r="F2359" t="s">
        <v>5170</v>
      </c>
      <c r="G2359" s="2">
        <v>45912</v>
      </c>
      <c r="H2359" s="2">
        <v>45926</v>
      </c>
      <c r="I2359" t="s">
        <v>5765</v>
      </c>
      <c r="J2359" t="s">
        <v>5769</v>
      </c>
      <c r="K2359">
        <v>179684.1</v>
      </c>
      <c r="L2359" t="s">
        <v>5774</v>
      </c>
      <c r="M2359">
        <v>14</v>
      </c>
    </row>
    <row r="2360" spans="1:13" x14ac:dyDescent="0.25">
      <c r="A2360">
        <v>2359</v>
      </c>
      <c r="B2360" t="s">
        <v>2371</v>
      </c>
      <c r="C2360">
        <v>21</v>
      </c>
      <c r="D2360" t="s">
        <v>2948</v>
      </c>
      <c r="E2360" t="s">
        <v>2954</v>
      </c>
      <c r="F2360" t="s">
        <v>5171</v>
      </c>
      <c r="G2360" s="2">
        <v>45627</v>
      </c>
      <c r="H2360" s="2">
        <v>45634</v>
      </c>
      <c r="I2360" t="s">
        <v>5762</v>
      </c>
      <c r="J2360" t="s">
        <v>5772</v>
      </c>
      <c r="K2360">
        <v>436920.73</v>
      </c>
      <c r="L2360" t="s">
        <v>5774</v>
      </c>
      <c r="M2360">
        <v>7</v>
      </c>
    </row>
    <row r="2361" spans="1:13" x14ac:dyDescent="0.25">
      <c r="A2361">
        <v>2360</v>
      </c>
      <c r="B2361" t="s">
        <v>2372</v>
      </c>
      <c r="C2361">
        <v>9</v>
      </c>
      <c r="D2361" t="s">
        <v>2948</v>
      </c>
      <c r="E2361" t="s">
        <v>2955</v>
      </c>
      <c r="F2361" t="s">
        <v>5172</v>
      </c>
      <c r="G2361" s="2">
        <v>45849</v>
      </c>
      <c r="H2361" s="2">
        <v>45851</v>
      </c>
      <c r="I2361" t="s">
        <v>5761</v>
      </c>
      <c r="J2361" t="s">
        <v>5770</v>
      </c>
      <c r="K2361">
        <v>312907.84999999998</v>
      </c>
      <c r="L2361" t="s">
        <v>5774</v>
      </c>
      <c r="M2361">
        <v>2</v>
      </c>
    </row>
    <row r="2362" spans="1:13" x14ac:dyDescent="0.25">
      <c r="A2362">
        <v>2361</v>
      </c>
      <c r="B2362" t="s">
        <v>2373</v>
      </c>
      <c r="C2362">
        <v>15</v>
      </c>
      <c r="D2362" t="s">
        <v>2948</v>
      </c>
      <c r="E2362" t="s">
        <v>2955</v>
      </c>
      <c r="F2362" t="s">
        <v>5173</v>
      </c>
      <c r="G2362" s="2">
        <v>45908</v>
      </c>
      <c r="H2362" s="2">
        <v>45923</v>
      </c>
      <c r="I2362" t="s">
        <v>5765</v>
      </c>
      <c r="J2362" t="s">
        <v>5769</v>
      </c>
      <c r="K2362">
        <v>388255.8</v>
      </c>
      <c r="L2362" t="s">
        <v>5775</v>
      </c>
      <c r="M2362">
        <v>15</v>
      </c>
    </row>
    <row r="2363" spans="1:13" x14ac:dyDescent="0.25">
      <c r="A2363">
        <v>2362</v>
      </c>
      <c r="B2363" t="s">
        <v>2374</v>
      </c>
      <c r="C2363">
        <v>15</v>
      </c>
      <c r="D2363" t="s">
        <v>2947</v>
      </c>
      <c r="E2363" t="s">
        <v>2949</v>
      </c>
      <c r="F2363" t="s">
        <v>5174</v>
      </c>
      <c r="G2363" s="2">
        <v>45681</v>
      </c>
      <c r="H2363" s="2">
        <v>45689</v>
      </c>
      <c r="I2363" t="s">
        <v>5763</v>
      </c>
      <c r="J2363" t="s">
        <v>5768</v>
      </c>
      <c r="K2363">
        <v>216012.06</v>
      </c>
      <c r="L2363" t="s">
        <v>5774</v>
      </c>
      <c r="M2363">
        <v>8</v>
      </c>
    </row>
    <row r="2364" spans="1:13" x14ac:dyDescent="0.25">
      <c r="A2364">
        <v>2363</v>
      </c>
      <c r="B2364" t="s">
        <v>2375</v>
      </c>
      <c r="C2364">
        <v>54</v>
      </c>
      <c r="D2364" t="s">
        <v>2948</v>
      </c>
      <c r="E2364" t="s">
        <v>2953</v>
      </c>
      <c r="F2364" t="s">
        <v>5175</v>
      </c>
      <c r="G2364" s="2">
        <v>45620</v>
      </c>
      <c r="H2364" s="2">
        <v>45625</v>
      </c>
      <c r="I2364" t="s">
        <v>5759</v>
      </c>
      <c r="J2364" t="s">
        <v>5772</v>
      </c>
      <c r="K2364">
        <v>195640.08</v>
      </c>
      <c r="L2364" t="s">
        <v>5774</v>
      </c>
      <c r="M2364">
        <v>5</v>
      </c>
    </row>
    <row r="2365" spans="1:13" x14ac:dyDescent="0.25">
      <c r="A2365">
        <v>2364</v>
      </c>
      <c r="B2365" t="s">
        <v>2376</v>
      </c>
      <c r="C2365">
        <v>88</v>
      </c>
      <c r="D2365" t="s">
        <v>2947</v>
      </c>
      <c r="E2365" t="s">
        <v>2953</v>
      </c>
      <c r="F2365" t="s">
        <v>5176</v>
      </c>
      <c r="G2365" s="2">
        <v>45823</v>
      </c>
      <c r="H2365" s="2">
        <v>45825</v>
      </c>
      <c r="I2365" t="s">
        <v>5763</v>
      </c>
      <c r="J2365" t="s">
        <v>5771</v>
      </c>
      <c r="K2365">
        <v>333150.25</v>
      </c>
      <c r="L2365" t="s">
        <v>5775</v>
      </c>
      <c r="M2365">
        <v>2</v>
      </c>
    </row>
    <row r="2366" spans="1:13" x14ac:dyDescent="0.25">
      <c r="A2366">
        <v>2365</v>
      </c>
      <c r="B2366" t="s">
        <v>2377</v>
      </c>
      <c r="C2366">
        <v>15</v>
      </c>
      <c r="D2366" t="s">
        <v>2947</v>
      </c>
      <c r="E2366" t="s">
        <v>2952</v>
      </c>
      <c r="F2366" t="s">
        <v>5177</v>
      </c>
      <c r="G2366" s="2">
        <v>45641</v>
      </c>
      <c r="H2366" s="2">
        <v>45650</v>
      </c>
      <c r="I2366" t="s">
        <v>5766</v>
      </c>
      <c r="J2366" t="s">
        <v>5768</v>
      </c>
      <c r="K2366">
        <v>434424.73</v>
      </c>
      <c r="L2366" t="s">
        <v>5774</v>
      </c>
      <c r="M2366">
        <v>9</v>
      </c>
    </row>
    <row r="2367" spans="1:13" x14ac:dyDescent="0.25">
      <c r="A2367">
        <v>2366</v>
      </c>
      <c r="B2367" t="s">
        <v>2378</v>
      </c>
      <c r="C2367">
        <v>86</v>
      </c>
      <c r="D2367" t="s">
        <v>2948</v>
      </c>
      <c r="E2367" t="s">
        <v>2952</v>
      </c>
      <c r="F2367" t="s">
        <v>5178</v>
      </c>
      <c r="G2367" s="2">
        <v>45626</v>
      </c>
      <c r="H2367" s="2">
        <v>45637</v>
      </c>
      <c r="I2367" t="s">
        <v>5766</v>
      </c>
      <c r="J2367" t="s">
        <v>5768</v>
      </c>
      <c r="K2367">
        <v>271787.78000000003</v>
      </c>
      <c r="L2367" t="s">
        <v>5775</v>
      </c>
      <c r="M2367">
        <v>11</v>
      </c>
    </row>
    <row r="2368" spans="1:13" x14ac:dyDescent="0.25">
      <c r="A2368">
        <v>2367</v>
      </c>
      <c r="B2368" t="s">
        <v>2379</v>
      </c>
      <c r="C2368">
        <v>4</v>
      </c>
      <c r="D2368" t="s">
        <v>2947</v>
      </c>
      <c r="E2368" t="s">
        <v>2955</v>
      </c>
      <c r="F2368" t="s">
        <v>5179</v>
      </c>
      <c r="G2368" s="2">
        <v>45818</v>
      </c>
      <c r="H2368" s="2">
        <v>45826</v>
      </c>
      <c r="I2368" t="s">
        <v>5758</v>
      </c>
      <c r="J2368" t="s">
        <v>2949</v>
      </c>
      <c r="K2368">
        <v>389284.12</v>
      </c>
      <c r="L2368" t="s">
        <v>5773</v>
      </c>
      <c r="M2368">
        <v>8</v>
      </c>
    </row>
    <row r="2369" spans="1:13" x14ac:dyDescent="0.25">
      <c r="A2369">
        <v>2368</v>
      </c>
      <c r="B2369" t="s">
        <v>2380</v>
      </c>
      <c r="C2369">
        <v>16</v>
      </c>
      <c r="D2369" t="s">
        <v>2947</v>
      </c>
      <c r="E2369" t="s">
        <v>2952</v>
      </c>
      <c r="F2369" t="s">
        <v>5180</v>
      </c>
      <c r="G2369" s="2">
        <v>45783</v>
      </c>
      <c r="H2369" s="2">
        <v>45789</v>
      </c>
      <c r="I2369" t="s">
        <v>5766</v>
      </c>
      <c r="J2369" t="s">
        <v>5768</v>
      </c>
      <c r="K2369">
        <v>436858.11</v>
      </c>
      <c r="L2369" t="s">
        <v>5774</v>
      </c>
      <c r="M2369">
        <v>6</v>
      </c>
    </row>
    <row r="2370" spans="1:13" x14ac:dyDescent="0.25">
      <c r="A2370">
        <v>2369</v>
      </c>
      <c r="B2370" t="s">
        <v>2381</v>
      </c>
      <c r="C2370">
        <v>56</v>
      </c>
      <c r="D2370" t="s">
        <v>2948</v>
      </c>
      <c r="E2370" t="s">
        <v>2952</v>
      </c>
      <c r="F2370" t="s">
        <v>5181</v>
      </c>
      <c r="G2370" s="2">
        <v>45693</v>
      </c>
      <c r="H2370" s="2">
        <v>45695</v>
      </c>
      <c r="I2370" t="s">
        <v>5765</v>
      </c>
      <c r="J2370" t="s">
        <v>5769</v>
      </c>
      <c r="K2370">
        <v>300901.05</v>
      </c>
      <c r="L2370" t="s">
        <v>5775</v>
      </c>
      <c r="M2370">
        <v>2</v>
      </c>
    </row>
    <row r="2371" spans="1:13" x14ac:dyDescent="0.25">
      <c r="A2371">
        <v>2370</v>
      </c>
      <c r="B2371" t="s">
        <v>2382</v>
      </c>
      <c r="C2371">
        <v>36</v>
      </c>
      <c r="D2371" t="s">
        <v>2947</v>
      </c>
      <c r="E2371" t="s">
        <v>2949</v>
      </c>
      <c r="F2371" t="s">
        <v>5182</v>
      </c>
      <c r="G2371" s="2">
        <v>45739</v>
      </c>
      <c r="H2371" s="2">
        <v>45740</v>
      </c>
      <c r="I2371" t="s">
        <v>5759</v>
      </c>
      <c r="J2371" t="s">
        <v>5768</v>
      </c>
      <c r="K2371">
        <v>394077.14</v>
      </c>
      <c r="L2371" t="s">
        <v>5775</v>
      </c>
      <c r="M2371">
        <v>1</v>
      </c>
    </row>
    <row r="2372" spans="1:13" x14ac:dyDescent="0.25">
      <c r="A2372">
        <v>2371</v>
      </c>
      <c r="B2372" t="s">
        <v>2383</v>
      </c>
      <c r="C2372">
        <v>30</v>
      </c>
      <c r="D2372" t="s">
        <v>2947</v>
      </c>
      <c r="E2372" t="s">
        <v>2953</v>
      </c>
      <c r="F2372" t="s">
        <v>5183</v>
      </c>
      <c r="G2372" s="2">
        <v>45753</v>
      </c>
      <c r="H2372" s="2">
        <v>45757</v>
      </c>
      <c r="I2372" t="s">
        <v>5761</v>
      </c>
      <c r="J2372" t="s">
        <v>5768</v>
      </c>
      <c r="K2372">
        <v>431620.42</v>
      </c>
      <c r="L2372" t="s">
        <v>5774</v>
      </c>
      <c r="M2372">
        <v>4</v>
      </c>
    </row>
    <row r="2373" spans="1:13" x14ac:dyDescent="0.25">
      <c r="A2373">
        <v>2372</v>
      </c>
      <c r="B2373" t="s">
        <v>2384</v>
      </c>
      <c r="C2373">
        <v>9</v>
      </c>
      <c r="D2373" t="s">
        <v>2947</v>
      </c>
      <c r="E2373" t="s">
        <v>2952</v>
      </c>
      <c r="F2373" t="s">
        <v>5184</v>
      </c>
      <c r="G2373" s="2">
        <v>45822</v>
      </c>
      <c r="H2373" s="2">
        <v>45825</v>
      </c>
      <c r="I2373" t="s">
        <v>5760</v>
      </c>
      <c r="J2373" t="s">
        <v>5772</v>
      </c>
      <c r="K2373">
        <v>419096.37</v>
      </c>
      <c r="L2373" t="s">
        <v>5774</v>
      </c>
      <c r="M2373">
        <v>3</v>
      </c>
    </row>
    <row r="2374" spans="1:13" x14ac:dyDescent="0.25">
      <c r="A2374">
        <v>2373</v>
      </c>
      <c r="B2374" t="s">
        <v>2385</v>
      </c>
      <c r="C2374">
        <v>74</v>
      </c>
      <c r="D2374" t="s">
        <v>2947</v>
      </c>
      <c r="E2374" t="s">
        <v>2949</v>
      </c>
      <c r="F2374" t="s">
        <v>5185</v>
      </c>
      <c r="G2374" s="2">
        <v>45579</v>
      </c>
      <c r="H2374" s="2">
        <v>45582</v>
      </c>
      <c r="I2374" t="s">
        <v>5760</v>
      </c>
      <c r="J2374" t="s">
        <v>5770</v>
      </c>
      <c r="K2374">
        <v>347650.45</v>
      </c>
      <c r="L2374" t="s">
        <v>5773</v>
      </c>
      <c r="M2374">
        <v>3</v>
      </c>
    </row>
    <row r="2375" spans="1:13" x14ac:dyDescent="0.25">
      <c r="A2375">
        <v>2374</v>
      </c>
      <c r="B2375" t="s">
        <v>2386</v>
      </c>
      <c r="C2375">
        <v>2</v>
      </c>
      <c r="D2375" t="s">
        <v>2948</v>
      </c>
      <c r="E2375" t="s">
        <v>2954</v>
      </c>
      <c r="F2375" t="s">
        <v>5186</v>
      </c>
      <c r="G2375" s="2">
        <v>45817</v>
      </c>
      <c r="H2375" s="2">
        <v>45827</v>
      </c>
      <c r="I2375" t="s">
        <v>5759</v>
      </c>
      <c r="J2375" t="s">
        <v>5771</v>
      </c>
      <c r="K2375">
        <v>499549.69</v>
      </c>
      <c r="L2375" t="s">
        <v>5775</v>
      </c>
      <c r="M2375">
        <v>10</v>
      </c>
    </row>
    <row r="2376" spans="1:13" x14ac:dyDescent="0.25">
      <c r="A2376">
        <v>2375</v>
      </c>
      <c r="B2376" t="s">
        <v>2387</v>
      </c>
      <c r="C2376">
        <v>9</v>
      </c>
      <c r="D2376" t="s">
        <v>2948</v>
      </c>
      <c r="E2376" t="s">
        <v>2955</v>
      </c>
      <c r="F2376" t="s">
        <v>5187</v>
      </c>
      <c r="G2376" s="2">
        <v>45880</v>
      </c>
      <c r="H2376" s="2">
        <v>45888</v>
      </c>
      <c r="I2376" t="s">
        <v>5764</v>
      </c>
      <c r="J2376" t="s">
        <v>5770</v>
      </c>
      <c r="K2376">
        <v>315991.28999999998</v>
      </c>
      <c r="L2376" t="s">
        <v>5774</v>
      </c>
      <c r="M2376">
        <v>8</v>
      </c>
    </row>
    <row r="2377" spans="1:13" x14ac:dyDescent="0.25">
      <c r="A2377">
        <v>2376</v>
      </c>
      <c r="B2377" t="s">
        <v>2388</v>
      </c>
      <c r="C2377">
        <v>26</v>
      </c>
      <c r="D2377" t="s">
        <v>2948</v>
      </c>
      <c r="E2377" t="s">
        <v>2953</v>
      </c>
      <c r="F2377" t="s">
        <v>5188</v>
      </c>
      <c r="G2377" s="2">
        <v>45767</v>
      </c>
      <c r="H2377" s="2">
        <v>45780</v>
      </c>
      <c r="I2377" t="s">
        <v>5764</v>
      </c>
      <c r="J2377" t="s">
        <v>5772</v>
      </c>
      <c r="K2377">
        <v>180382.59</v>
      </c>
      <c r="L2377" t="s">
        <v>5774</v>
      </c>
      <c r="M2377">
        <v>13</v>
      </c>
    </row>
    <row r="2378" spans="1:13" x14ac:dyDescent="0.25">
      <c r="A2378">
        <v>2377</v>
      </c>
      <c r="B2378" t="s">
        <v>2389</v>
      </c>
      <c r="C2378">
        <v>41</v>
      </c>
      <c r="D2378" t="s">
        <v>2947</v>
      </c>
      <c r="E2378" t="s">
        <v>2953</v>
      </c>
      <c r="F2378" t="s">
        <v>5189</v>
      </c>
      <c r="G2378" s="2">
        <v>45739</v>
      </c>
      <c r="H2378" s="2">
        <v>45754</v>
      </c>
      <c r="I2378" t="s">
        <v>5762</v>
      </c>
      <c r="J2378" t="s">
        <v>5768</v>
      </c>
      <c r="K2378">
        <v>152022.76</v>
      </c>
      <c r="L2378" t="s">
        <v>5775</v>
      </c>
      <c r="M2378">
        <v>15</v>
      </c>
    </row>
    <row r="2379" spans="1:13" x14ac:dyDescent="0.25">
      <c r="A2379">
        <v>2378</v>
      </c>
      <c r="B2379" t="s">
        <v>2390</v>
      </c>
      <c r="C2379">
        <v>33</v>
      </c>
      <c r="D2379" t="s">
        <v>2948</v>
      </c>
      <c r="E2379" t="s">
        <v>2952</v>
      </c>
      <c r="F2379" t="s">
        <v>5190</v>
      </c>
      <c r="G2379" s="2">
        <v>45578</v>
      </c>
      <c r="H2379" s="2">
        <v>45589</v>
      </c>
      <c r="I2379" t="s">
        <v>5761</v>
      </c>
      <c r="J2379" t="s">
        <v>2949</v>
      </c>
      <c r="K2379">
        <v>89187.07</v>
      </c>
      <c r="L2379" t="s">
        <v>5774</v>
      </c>
      <c r="M2379">
        <v>11</v>
      </c>
    </row>
    <row r="2380" spans="1:13" x14ac:dyDescent="0.25">
      <c r="A2380">
        <v>2379</v>
      </c>
      <c r="B2380" t="s">
        <v>2391</v>
      </c>
      <c r="C2380">
        <v>73</v>
      </c>
      <c r="D2380" t="s">
        <v>2947</v>
      </c>
      <c r="E2380" t="s">
        <v>2951</v>
      </c>
      <c r="F2380" t="s">
        <v>3629</v>
      </c>
      <c r="G2380" s="2">
        <v>45553</v>
      </c>
      <c r="H2380" s="2">
        <v>45565</v>
      </c>
      <c r="I2380" t="s">
        <v>5762</v>
      </c>
      <c r="J2380" t="s">
        <v>5769</v>
      </c>
      <c r="K2380">
        <v>368037.55</v>
      </c>
      <c r="L2380" t="s">
        <v>5773</v>
      </c>
      <c r="M2380">
        <v>12</v>
      </c>
    </row>
    <row r="2381" spans="1:13" x14ac:dyDescent="0.25">
      <c r="A2381">
        <v>2380</v>
      </c>
      <c r="B2381" t="s">
        <v>2392</v>
      </c>
      <c r="C2381">
        <v>48</v>
      </c>
      <c r="D2381" t="s">
        <v>2948</v>
      </c>
      <c r="E2381" t="s">
        <v>2955</v>
      </c>
      <c r="F2381" t="s">
        <v>5191</v>
      </c>
      <c r="G2381" s="2">
        <v>45834</v>
      </c>
      <c r="H2381" s="2">
        <v>45838</v>
      </c>
      <c r="I2381" t="s">
        <v>5758</v>
      </c>
      <c r="J2381" t="s">
        <v>5768</v>
      </c>
      <c r="K2381">
        <v>362984.02</v>
      </c>
      <c r="L2381" t="s">
        <v>5775</v>
      </c>
      <c r="M2381">
        <v>4</v>
      </c>
    </row>
    <row r="2382" spans="1:13" x14ac:dyDescent="0.25">
      <c r="A2382">
        <v>2381</v>
      </c>
      <c r="B2382" t="s">
        <v>2393</v>
      </c>
      <c r="C2382">
        <v>70</v>
      </c>
      <c r="D2382" t="s">
        <v>2947</v>
      </c>
      <c r="E2382" t="s">
        <v>2952</v>
      </c>
      <c r="F2382" t="s">
        <v>5192</v>
      </c>
      <c r="G2382" s="2">
        <v>45636</v>
      </c>
      <c r="H2382" s="2">
        <v>45642</v>
      </c>
      <c r="I2382" t="s">
        <v>5762</v>
      </c>
      <c r="J2382" t="s">
        <v>5770</v>
      </c>
      <c r="K2382">
        <v>262846.08000000002</v>
      </c>
      <c r="L2382" t="s">
        <v>5773</v>
      </c>
      <c r="M2382">
        <v>6</v>
      </c>
    </row>
    <row r="2383" spans="1:13" x14ac:dyDescent="0.25">
      <c r="A2383">
        <v>2382</v>
      </c>
      <c r="B2383" t="s">
        <v>2394</v>
      </c>
      <c r="C2383">
        <v>40</v>
      </c>
      <c r="D2383" t="s">
        <v>2948</v>
      </c>
      <c r="E2383" t="s">
        <v>2954</v>
      </c>
      <c r="F2383" t="s">
        <v>5193</v>
      </c>
      <c r="G2383" s="2">
        <v>45903</v>
      </c>
      <c r="H2383" s="2">
        <v>45910</v>
      </c>
      <c r="I2383" t="s">
        <v>5764</v>
      </c>
      <c r="J2383" t="s">
        <v>5772</v>
      </c>
      <c r="K2383">
        <v>380168.09</v>
      </c>
      <c r="L2383" t="s">
        <v>5775</v>
      </c>
      <c r="M2383">
        <v>7</v>
      </c>
    </row>
    <row r="2384" spans="1:13" x14ac:dyDescent="0.25">
      <c r="A2384">
        <v>2383</v>
      </c>
      <c r="B2384" t="s">
        <v>2395</v>
      </c>
      <c r="C2384">
        <v>86</v>
      </c>
      <c r="D2384" t="s">
        <v>2947</v>
      </c>
      <c r="E2384" t="s">
        <v>2953</v>
      </c>
      <c r="F2384" t="s">
        <v>5194</v>
      </c>
      <c r="G2384" s="2">
        <v>45896</v>
      </c>
      <c r="H2384" s="2">
        <v>45901</v>
      </c>
      <c r="I2384" t="s">
        <v>5760</v>
      </c>
      <c r="J2384" t="s">
        <v>5770</v>
      </c>
      <c r="K2384">
        <v>445553.56</v>
      </c>
      <c r="L2384" t="s">
        <v>5773</v>
      </c>
      <c r="M2384">
        <v>5</v>
      </c>
    </row>
    <row r="2385" spans="1:13" x14ac:dyDescent="0.25">
      <c r="A2385">
        <v>2384</v>
      </c>
      <c r="B2385" t="s">
        <v>2396</v>
      </c>
      <c r="C2385">
        <v>83</v>
      </c>
      <c r="D2385" t="s">
        <v>2947</v>
      </c>
      <c r="E2385" t="s">
        <v>2952</v>
      </c>
      <c r="F2385" t="s">
        <v>5195</v>
      </c>
      <c r="G2385" s="2">
        <v>45553</v>
      </c>
      <c r="H2385" s="2">
        <v>45566</v>
      </c>
      <c r="I2385" t="s">
        <v>5760</v>
      </c>
      <c r="J2385" t="s">
        <v>5769</v>
      </c>
      <c r="K2385">
        <v>270486.83</v>
      </c>
      <c r="L2385" t="s">
        <v>5774</v>
      </c>
      <c r="M2385">
        <v>13</v>
      </c>
    </row>
    <row r="2386" spans="1:13" x14ac:dyDescent="0.25">
      <c r="A2386">
        <v>2385</v>
      </c>
      <c r="B2386" t="s">
        <v>2397</v>
      </c>
      <c r="C2386">
        <v>78</v>
      </c>
      <c r="D2386" t="s">
        <v>2947</v>
      </c>
      <c r="E2386" t="s">
        <v>2951</v>
      </c>
      <c r="F2386" t="s">
        <v>5196</v>
      </c>
      <c r="G2386" s="2">
        <v>45665</v>
      </c>
      <c r="H2386" s="2">
        <v>45674</v>
      </c>
      <c r="I2386" t="s">
        <v>5764</v>
      </c>
      <c r="J2386" t="s">
        <v>5771</v>
      </c>
      <c r="K2386">
        <v>41956.61</v>
      </c>
      <c r="L2386" t="s">
        <v>5773</v>
      </c>
      <c r="M2386">
        <v>9</v>
      </c>
    </row>
    <row r="2387" spans="1:13" x14ac:dyDescent="0.25">
      <c r="A2387">
        <v>2386</v>
      </c>
      <c r="B2387" t="s">
        <v>2398</v>
      </c>
      <c r="C2387">
        <v>1</v>
      </c>
      <c r="D2387" t="s">
        <v>2948</v>
      </c>
      <c r="E2387" t="s">
        <v>2950</v>
      </c>
      <c r="F2387" t="s">
        <v>3717</v>
      </c>
      <c r="G2387" s="2">
        <v>45892</v>
      </c>
      <c r="H2387" s="2">
        <v>45897</v>
      </c>
      <c r="I2387" t="s">
        <v>5762</v>
      </c>
      <c r="J2387" t="s">
        <v>2949</v>
      </c>
      <c r="K2387">
        <v>319788.52</v>
      </c>
      <c r="L2387" t="s">
        <v>5774</v>
      </c>
      <c r="M2387">
        <v>5</v>
      </c>
    </row>
    <row r="2388" spans="1:13" x14ac:dyDescent="0.25">
      <c r="A2388">
        <v>2387</v>
      </c>
      <c r="B2388" t="s">
        <v>2399</v>
      </c>
      <c r="C2388">
        <v>83</v>
      </c>
      <c r="D2388" t="s">
        <v>2947</v>
      </c>
      <c r="E2388" t="s">
        <v>2951</v>
      </c>
      <c r="F2388" t="s">
        <v>5197</v>
      </c>
      <c r="G2388" s="2">
        <v>45889</v>
      </c>
      <c r="H2388" s="2">
        <v>45892</v>
      </c>
      <c r="I2388" t="s">
        <v>5758</v>
      </c>
      <c r="J2388" t="s">
        <v>5772</v>
      </c>
      <c r="K2388">
        <v>360270.61</v>
      </c>
      <c r="L2388" t="s">
        <v>5775</v>
      </c>
      <c r="M2388">
        <v>3</v>
      </c>
    </row>
    <row r="2389" spans="1:13" x14ac:dyDescent="0.25">
      <c r="A2389">
        <v>2388</v>
      </c>
      <c r="B2389" t="s">
        <v>2400</v>
      </c>
      <c r="C2389">
        <v>6</v>
      </c>
      <c r="D2389" t="s">
        <v>2948</v>
      </c>
      <c r="E2389" t="s">
        <v>2952</v>
      </c>
      <c r="F2389" t="s">
        <v>5198</v>
      </c>
      <c r="G2389" s="2">
        <v>45646</v>
      </c>
      <c r="H2389" s="2">
        <v>45660</v>
      </c>
      <c r="I2389" t="s">
        <v>5765</v>
      </c>
      <c r="J2389" t="s">
        <v>5769</v>
      </c>
      <c r="K2389">
        <v>283212.92</v>
      </c>
      <c r="L2389" t="s">
        <v>5774</v>
      </c>
      <c r="M2389">
        <v>14</v>
      </c>
    </row>
    <row r="2390" spans="1:13" x14ac:dyDescent="0.25">
      <c r="A2390">
        <v>2389</v>
      </c>
      <c r="B2390" t="s">
        <v>2401</v>
      </c>
      <c r="C2390">
        <v>75</v>
      </c>
      <c r="D2390" t="s">
        <v>2947</v>
      </c>
      <c r="E2390" t="s">
        <v>2950</v>
      </c>
      <c r="F2390" t="s">
        <v>5199</v>
      </c>
      <c r="G2390" s="2">
        <v>45902</v>
      </c>
      <c r="H2390" s="2">
        <v>45904</v>
      </c>
      <c r="I2390" t="s">
        <v>5761</v>
      </c>
      <c r="J2390" t="s">
        <v>5771</v>
      </c>
      <c r="K2390">
        <v>115901.21</v>
      </c>
      <c r="L2390" t="s">
        <v>5774</v>
      </c>
      <c r="M2390">
        <v>2</v>
      </c>
    </row>
    <row r="2391" spans="1:13" x14ac:dyDescent="0.25">
      <c r="A2391">
        <v>2390</v>
      </c>
      <c r="B2391" t="s">
        <v>2402</v>
      </c>
      <c r="C2391">
        <v>52</v>
      </c>
      <c r="D2391" t="s">
        <v>2948</v>
      </c>
      <c r="E2391" t="s">
        <v>2950</v>
      </c>
      <c r="F2391" t="s">
        <v>5200</v>
      </c>
      <c r="G2391" s="2">
        <v>45896</v>
      </c>
      <c r="H2391" s="2">
        <v>45897</v>
      </c>
      <c r="I2391" t="s">
        <v>5758</v>
      </c>
      <c r="J2391" t="s">
        <v>2949</v>
      </c>
      <c r="K2391">
        <v>247377.71</v>
      </c>
      <c r="L2391" t="s">
        <v>5775</v>
      </c>
      <c r="M2391">
        <v>1</v>
      </c>
    </row>
    <row r="2392" spans="1:13" x14ac:dyDescent="0.25">
      <c r="A2392">
        <v>2391</v>
      </c>
      <c r="B2392" t="s">
        <v>2403</v>
      </c>
      <c r="C2392">
        <v>76</v>
      </c>
      <c r="D2392" t="s">
        <v>2948</v>
      </c>
      <c r="E2392" t="s">
        <v>2952</v>
      </c>
      <c r="F2392" t="s">
        <v>5201</v>
      </c>
      <c r="G2392" s="2">
        <v>45888</v>
      </c>
      <c r="H2392" s="2">
        <v>45896</v>
      </c>
      <c r="I2392" t="s">
        <v>5764</v>
      </c>
      <c r="J2392" t="s">
        <v>2949</v>
      </c>
      <c r="K2392">
        <v>472700.27</v>
      </c>
      <c r="L2392" t="s">
        <v>5774</v>
      </c>
      <c r="M2392">
        <v>8</v>
      </c>
    </row>
    <row r="2393" spans="1:13" x14ac:dyDescent="0.25">
      <c r="A2393">
        <v>2392</v>
      </c>
      <c r="B2393" t="s">
        <v>2404</v>
      </c>
      <c r="C2393">
        <v>49</v>
      </c>
      <c r="D2393" t="s">
        <v>2948</v>
      </c>
      <c r="E2393" t="s">
        <v>2950</v>
      </c>
      <c r="F2393" t="s">
        <v>5202</v>
      </c>
      <c r="G2393" s="2">
        <v>45898</v>
      </c>
      <c r="H2393" s="2">
        <v>45913</v>
      </c>
      <c r="I2393" t="s">
        <v>5761</v>
      </c>
      <c r="J2393" t="s">
        <v>5771</v>
      </c>
      <c r="K2393">
        <v>5845.77</v>
      </c>
      <c r="L2393" t="s">
        <v>5774</v>
      </c>
      <c r="M2393">
        <v>15</v>
      </c>
    </row>
    <row r="2394" spans="1:13" x14ac:dyDescent="0.25">
      <c r="A2394">
        <v>2393</v>
      </c>
      <c r="B2394" t="s">
        <v>2405</v>
      </c>
      <c r="C2394">
        <v>23</v>
      </c>
      <c r="D2394" t="s">
        <v>2947</v>
      </c>
      <c r="E2394" t="s">
        <v>2950</v>
      </c>
      <c r="F2394" t="s">
        <v>5203</v>
      </c>
      <c r="G2394" s="2">
        <v>45839</v>
      </c>
      <c r="H2394" s="2">
        <v>45851</v>
      </c>
      <c r="I2394" t="s">
        <v>5766</v>
      </c>
      <c r="J2394" t="s">
        <v>5771</v>
      </c>
      <c r="K2394">
        <v>200485.61</v>
      </c>
      <c r="L2394" t="s">
        <v>5774</v>
      </c>
      <c r="M2394">
        <v>12</v>
      </c>
    </row>
    <row r="2395" spans="1:13" x14ac:dyDescent="0.25">
      <c r="A2395">
        <v>2394</v>
      </c>
      <c r="B2395" t="s">
        <v>2406</v>
      </c>
      <c r="C2395">
        <v>53</v>
      </c>
      <c r="D2395" t="s">
        <v>2948</v>
      </c>
      <c r="E2395" t="s">
        <v>2951</v>
      </c>
      <c r="F2395" t="s">
        <v>5204</v>
      </c>
      <c r="G2395" s="2">
        <v>45658</v>
      </c>
      <c r="H2395" s="2">
        <v>45666</v>
      </c>
      <c r="I2395" t="s">
        <v>5760</v>
      </c>
      <c r="J2395" t="s">
        <v>5771</v>
      </c>
      <c r="K2395">
        <v>254837.17</v>
      </c>
      <c r="L2395" t="s">
        <v>5775</v>
      </c>
      <c r="M2395">
        <v>8</v>
      </c>
    </row>
    <row r="2396" spans="1:13" x14ac:dyDescent="0.25">
      <c r="A2396">
        <v>2395</v>
      </c>
      <c r="B2396" t="s">
        <v>2407</v>
      </c>
      <c r="C2396">
        <v>74</v>
      </c>
      <c r="D2396" t="s">
        <v>2947</v>
      </c>
      <c r="E2396" t="s">
        <v>2954</v>
      </c>
      <c r="F2396" t="s">
        <v>5205</v>
      </c>
      <c r="G2396" s="2">
        <v>45818</v>
      </c>
      <c r="H2396" s="2">
        <v>45831</v>
      </c>
      <c r="I2396" t="s">
        <v>5767</v>
      </c>
      <c r="J2396" t="s">
        <v>5769</v>
      </c>
      <c r="K2396">
        <v>358190.84</v>
      </c>
      <c r="L2396" t="s">
        <v>5773</v>
      </c>
      <c r="M2396">
        <v>13</v>
      </c>
    </row>
    <row r="2397" spans="1:13" x14ac:dyDescent="0.25">
      <c r="A2397">
        <v>2396</v>
      </c>
      <c r="B2397" t="s">
        <v>2408</v>
      </c>
      <c r="C2397">
        <v>66</v>
      </c>
      <c r="D2397" t="s">
        <v>2948</v>
      </c>
      <c r="E2397" t="s">
        <v>2951</v>
      </c>
      <c r="F2397" t="s">
        <v>5206</v>
      </c>
      <c r="G2397" s="2">
        <v>45893</v>
      </c>
      <c r="H2397" s="2">
        <v>45906</v>
      </c>
      <c r="I2397" t="s">
        <v>5764</v>
      </c>
      <c r="J2397" t="s">
        <v>5768</v>
      </c>
      <c r="K2397">
        <v>304539.42</v>
      </c>
      <c r="L2397" t="s">
        <v>5774</v>
      </c>
      <c r="M2397">
        <v>13</v>
      </c>
    </row>
    <row r="2398" spans="1:13" x14ac:dyDescent="0.25">
      <c r="A2398">
        <v>2397</v>
      </c>
      <c r="B2398" t="s">
        <v>2409</v>
      </c>
      <c r="C2398">
        <v>79</v>
      </c>
      <c r="D2398" t="s">
        <v>2947</v>
      </c>
      <c r="E2398" t="s">
        <v>2951</v>
      </c>
      <c r="F2398" t="s">
        <v>5207</v>
      </c>
      <c r="G2398" s="2">
        <v>45566</v>
      </c>
      <c r="H2398" s="2">
        <v>45567</v>
      </c>
      <c r="I2398" t="s">
        <v>5764</v>
      </c>
      <c r="J2398" t="s">
        <v>5769</v>
      </c>
      <c r="K2398">
        <v>378129.15</v>
      </c>
      <c r="L2398" t="s">
        <v>5774</v>
      </c>
      <c r="M2398">
        <v>1</v>
      </c>
    </row>
    <row r="2399" spans="1:13" x14ac:dyDescent="0.25">
      <c r="A2399">
        <v>2398</v>
      </c>
      <c r="B2399" t="s">
        <v>2410</v>
      </c>
      <c r="C2399">
        <v>19</v>
      </c>
      <c r="D2399" t="s">
        <v>2947</v>
      </c>
      <c r="E2399" t="s">
        <v>2954</v>
      </c>
      <c r="F2399" t="s">
        <v>5208</v>
      </c>
      <c r="G2399" s="2">
        <v>45908</v>
      </c>
      <c r="H2399" s="2">
        <v>45911</v>
      </c>
      <c r="I2399" t="s">
        <v>5765</v>
      </c>
      <c r="J2399" t="s">
        <v>5770</v>
      </c>
      <c r="K2399">
        <v>79629.990000000005</v>
      </c>
      <c r="L2399" t="s">
        <v>5775</v>
      </c>
      <c r="M2399">
        <v>3</v>
      </c>
    </row>
    <row r="2400" spans="1:13" x14ac:dyDescent="0.25">
      <c r="A2400">
        <v>2399</v>
      </c>
      <c r="B2400" t="s">
        <v>2411</v>
      </c>
      <c r="C2400">
        <v>63</v>
      </c>
      <c r="D2400" t="s">
        <v>2947</v>
      </c>
      <c r="E2400" t="s">
        <v>2949</v>
      </c>
      <c r="F2400" t="s">
        <v>5209</v>
      </c>
      <c r="G2400" s="2">
        <v>45549</v>
      </c>
      <c r="H2400" s="2">
        <v>45563</v>
      </c>
      <c r="I2400" t="s">
        <v>5762</v>
      </c>
      <c r="J2400" t="s">
        <v>5772</v>
      </c>
      <c r="K2400">
        <v>175056.73</v>
      </c>
      <c r="L2400" t="s">
        <v>5775</v>
      </c>
      <c r="M2400">
        <v>14</v>
      </c>
    </row>
    <row r="2401" spans="1:13" x14ac:dyDescent="0.25">
      <c r="A2401">
        <v>2400</v>
      </c>
      <c r="B2401" t="s">
        <v>2412</v>
      </c>
      <c r="C2401">
        <v>52</v>
      </c>
      <c r="D2401" t="s">
        <v>2948</v>
      </c>
      <c r="E2401" t="s">
        <v>2955</v>
      </c>
      <c r="F2401" t="s">
        <v>5210</v>
      </c>
      <c r="G2401" s="2">
        <v>45693</v>
      </c>
      <c r="H2401" s="2">
        <v>45708</v>
      </c>
      <c r="I2401" t="s">
        <v>5758</v>
      </c>
      <c r="J2401" t="s">
        <v>5769</v>
      </c>
      <c r="K2401">
        <v>425841.47</v>
      </c>
      <c r="L2401" t="s">
        <v>5775</v>
      </c>
      <c r="M2401">
        <v>15</v>
      </c>
    </row>
    <row r="2402" spans="1:13" x14ac:dyDescent="0.25">
      <c r="A2402">
        <v>2401</v>
      </c>
      <c r="B2402" t="s">
        <v>2413</v>
      </c>
      <c r="C2402">
        <v>51</v>
      </c>
      <c r="D2402" t="s">
        <v>2948</v>
      </c>
      <c r="E2402" t="s">
        <v>2949</v>
      </c>
      <c r="F2402" t="s">
        <v>5211</v>
      </c>
      <c r="G2402" s="2">
        <v>45613</v>
      </c>
      <c r="H2402" s="2">
        <v>45616</v>
      </c>
      <c r="I2402" t="s">
        <v>5758</v>
      </c>
      <c r="J2402" t="s">
        <v>5768</v>
      </c>
      <c r="K2402">
        <v>471777.9</v>
      </c>
      <c r="L2402" t="s">
        <v>5774</v>
      </c>
      <c r="M2402">
        <v>3</v>
      </c>
    </row>
    <row r="2403" spans="1:13" x14ac:dyDescent="0.25">
      <c r="A2403">
        <v>2402</v>
      </c>
      <c r="B2403" t="s">
        <v>2414</v>
      </c>
      <c r="C2403">
        <v>40</v>
      </c>
      <c r="D2403" t="s">
        <v>2948</v>
      </c>
      <c r="E2403" t="s">
        <v>2950</v>
      </c>
      <c r="F2403" t="s">
        <v>5098</v>
      </c>
      <c r="G2403" s="2">
        <v>45681</v>
      </c>
      <c r="H2403" s="2">
        <v>45682</v>
      </c>
      <c r="I2403" t="s">
        <v>5767</v>
      </c>
      <c r="J2403" t="s">
        <v>5771</v>
      </c>
      <c r="K2403">
        <v>379270.81</v>
      </c>
      <c r="L2403" t="s">
        <v>5774</v>
      </c>
      <c r="M2403">
        <v>1</v>
      </c>
    </row>
    <row r="2404" spans="1:13" x14ac:dyDescent="0.25">
      <c r="A2404">
        <v>2403</v>
      </c>
      <c r="B2404" t="s">
        <v>2415</v>
      </c>
      <c r="C2404">
        <v>64</v>
      </c>
      <c r="D2404" t="s">
        <v>2948</v>
      </c>
      <c r="E2404" t="s">
        <v>2952</v>
      </c>
      <c r="F2404" t="s">
        <v>3336</v>
      </c>
      <c r="G2404" s="2">
        <v>45764</v>
      </c>
      <c r="H2404" s="2">
        <v>45773</v>
      </c>
      <c r="I2404" t="s">
        <v>5764</v>
      </c>
      <c r="J2404" t="s">
        <v>5771</v>
      </c>
      <c r="K2404">
        <v>19922.12</v>
      </c>
      <c r="L2404" t="s">
        <v>5775</v>
      </c>
      <c r="M2404">
        <v>9</v>
      </c>
    </row>
    <row r="2405" spans="1:13" x14ac:dyDescent="0.25">
      <c r="A2405">
        <v>2404</v>
      </c>
      <c r="B2405" t="s">
        <v>2416</v>
      </c>
      <c r="C2405">
        <v>10</v>
      </c>
      <c r="D2405" t="s">
        <v>2947</v>
      </c>
      <c r="E2405" t="s">
        <v>2949</v>
      </c>
      <c r="F2405" t="s">
        <v>5212</v>
      </c>
      <c r="G2405" s="2">
        <v>45881</v>
      </c>
      <c r="H2405" s="2">
        <v>45896</v>
      </c>
      <c r="I2405" t="s">
        <v>5765</v>
      </c>
      <c r="J2405" t="s">
        <v>5770</v>
      </c>
      <c r="K2405">
        <v>277492.92</v>
      </c>
      <c r="L2405" t="s">
        <v>5773</v>
      </c>
      <c r="M2405">
        <v>15</v>
      </c>
    </row>
    <row r="2406" spans="1:13" x14ac:dyDescent="0.25">
      <c r="A2406">
        <v>2405</v>
      </c>
      <c r="B2406" t="s">
        <v>2417</v>
      </c>
      <c r="C2406">
        <v>18</v>
      </c>
      <c r="D2406" t="s">
        <v>2947</v>
      </c>
      <c r="E2406" t="s">
        <v>2952</v>
      </c>
      <c r="F2406" t="s">
        <v>5213</v>
      </c>
      <c r="G2406" s="2">
        <v>45786</v>
      </c>
      <c r="H2406" s="2">
        <v>45795</v>
      </c>
      <c r="I2406" t="s">
        <v>5764</v>
      </c>
      <c r="J2406" t="s">
        <v>5769</v>
      </c>
      <c r="K2406">
        <v>402526.24</v>
      </c>
      <c r="L2406" t="s">
        <v>5773</v>
      </c>
      <c r="M2406">
        <v>9</v>
      </c>
    </row>
    <row r="2407" spans="1:13" x14ac:dyDescent="0.25">
      <c r="A2407">
        <v>2406</v>
      </c>
      <c r="B2407" t="s">
        <v>2418</v>
      </c>
      <c r="C2407">
        <v>61</v>
      </c>
      <c r="D2407" t="s">
        <v>2947</v>
      </c>
      <c r="E2407" t="s">
        <v>2953</v>
      </c>
      <c r="F2407" t="s">
        <v>5214</v>
      </c>
      <c r="G2407" s="2">
        <v>45758</v>
      </c>
      <c r="H2407" s="2">
        <v>45764</v>
      </c>
      <c r="I2407" t="s">
        <v>5766</v>
      </c>
      <c r="J2407" t="s">
        <v>5769</v>
      </c>
      <c r="K2407">
        <v>378828.11</v>
      </c>
      <c r="L2407" t="s">
        <v>5773</v>
      </c>
      <c r="M2407">
        <v>6</v>
      </c>
    </row>
    <row r="2408" spans="1:13" x14ac:dyDescent="0.25">
      <c r="A2408">
        <v>2407</v>
      </c>
      <c r="B2408" t="s">
        <v>2419</v>
      </c>
      <c r="C2408">
        <v>2</v>
      </c>
      <c r="D2408" t="s">
        <v>2947</v>
      </c>
      <c r="E2408" t="s">
        <v>2955</v>
      </c>
      <c r="F2408" t="s">
        <v>5215</v>
      </c>
      <c r="G2408" s="2">
        <v>45680</v>
      </c>
      <c r="H2408" s="2">
        <v>45694</v>
      </c>
      <c r="I2408" t="s">
        <v>5763</v>
      </c>
      <c r="J2408" t="s">
        <v>5772</v>
      </c>
      <c r="K2408">
        <v>32572.74</v>
      </c>
      <c r="L2408" t="s">
        <v>5774</v>
      </c>
      <c r="M2408">
        <v>14</v>
      </c>
    </row>
    <row r="2409" spans="1:13" x14ac:dyDescent="0.25">
      <c r="A2409">
        <v>2408</v>
      </c>
      <c r="B2409" t="s">
        <v>2420</v>
      </c>
      <c r="C2409">
        <v>42</v>
      </c>
      <c r="D2409" t="s">
        <v>2948</v>
      </c>
      <c r="E2409" t="s">
        <v>2953</v>
      </c>
      <c r="F2409" t="s">
        <v>5216</v>
      </c>
      <c r="G2409" s="2">
        <v>45631</v>
      </c>
      <c r="H2409" s="2">
        <v>45642</v>
      </c>
      <c r="I2409" t="s">
        <v>5758</v>
      </c>
      <c r="J2409" t="s">
        <v>5769</v>
      </c>
      <c r="K2409">
        <v>472942.43</v>
      </c>
      <c r="L2409" t="s">
        <v>5775</v>
      </c>
      <c r="M2409">
        <v>11</v>
      </c>
    </row>
    <row r="2410" spans="1:13" x14ac:dyDescent="0.25">
      <c r="A2410">
        <v>2409</v>
      </c>
      <c r="B2410" t="s">
        <v>2421</v>
      </c>
      <c r="C2410">
        <v>36</v>
      </c>
      <c r="D2410" t="s">
        <v>2947</v>
      </c>
      <c r="E2410" t="s">
        <v>2954</v>
      </c>
      <c r="F2410" t="s">
        <v>5217</v>
      </c>
      <c r="G2410" s="2">
        <v>45691</v>
      </c>
      <c r="H2410" s="2">
        <v>45706</v>
      </c>
      <c r="I2410" t="s">
        <v>5760</v>
      </c>
      <c r="J2410" t="s">
        <v>5768</v>
      </c>
      <c r="K2410">
        <v>24453.65</v>
      </c>
      <c r="L2410" t="s">
        <v>5775</v>
      </c>
      <c r="M2410">
        <v>15</v>
      </c>
    </row>
    <row r="2411" spans="1:13" x14ac:dyDescent="0.25">
      <c r="A2411">
        <v>2410</v>
      </c>
      <c r="B2411" t="s">
        <v>2422</v>
      </c>
      <c r="C2411">
        <v>14</v>
      </c>
      <c r="D2411" t="s">
        <v>2947</v>
      </c>
      <c r="E2411" t="s">
        <v>2949</v>
      </c>
      <c r="F2411" t="s">
        <v>3764</v>
      </c>
      <c r="G2411" s="2">
        <v>45601</v>
      </c>
      <c r="H2411" s="2">
        <v>45616</v>
      </c>
      <c r="I2411" t="s">
        <v>5762</v>
      </c>
      <c r="J2411" t="s">
        <v>5769</v>
      </c>
      <c r="K2411">
        <v>271170.74</v>
      </c>
      <c r="L2411" t="s">
        <v>5773</v>
      </c>
      <c r="M2411">
        <v>15</v>
      </c>
    </row>
    <row r="2412" spans="1:13" x14ac:dyDescent="0.25">
      <c r="A2412">
        <v>2411</v>
      </c>
      <c r="B2412" t="s">
        <v>2423</v>
      </c>
      <c r="C2412">
        <v>18</v>
      </c>
      <c r="D2412" t="s">
        <v>2947</v>
      </c>
      <c r="E2412" t="s">
        <v>2949</v>
      </c>
      <c r="F2412" t="s">
        <v>3868</v>
      </c>
      <c r="G2412" s="2">
        <v>45825</v>
      </c>
      <c r="H2412" s="2">
        <v>45833</v>
      </c>
      <c r="I2412" t="s">
        <v>5766</v>
      </c>
      <c r="J2412" t="s">
        <v>5771</v>
      </c>
      <c r="K2412">
        <v>103243.35</v>
      </c>
      <c r="L2412" t="s">
        <v>5774</v>
      </c>
      <c r="M2412">
        <v>8</v>
      </c>
    </row>
    <row r="2413" spans="1:13" x14ac:dyDescent="0.25">
      <c r="A2413">
        <v>2412</v>
      </c>
      <c r="B2413" t="s">
        <v>2424</v>
      </c>
      <c r="C2413">
        <v>69</v>
      </c>
      <c r="D2413" t="s">
        <v>2948</v>
      </c>
      <c r="E2413" t="s">
        <v>2949</v>
      </c>
      <c r="F2413" t="s">
        <v>5218</v>
      </c>
      <c r="G2413" s="2">
        <v>45740</v>
      </c>
      <c r="H2413" s="2">
        <v>45745</v>
      </c>
      <c r="I2413" t="s">
        <v>5763</v>
      </c>
      <c r="J2413" t="s">
        <v>5769</v>
      </c>
      <c r="K2413">
        <v>34197.279999999999</v>
      </c>
      <c r="L2413" t="s">
        <v>5774</v>
      </c>
      <c r="M2413">
        <v>5</v>
      </c>
    </row>
    <row r="2414" spans="1:13" x14ac:dyDescent="0.25">
      <c r="A2414">
        <v>2413</v>
      </c>
      <c r="B2414" t="s">
        <v>2425</v>
      </c>
      <c r="C2414">
        <v>38</v>
      </c>
      <c r="D2414" t="s">
        <v>2947</v>
      </c>
      <c r="E2414" t="s">
        <v>2950</v>
      </c>
      <c r="F2414" t="s">
        <v>5219</v>
      </c>
      <c r="G2414" s="2">
        <v>45727</v>
      </c>
      <c r="H2414" s="2">
        <v>45731</v>
      </c>
      <c r="I2414" t="s">
        <v>5765</v>
      </c>
      <c r="J2414" t="s">
        <v>5771</v>
      </c>
      <c r="K2414">
        <v>135443.47</v>
      </c>
      <c r="L2414" t="s">
        <v>5775</v>
      </c>
      <c r="M2414">
        <v>4</v>
      </c>
    </row>
    <row r="2415" spans="1:13" x14ac:dyDescent="0.25">
      <c r="A2415">
        <v>2414</v>
      </c>
      <c r="B2415" t="s">
        <v>2426</v>
      </c>
      <c r="C2415">
        <v>20</v>
      </c>
      <c r="D2415" t="s">
        <v>2948</v>
      </c>
      <c r="E2415" t="s">
        <v>2955</v>
      </c>
      <c r="F2415" t="s">
        <v>5220</v>
      </c>
      <c r="G2415" s="2">
        <v>45890</v>
      </c>
      <c r="H2415" s="2">
        <v>45903</v>
      </c>
      <c r="I2415" t="s">
        <v>5765</v>
      </c>
      <c r="J2415" t="s">
        <v>5772</v>
      </c>
      <c r="K2415">
        <v>183842.72</v>
      </c>
      <c r="L2415" t="s">
        <v>5774</v>
      </c>
      <c r="M2415">
        <v>13</v>
      </c>
    </row>
    <row r="2416" spans="1:13" x14ac:dyDescent="0.25">
      <c r="A2416">
        <v>2415</v>
      </c>
      <c r="B2416" t="s">
        <v>2427</v>
      </c>
      <c r="C2416">
        <v>30</v>
      </c>
      <c r="D2416" t="s">
        <v>2947</v>
      </c>
      <c r="E2416" t="s">
        <v>2949</v>
      </c>
      <c r="F2416" t="s">
        <v>5221</v>
      </c>
      <c r="G2416" s="2">
        <v>45816</v>
      </c>
      <c r="H2416" s="2">
        <v>45827</v>
      </c>
      <c r="I2416" t="s">
        <v>5761</v>
      </c>
      <c r="J2416" t="s">
        <v>5770</v>
      </c>
      <c r="K2416">
        <v>205611.61</v>
      </c>
      <c r="L2416" t="s">
        <v>5773</v>
      </c>
      <c r="M2416">
        <v>11</v>
      </c>
    </row>
    <row r="2417" spans="1:13" x14ac:dyDescent="0.25">
      <c r="A2417">
        <v>2416</v>
      </c>
      <c r="B2417" t="s">
        <v>2428</v>
      </c>
      <c r="C2417">
        <v>3</v>
      </c>
      <c r="D2417" t="s">
        <v>2947</v>
      </c>
      <c r="E2417" t="s">
        <v>2952</v>
      </c>
      <c r="F2417" t="s">
        <v>5222</v>
      </c>
      <c r="G2417" s="2">
        <v>45789</v>
      </c>
      <c r="H2417" s="2">
        <v>45802</v>
      </c>
      <c r="I2417" t="s">
        <v>5766</v>
      </c>
      <c r="J2417" t="s">
        <v>5769</v>
      </c>
      <c r="K2417">
        <v>144223.57999999999</v>
      </c>
      <c r="L2417" t="s">
        <v>5775</v>
      </c>
      <c r="M2417">
        <v>13</v>
      </c>
    </row>
    <row r="2418" spans="1:13" x14ac:dyDescent="0.25">
      <c r="A2418">
        <v>2417</v>
      </c>
      <c r="B2418" t="s">
        <v>2429</v>
      </c>
      <c r="C2418">
        <v>63</v>
      </c>
      <c r="D2418" t="s">
        <v>2947</v>
      </c>
      <c r="E2418" t="s">
        <v>2953</v>
      </c>
      <c r="F2418" t="s">
        <v>5223</v>
      </c>
      <c r="G2418" s="2">
        <v>45591</v>
      </c>
      <c r="H2418" s="2">
        <v>45603</v>
      </c>
      <c r="I2418" t="s">
        <v>5760</v>
      </c>
      <c r="J2418" t="s">
        <v>2949</v>
      </c>
      <c r="K2418">
        <v>348007.94</v>
      </c>
      <c r="L2418" t="s">
        <v>5773</v>
      </c>
      <c r="M2418">
        <v>12</v>
      </c>
    </row>
    <row r="2419" spans="1:13" x14ac:dyDescent="0.25">
      <c r="A2419">
        <v>2418</v>
      </c>
      <c r="B2419" t="s">
        <v>2430</v>
      </c>
      <c r="C2419">
        <v>22</v>
      </c>
      <c r="D2419" t="s">
        <v>2948</v>
      </c>
      <c r="E2419" t="s">
        <v>2952</v>
      </c>
      <c r="F2419" t="s">
        <v>5224</v>
      </c>
      <c r="G2419" s="2">
        <v>45875</v>
      </c>
      <c r="H2419" s="2">
        <v>45887</v>
      </c>
      <c r="I2419" t="s">
        <v>5760</v>
      </c>
      <c r="J2419" t="s">
        <v>5769</v>
      </c>
      <c r="K2419">
        <v>354556.7</v>
      </c>
      <c r="L2419" t="s">
        <v>5774</v>
      </c>
      <c r="M2419">
        <v>12</v>
      </c>
    </row>
    <row r="2420" spans="1:13" x14ac:dyDescent="0.25">
      <c r="A2420">
        <v>2419</v>
      </c>
      <c r="B2420" t="s">
        <v>2431</v>
      </c>
      <c r="C2420">
        <v>70</v>
      </c>
      <c r="D2420" t="s">
        <v>2947</v>
      </c>
      <c r="E2420" t="s">
        <v>2953</v>
      </c>
      <c r="F2420" t="s">
        <v>5225</v>
      </c>
      <c r="G2420" s="2">
        <v>45890</v>
      </c>
      <c r="H2420" s="2">
        <v>45891</v>
      </c>
      <c r="I2420" t="s">
        <v>5758</v>
      </c>
      <c r="J2420" t="s">
        <v>2949</v>
      </c>
      <c r="K2420">
        <v>114881.06</v>
      </c>
      <c r="L2420" t="s">
        <v>5775</v>
      </c>
      <c r="M2420">
        <v>1</v>
      </c>
    </row>
    <row r="2421" spans="1:13" x14ac:dyDescent="0.25">
      <c r="A2421">
        <v>2420</v>
      </c>
      <c r="B2421" t="s">
        <v>2432</v>
      </c>
      <c r="C2421">
        <v>36</v>
      </c>
      <c r="D2421" t="s">
        <v>2947</v>
      </c>
      <c r="E2421" t="s">
        <v>2954</v>
      </c>
      <c r="F2421" t="s">
        <v>5226</v>
      </c>
      <c r="G2421" s="2">
        <v>45786</v>
      </c>
      <c r="H2421" s="2">
        <v>45789</v>
      </c>
      <c r="I2421" t="s">
        <v>5767</v>
      </c>
      <c r="J2421" t="s">
        <v>5771</v>
      </c>
      <c r="K2421">
        <v>411935.83</v>
      </c>
      <c r="L2421" t="s">
        <v>5774</v>
      </c>
      <c r="M2421">
        <v>3</v>
      </c>
    </row>
    <row r="2422" spans="1:13" x14ac:dyDescent="0.25">
      <c r="A2422">
        <v>2421</v>
      </c>
      <c r="B2422" t="s">
        <v>2433</v>
      </c>
      <c r="C2422">
        <v>10</v>
      </c>
      <c r="D2422" t="s">
        <v>2948</v>
      </c>
      <c r="E2422" t="s">
        <v>2953</v>
      </c>
      <c r="F2422" t="s">
        <v>5227</v>
      </c>
      <c r="G2422" s="2">
        <v>45908</v>
      </c>
      <c r="H2422" s="2">
        <v>45915</v>
      </c>
      <c r="I2422" t="s">
        <v>5763</v>
      </c>
      <c r="J2422" t="s">
        <v>5771</v>
      </c>
      <c r="K2422">
        <v>317074.77</v>
      </c>
      <c r="L2422" t="s">
        <v>5774</v>
      </c>
      <c r="M2422">
        <v>7</v>
      </c>
    </row>
    <row r="2423" spans="1:13" x14ac:dyDescent="0.25">
      <c r="A2423">
        <v>2422</v>
      </c>
      <c r="B2423" t="s">
        <v>2434</v>
      </c>
      <c r="C2423">
        <v>49</v>
      </c>
      <c r="D2423" t="s">
        <v>2948</v>
      </c>
      <c r="E2423" t="s">
        <v>2955</v>
      </c>
      <c r="F2423" t="s">
        <v>5228</v>
      </c>
      <c r="G2423" s="2">
        <v>45832</v>
      </c>
      <c r="H2423" s="2">
        <v>45844</v>
      </c>
      <c r="I2423" t="s">
        <v>5767</v>
      </c>
      <c r="J2423" t="s">
        <v>5769</v>
      </c>
      <c r="K2423">
        <v>471736.32000000001</v>
      </c>
      <c r="L2423" t="s">
        <v>5774</v>
      </c>
      <c r="M2423">
        <v>12</v>
      </c>
    </row>
    <row r="2424" spans="1:13" x14ac:dyDescent="0.25">
      <c r="A2424">
        <v>2423</v>
      </c>
      <c r="B2424" t="s">
        <v>2435</v>
      </c>
      <c r="C2424">
        <v>25</v>
      </c>
      <c r="D2424" t="s">
        <v>2948</v>
      </c>
      <c r="E2424" t="s">
        <v>2954</v>
      </c>
      <c r="F2424" t="s">
        <v>5229</v>
      </c>
      <c r="G2424" s="2">
        <v>45668</v>
      </c>
      <c r="H2424" s="2">
        <v>45678</v>
      </c>
      <c r="I2424" t="s">
        <v>5759</v>
      </c>
      <c r="J2424" t="s">
        <v>5770</v>
      </c>
      <c r="K2424">
        <v>116955.95</v>
      </c>
      <c r="L2424" t="s">
        <v>5774</v>
      </c>
      <c r="M2424">
        <v>10</v>
      </c>
    </row>
    <row r="2425" spans="1:13" x14ac:dyDescent="0.25">
      <c r="A2425">
        <v>2424</v>
      </c>
      <c r="B2425" t="s">
        <v>2436</v>
      </c>
      <c r="C2425">
        <v>77</v>
      </c>
      <c r="D2425" t="s">
        <v>2948</v>
      </c>
      <c r="E2425" t="s">
        <v>2953</v>
      </c>
      <c r="F2425" t="s">
        <v>5230</v>
      </c>
      <c r="G2425" s="2">
        <v>45777</v>
      </c>
      <c r="H2425" s="2">
        <v>45781</v>
      </c>
      <c r="I2425" t="s">
        <v>5760</v>
      </c>
      <c r="J2425" t="s">
        <v>5772</v>
      </c>
      <c r="K2425">
        <v>461964.01</v>
      </c>
      <c r="L2425" t="s">
        <v>5775</v>
      </c>
      <c r="M2425">
        <v>4</v>
      </c>
    </row>
    <row r="2426" spans="1:13" x14ac:dyDescent="0.25">
      <c r="A2426">
        <v>2425</v>
      </c>
      <c r="B2426" t="s">
        <v>2437</v>
      </c>
      <c r="C2426">
        <v>56</v>
      </c>
      <c r="D2426" t="s">
        <v>2947</v>
      </c>
      <c r="E2426" t="s">
        <v>2954</v>
      </c>
      <c r="F2426" t="s">
        <v>5231</v>
      </c>
      <c r="G2426" s="2">
        <v>45894</v>
      </c>
      <c r="H2426" s="2">
        <v>45902</v>
      </c>
      <c r="I2426" t="s">
        <v>5763</v>
      </c>
      <c r="J2426" t="s">
        <v>5768</v>
      </c>
      <c r="K2426">
        <v>168333.65</v>
      </c>
      <c r="L2426" t="s">
        <v>5775</v>
      </c>
      <c r="M2426">
        <v>8</v>
      </c>
    </row>
    <row r="2427" spans="1:13" x14ac:dyDescent="0.25">
      <c r="A2427">
        <v>2426</v>
      </c>
      <c r="B2427" t="s">
        <v>2438</v>
      </c>
      <c r="C2427">
        <v>89</v>
      </c>
      <c r="D2427" t="s">
        <v>2948</v>
      </c>
      <c r="E2427" t="s">
        <v>2951</v>
      </c>
      <c r="F2427" t="s">
        <v>5232</v>
      </c>
      <c r="G2427" s="2">
        <v>45858</v>
      </c>
      <c r="H2427" s="2">
        <v>45863</v>
      </c>
      <c r="I2427" t="s">
        <v>5762</v>
      </c>
      <c r="J2427" t="s">
        <v>5771</v>
      </c>
      <c r="K2427">
        <v>390580.12</v>
      </c>
      <c r="L2427" t="s">
        <v>5775</v>
      </c>
      <c r="M2427">
        <v>5</v>
      </c>
    </row>
    <row r="2428" spans="1:13" x14ac:dyDescent="0.25">
      <c r="A2428">
        <v>2427</v>
      </c>
      <c r="B2428" t="s">
        <v>2439</v>
      </c>
      <c r="C2428">
        <v>8</v>
      </c>
      <c r="D2428" t="s">
        <v>2948</v>
      </c>
      <c r="E2428" t="s">
        <v>2953</v>
      </c>
      <c r="F2428" t="s">
        <v>5233</v>
      </c>
      <c r="G2428" s="2">
        <v>45819</v>
      </c>
      <c r="H2428" s="2">
        <v>45823</v>
      </c>
      <c r="I2428" t="s">
        <v>5760</v>
      </c>
      <c r="J2428" t="s">
        <v>5772</v>
      </c>
      <c r="K2428">
        <v>371508.17</v>
      </c>
      <c r="L2428" t="s">
        <v>5774</v>
      </c>
      <c r="M2428">
        <v>4</v>
      </c>
    </row>
    <row r="2429" spans="1:13" x14ac:dyDescent="0.25">
      <c r="A2429">
        <v>2428</v>
      </c>
      <c r="B2429" t="s">
        <v>2440</v>
      </c>
      <c r="C2429">
        <v>47</v>
      </c>
      <c r="D2429" t="s">
        <v>2947</v>
      </c>
      <c r="E2429" t="s">
        <v>2954</v>
      </c>
      <c r="F2429" t="s">
        <v>5234</v>
      </c>
      <c r="G2429" s="2">
        <v>45713</v>
      </c>
      <c r="H2429" s="2">
        <v>45720</v>
      </c>
      <c r="I2429" t="s">
        <v>5758</v>
      </c>
      <c r="J2429" t="s">
        <v>2949</v>
      </c>
      <c r="K2429">
        <v>347992.73</v>
      </c>
      <c r="L2429" t="s">
        <v>5775</v>
      </c>
      <c r="M2429">
        <v>7</v>
      </c>
    </row>
    <row r="2430" spans="1:13" x14ac:dyDescent="0.25">
      <c r="A2430">
        <v>2429</v>
      </c>
      <c r="B2430" t="s">
        <v>2441</v>
      </c>
      <c r="C2430">
        <v>52</v>
      </c>
      <c r="D2430" t="s">
        <v>2948</v>
      </c>
      <c r="E2430" t="s">
        <v>2951</v>
      </c>
      <c r="F2430" t="s">
        <v>5235</v>
      </c>
      <c r="G2430" s="2">
        <v>45720</v>
      </c>
      <c r="H2430" s="2">
        <v>45734</v>
      </c>
      <c r="I2430" t="s">
        <v>5761</v>
      </c>
      <c r="J2430" t="s">
        <v>2949</v>
      </c>
      <c r="K2430">
        <v>358471.98</v>
      </c>
      <c r="L2430" t="s">
        <v>5773</v>
      </c>
      <c r="M2430">
        <v>14</v>
      </c>
    </row>
    <row r="2431" spans="1:13" x14ac:dyDescent="0.25">
      <c r="A2431">
        <v>2430</v>
      </c>
      <c r="B2431" t="s">
        <v>2442</v>
      </c>
      <c r="C2431">
        <v>16</v>
      </c>
      <c r="D2431" t="s">
        <v>2947</v>
      </c>
      <c r="E2431" t="s">
        <v>2951</v>
      </c>
      <c r="F2431" t="s">
        <v>5236</v>
      </c>
      <c r="G2431" s="2">
        <v>45698</v>
      </c>
      <c r="H2431" s="2">
        <v>45700</v>
      </c>
      <c r="I2431" t="s">
        <v>5763</v>
      </c>
      <c r="J2431" t="s">
        <v>5769</v>
      </c>
      <c r="K2431">
        <v>35146.129999999997</v>
      </c>
      <c r="L2431" t="s">
        <v>5775</v>
      </c>
      <c r="M2431">
        <v>2</v>
      </c>
    </row>
    <row r="2432" spans="1:13" x14ac:dyDescent="0.25">
      <c r="A2432">
        <v>2431</v>
      </c>
      <c r="B2432" t="s">
        <v>2443</v>
      </c>
      <c r="C2432">
        <v>79</v>
      </c>
      <c r="D2432" t="s">
        <v>2947</v>
      </c>
      <c r="E2432" t="s">
        <v>2953</v>
      </c>
      <c r="F2432" t="s">
        <v>5237</v>
      </c>
      <c r="G2432" s="2">
        <v>45623</v>
      </c>
      <c r="H2432" s="2">
        <v>45625</v>
      </c>
      <c r="I2432" t="s">
        <v>5762</v>
      </c>
      <c r="J2432" t="s">
        <v>5769</v>
      </c>
      <c r="K2432">
        <v>479243.59</v>
      </c>
      <c r="L2432" t="s">
        <v>5775</v>
      </c>
      <c r="M2432">
        <v>2</v>
      </c>
    </row>
    <row r="2433" spans="1:13" x14ac:dyDescent="0.25">
      <c r="A2433">
        <v>2432</v>
      </c>
      <c r="B2433" t="s">
        <v>2444</v>
      </c>
      <c r="C2433">
        <v>51</v>
      </c>
      <c r="D2433" t="s">
        <v>2947</v>
      </c>
      <c r="E2433" t="s">
        <v>2953</v>
      </c>
      <c r="F2433" t="s">
        <v>5238</v>
      </c>
      <c r="G2433" s="2">
        <v>45583</v>
      </c>
      <c r="H2433" s="2">
        <v>45591</v>
      </c>
      <c r="I2433" t="s">
        <v>5761</v>
      </c>
      <c r="J2433" t="s">
        <v>5771</v>
      </c>
      <c r="K2433">
        <v>183288.38</v>
      </c>
      <c r="L2433" t="s">
        <v>5773</v>
      </c>
      <c r="M2433">
        <v>8</v>
      </c>
    </row>
    <row r="2434" spans="1:13" x14ac:dyDescent="0.25">
      <c r="A2434">
        <v>2433</v>
      </c>
      <c r="B2434" t="s">
        <v>2445</v>
      </c>
      <c r="C2434">
        <v>16</v>
      </c>
      <c r="D2434" t="s">
        <v>2948</v>
      </c>
      <c r="E2434" t="s">
        <v>2951</v>
      </c>
      <c r="F2434" t="s">
        <v>5239</v>
      </c>
      <c r="G2434" s="2">
        <v>45874</v>
      </c>
      <c r="H2434" s="2">
        <v>45881</v>
      </c>
      <c r="I2434" t="s">
        <v>5760</v>
      </c>
      <c r="J2434" t="s">
        <v>5772</v>
      </c>
      <c r="K2434">
        <v>482051.86</v>
      </c>
      <c r="L2434" t="s">
        <v>5773</v>
      </c>
      <c r="M2434">
        <v>7</v>
      </c>
    </row>
    <row r="2435" spans="1:13" x14ac:dyDescent="0.25">
      <c r="A2435">
        <v>2434</v>
      </c>
      <c r="B2435" t="s">
        <v>2446</v>
      </c>
      <c r="C2435">
        <v>83</v>
      </c>
      <c r="D2435" t="s">
        <v>2948</v>
      </c>
      <c r="E2435" t="s">
        <v>2953</v>
      </c>
      <c r="F2435" t="s">
        <v>5240</v>
      </c>
      <c r="G2435" s="2">
        <v>45554</v>
      </c>
      <c r="H2435" s="2">
        <v>45559</v>
      </c>
      <c r="I2435" t="s">
        <v>5761</v>
      </c>
      <c r="J2435" t="s">
        <v>5772</v>
      </c>
      <c r="K2435">
        <v>164833.9</v>
      </c>
      <c r="L2435" t="s">
        <v>5775</v>
      </c>
      <c r="M2435">
        <v>5</v>
      </c>
    </row>
    <row r="2436" spans="1:13" x14ac:dyDescent="0.25">
      <c r="A2436">
        <v>2435</v>
      </c>
      <c r="B2436" t="s">
        <v>2447</v>
      </c>
      <c r="C2436">
        <v>56</v>
      </c>
      <c r="D2436" t="s">
        <v>2947</v>
      </c>
      <c r="E2436" t="s">
        <v>2952</v>
      </c>
      <c r="F2436" t="s">
        <v>5241</v>
      </c>
      <c r="G2436" s="2">
        <v>45589</v>
      </c>
      <c r="H2436" s="2">
        <v>45604</v>
      </c>
      <c r="I2436" t="s">
        <v>5764</v>
      </c>
      <c r="J2436" t="s">
        <v>5770</v>
      </c>
      <c r="K2436">
        <v>29557.62</v>
      </c>
      <c r="L2436" t="s">
        <v>5774</v>
      </c>
      <c r="M2436">
        <v>15</v>
      </c>
    </row>
    <row r="2437" spans="1:13" x14ac:dyDescent="0.25">
      <c r="A2437">
        <v>2436</v>
      </c>
      <c r="B2437" t="s">
        <v>2448</v>
      </c>
      <c r="C2437">
        <v>66</v>
      </c>
      <c r="D2437" t="s">
        <v>2947</v>
      </c>
      <c r="E2437" t="s">
        <v>2951</v>
      </c>
      <c r="F2437" t="s">
        <v>5242</v>
      </c>
      <c r="G2437" s="2">
        <v>45752</v>
      </c>
      <c r="H2437" s="2">
        <v>45759</v>
      </c>
      <c r="I2437" t="s">
        <v>5761</v>
      </c>
      <c r="J2437" t="s">
        <v>5771</v>
      </c>
      <c r="K2437">
        <v>90529.25</v>
      </c>
      <c r="L2437" t="s">
        <v>5775</v>
      </c>
      <c r="M2437">
        <v>7</v>
      </c>
    </row>
    <row r="2438" spans="1:13" x14ac:dyDescent="0.25">
      <c r="A2438">
        <v>2437</v>
      </c>
      <c r="B2438" t="s">
        <v>2449</v>
      </c>
      <c r="C2438">
        <v>20</v>
      </c>
      <c r="D2438" t="s">
        <v>2947</v>
      </c>
      <c r="E2438" t="s">
        <v>2954</v>
      </c>
      <c r="F2438" t="s">
        <v>5243</v>
      </c>
      <c r="G2438" s="2">
        <v>45753</v>
      </c>
      <c r="H2438" s="2">
        <v>45768</v>
      </c>
      <c r="I2438" t="s">
        <v>5765</v>
      </c>
      <c r="J2438" t="s">
        <v>5772</v>
      </c>
      <c r="K2438">
        <v>60921.66</v>
      </c>
      <c r="L2438" t="s">
        <v>5773</v>
      </c>
      <c r="M2438">
        <v>15</v>
      </c>
    </row>
    <row r="2439" spans="1:13" x14ac:dyDescent="0.25">
      <c r="A2439">
        <v>2438</v>
      </c>
      <c r="B2439" t="s">
        <v>2450</v>
      </c>
      <c r="C2439">
        <v>39</v>
      </c>
      <c r="D2439" t="s">
        <v>2947</v>
      </c>
      <c r="E2439" t="s">
        <v>2952</v>
      </c>
      <c r="F2439" t="s">
        <v>5244</v>
      </c>
      <c r="G2439" s="2">
        <v>45703</v>
      </c>
      <c r="H2439" s="2">
        <v>45713</v>
      </c>
      <c r="I2439" t="s">
        <v>5759</v>
      </c>
      <c r="J2439" t="s">
        <v>5768</v>
      </c>
      <c r="K2439">
        <v>408599.95</v>
      </c>
      <c r="L2439" t="s">
        <v>5775</v>
      </c>
      <c r="M2439">
        <v>10</v>
      </c>
    </row>
    <row r="2440" spans="1:13" x14ac:dyDescent="0.25">
      <c r="A2440">
        <v>2439</v>
      </c>
      <c r="B2440" t="s">
        <v>2451</v>
      </c>
      <c r="C2440">
        <v>90</v>
      </c>
      <c r="D2440" t="s">
        <v>2948</v>
      </c>
      <c r="E2440" t="s">
        <v>2950</v>
      </c>
      <c r="F2440" t="s">
        <v>5245</v>
      </c>
      <c r="G2440" s="2">
        <v>45907</v>
      </c>
      <c r="H2440" s="2">
        <v>45912</v>
      </c>
      <c r="I2440" t="s">
        <v>5763</v>
      </c>
      <c r="J2440" t="s">
        <v>5771</v>
      </c>
      <c r="K2440">
        <v>480396.68</v>
      </c>
      <c r="L2440" t="s">
        <v>5774</v>
      </c>
      <c r="M2440">
        <v>5</v>
      </c>
    </row>
    <row r="2441" spans="1:13" x14ac:dyDescent="0.25">
      <c r="A2441">
        <v>2440</v>
      </c>
      <c r="B2441" t="s">
        <v>2452</v>
      </c>
      <c r="C2441">
        <v>48</v>
      </c>
      <c r="D2441" t="s">
        <v>2947</v>
      </c>
      <c r="E2441" t="s">
        <v>2952</v>
      </c>
      <c r="F2441" t="s">
        <v>5246</v>
      </c>
      <c r="G2441" s="2">
        <v>45638</v>
      </c>
      <c r="H2441" s="2">
        <v>45645</v>
      </c>
      <c r="I2441" t="s">
        <v>5762</v>
      </c>
      <c r="J2441" t="s">
        <v>5770</v>
      </c>
      <c r="K2441">
        <v>471003.43</v>
      </c>
      <c r="L2441" t="s">
        <v>5775</v>
      </c>
      <c r="M2441">
        <v>7</v>
      </c>
    </row>
    <row r="2442" spans="1:13" x14ac:dyDescent="0.25">
      <c r="A2442">
        <v>2441</v>
      </c>
      <c r="B2442" t="s">
        <v>2453</v>
      </c>
      <c r="C2442">
        <v>16</v>
      </c>
      <c r="D2442" t="s">
        <v>2948</v>
      </c>
      <c r="E2442" t="s">
        <v>2953</v>
      </c>
      <c r="F2442" t="s">
        <v>5247</v>
      </c>
      <c r="G2442" s="2">
        <v>45781</v>
      </c>
      <c r="H2442" s="2">
        <v>45787</v>
      </c>
      <c r="I2442" t="s">
        <v>5759</v>
      </c>
      <c r="J2442" t="s">
        <v>5772</v>
      </c>
      <c r="K2442">
        <v>277998.77</v>
      </c>
      <c r="L2442" t="s">
        <v>5775</v>
      </c>
      <c r="M2442">
        <v>6</v>
      </c>
    </row>
    <row r="2443" spans="1:13" x14ac:dyDescent="0.25">
      <c r="A2443">
        <v>2442</v>
      </c>
      <c r="B2443" t="s">
        <v>2454</v>
      </c>
      <c r="C2443">
        <v>62</v>
      </c>
      <c r="D2443" t="s">
        <v>2948</v>
      </c>
      <c r="E2443" t="s">
        <v>2949</v>
      </c>
      <c r="F2443" t="s">
        <v>5248</v>
      </c>
      <c r="G2443" s="2">
        <v>45839</v>
      </c>
      <c r="H2443" s="2">
        <v>45844</v>
      </c>
      <c r="I2443" t="s">
        <v>5763</v>
      </c>
      <c r="J2443" t="s">
        <v>5772</v>
      </c>
      <c r="K2443">
        <v>38786.17</v>
      </c>
      <c r="L2443" t="s">
        <v>5775</v>
      </c>
      <c r="M2443">
        <v>5</v>
      </c>
    </row>
    <row r="2444" spans="1:13" x14ac:dyDescent="0.25">
      <c r="A2444">
        <v>2443</v>
      </c>
      <c r="B2444" t="s">
        <v>2455</v>
      </c>
      <c r="C2444">
        <v>37</v>
      </c>
      <c r="D2444" t="s">
        <v>2948</v>
      </c>
      <c r="E2444" t="s">
        <v>2950</v>
      </c>
      <c r="F2444" t="s">
        <v>5249</v>
      </c>
      <c r="G2444" s="2">
        <v>45859</v>
      </c>
      <c r="H2444" s="2">
        <v>45861</v>
      </c>
      <c r="I2444" t="s">
        <v>5764</v>
      </c>
      <c r="J2444" t="s">
        <v>5769</v>
      </c>
      <c r="K2444">
        <v>53898.34</v>
      </c>
      <c r="L2444" t="s">
        <v>5773</v>
      </c>
      <c r="M2444">
        <v>2</v>
      </c>
    </row>
    <row r="2445" spans="1:13" x14ac:dyDescent="0.25">
      <c r="A2445">
        <v>2444</v>
      </c>
      <c r="B2445" t="s">
        <v>2456</v>
      </c>
      <c r="C2445">
        <v>55</v>
      </c>
      <c r="D2445" t="s">
        <v>2948</v>
      </c>
      <c r="E2445" t="s">
        <v>2950</v>
      </c>
      <c r="F2445" t="s">
        <v>5250</v>
      </c>
      <c r="G2445" s="2">
        <v>45720</v>
      </c>
      <c r="H2445" s="2">
        <v>45734</v>
      </c>
      <c r="I2445" t="s">
        <v>5763</v>
      </c>
      <c r="J2445" t="s">
        <v>5772</v>
      </c>
      <c r="K2445">
        <v>405600.36</v>
      </c>
      <c r="L2445" t="s">
        <v>5775</v>
      </c>
      <c r="M2445">
        <v>14</v>
      </c>
    </row>
    <row r="2446" spans="1:13" x14ac:dyDescent="0.25">
      <c r="A2446">
        <v>2445</v>
      </c>
      <c r="B2446" t="s">
        <v>2457</v>
      </c>
      <c r="C2446">
        <v>22</v>
      </c>
      <c r="D2446" t="s">
        <v>2947</v>
      </c>
      <c r="E2446" t="s">
        <v>2955</v>
      </c>
      <c r="F2446" t="s">
        <v>5251</v>
      </c>
      <c r="G2446" s="2">
        <v>45632</v>
      </c>
      <c r="H2446" s="2">
        <v>45633</v>
      </c>
      <c r="I2446" t="s">
        <v>5763</v>
      </c>
      <c r="J2446" t="s">
        <v>5769</v>
      </c>
      <c r="K2446">
        <v>246127.32</v>
      </c>
      <c r="L2446" t="s">
        <v>5774</v>
      </c>
      <c r="M2446">
        <v>1</v>
      </c>
    </row>
    <row r="2447" spans="1:13" x14ac:dyDescent="0.25">
      <c r="A2447">
        <v>2446</v>
      </c>
      <c r="B2447" t="s">
        <v>2458</v>
      </c>
      <c r="C2447">
        <v>79</v>
      </c>
      <c r="D2447" t="s">
        <v>2948</v>
      </c>
      <c r="E2447" t="s">
        <v>2955</v>
      </c>
      <c r="F2447" t="s">
        <v>5252</v>
      </c>
      <c r="G2447" s="2">
        <v>45858</v>
      </c>
      <c r="H2447" s="2">
        <v>45869</v>
      </c>
      <c r="I2447" t="s">
        <v>5763</v>
      </c>
      <c r="J2447" t="s">
        <v>5770</v>
      </c>
      <c r="K2447">
        <v>10916.45</v>
      </c>
      <c r="L2447" t="s">
        <v>5774</v>
      </c>
      <c r="M2447">
        <v>11</v>
      </c>
    </row>
    <row r="2448" spans="1:13" x14ac:dyDescent="0.25">
      <c r="A2448">
        <v>2447</v>
      </c>
      <c r="B2448" t="s">
        <v>2459</v>
      </c>
      <c r="C2448">
        <v>16</v>
      </c>
      <c r="D2448" t="s">
        <v>2948</v>
      </c>
      <c r="E2448" t="s">
        <v>2949</v>
      </c>
      <c r="F2448" t="s">
        <v>5253</v>
      </c>
      <c r="G2448" s="2">
        <v>45611</v>
      </c>
      <c r="H2448" s="2">
        <v>45613</v>
      </c>
      <c r="I2448" t="s">
        <v>5761</v>
      </c>
      <c r="J2448" t="s">
        <v>5771</v>
      </c>
      <c r="K2448">
        <v>373830.42</v>
      </c>
      <c r="L2448" t="s">
        <v>5774</v>
      </c>
      <c r="M2448">
        <v>2</v>
      </c>
    </row>
    <row r="2449" spans="1:13" x14ac:dyDescent="0.25">
      <c r="A2449">
        <v>2448</v>
      </c>
      <c r="B2449" t="s">
        <v>2460</v>
      </c>
      <c r="C2449">
        <v>23</v>
      </c>
      <c r="D2449" t="s">
        <v>2947</v>
      </c>
      <c r="E2449" t="s">
        <v>2952</v>
      </c>
      <c r="F2449" t="s">
        <v>4019</v>
      </c>
      <c r="G2449" s="2">
        <v>45689</v>
      </c>
      <c r="H2449" s="2">
        <v>45695</v>
      </c>
      <c r="I2449" t="s">
        <v>5759</v>
      </c>
      <c r="J2449" t="s">
        <v>5771</v>
      </c>
      <c r="K2449">
        <v>202382.18</v>
      </c>
      <c r="L2449" t="s">
        <v>5774</v>
      </c>
      <c r="M2449">
        <v>6</v>
      </c>
    </row>
    <row r="2450" spans="1:13" x14ac:dyDescent="0.25">
      <c r="A2450">
        <v>2449</v>
      </c>
      <c r="B2450" t="s">
        <v>2461</v>
      </c>
      <c r="C2450">
        <v>68</v>
      </c>
      <c r="D2450" t="s">
        <v>2947</v>
      </c>
      <c r="E2450" t="s">
        <v>2949</v>
      </c>
      <c r="F2450" t="s">
        <v>5254</v>
      </c>
      <c r="G2450" s="2">
        <v>45687</v>
      </c>
      <c r="H2450" s="2">
        <v>45690</v>
      </c>
      <c r="I2450" t="s">
        <v>5763</v>
      </c>
      <c r="J2450" t="s">
        <v>5770</v>
      </c>
      <c r="K2450">
        <v>271747.65000000002</v>
      </c>
      <c r="L2450" t="s">
        <v>5773</v>
      </c>
      <c r="M2450">
        <v>3</v>
      </c>
    </row>
    <row r="2451" spans="1:13" x14ac:dyDescent="0.25">
      <c r="A2451">
        <v>2450</v>
      </c>
      <c r="B2451" t="s">
        <v>2462</v>
      </c>
      <c r="C2451">
        <v>30</v>
      </c>
      <c r="D2451" t="s">
        <v>2948</v>
      </c>
      <c r="E2451" t="s">
        <v>2955</v>
      </c>
      <c r="F2451" t="s">
        <v>5255</v>
      </c>
      <c r="G2451" s="2">
        <v>45659</v>
      </c>
      <c r="H2451" s="2">
        <v>45670</v>
      </c>
      <c r="I2451" t="s">
        <v>5767</v>
      </c>
      <c r="J2451" t="s">
        <v>5769</v>
      </c>
      <c r="K2451">
        <v>21559.279999999999</v>
      </c>
      <c r="L2451" t="s">
        <v>5774</v>
      </c>
      <c r="M2451">
        <v>11</v>
      </c>
    </row>
    <row r="2452" spans="1:13" x14ac:dyDescent="0.25">
      <c r="A2452">
        <v>2451</v>
      </c>
      <c r="B2452" t="s">
        <v>2463</v>
      </c>
      <c r="C2452">
        <v>37</v>
      </c>
      <c r="D2452" t="s">
        <v>2947</v>
      </c>
      <c r="E2452" t="s">
        <v>2951</v>
      </c>
      <c r="F2452" t="s">
        <v>5256</v>
      </c>
      <c r="G2452" s="2">
        <v>45743</v>
      </c>
      <c r="H2452" s="2">
        <v>45744</v>
      </c>
      <c r="I2452" t="s">
        <v>5761</v>
      </c>
      <c r="J2452" t="s">
        <v>5769</v>
      </c>
      <c r="K2452">
        <v>180473.87</v>
      </c>
      <c r="L2452" t="s">
        <v>5775</v>
      </c>
      <c r="M2452">
        <v>1</v>
      </c>
    </row>
    <row r="2453" spans="1:13" x14ac:dyDescent="0.25">
      <c r="A2453">
        <v>2452</v>
      </c>
      <c r="B2453" t="s">
        <v>2464</v>
      </c>
      <c r="C2453">
        <v>76</v>
      </c>
      <c r="D2453" t="s">
        <v>2947</v>
      </c>
      <c r="E2453" t="s">
        <v>2954</v>
      </c>
      <c r="F2453" t="s">
        <v>5257</v>
      </c>
      <c r="G2453" s="2">
        <v>45762</v>
      </c>
      <c r="H2453" s="2">
        <v>45769</v>
      </c>
      <c r="I2453" t="s">
        <v>5765</v>
      </c>
      <c r="J2453" t="s">
        <v>5769</v>
      </c>
      <c r="K2453">
        <v>189863.47</v>
      </c>
      <c r="L2453" t="s">
        <v>5774</v>
      </c>
      <c r="M2453">
        <v>7</v>
      </c>
    </row>
    <row r="2454" spans="1:13" x14ac:dyDescent="0.25">
      <c r="A2454">
        <v>2453</v>
      </c>
      <c r="B2454" t="s">
        <v>2465</v>
      </c>
      <c r="C2454">
        <v>62</v>
      </c>
      <c r="D2454" t="s">
        <v>2947</v>
      </c>
      <c r="E2454" t="s">
        <v>2955</v>
      </c>
      <c r="F2454" t="s">
        <v>5258</v>
      </c>
      <c r="G2454" s="2">
        <v>45592</v>
      </c>
      <c r="H2454" s="2">
        <v>45602</v>
      </c>
      <c r="I2454" t="s">
        <v>5761</v>
      </c>
      <c r="J2454" t="s">
        <v>5769</v>
      </c>
      <c r="K2454">
        <v>306336.2</v>
      </c>
      <c r="L2454" t="s">
        <v>5774</v>
      </c>
      <c r="M2454">
        <v>10</v>
      </c>
    </row>
    <row r="2455" spans="1:13" x14ac:dyDescent="0.25">
      <c r="A2455">
        <v>2454</v>
      </c>
      <c r="B2455" t="s">
        <v>2466</v>
      </c>
      <c r="C2455">
        <v>26</v>
      </c>
      <c r="D2455" t="s">
        <v>2947</v>
      </c>
      <c r="E2455" t="s">
        <v>2953</v>
      </c>
      <c r="F2455" t="s">
        <v>5259</v>
      </c>
      <c r="G2455" s="2">
        <v>45618</v>
      </c>
      <c r="H2455" s="2">
        <v>45621</v>
      </c>
      <c r="I2455" t="s">
        <v>5761</v>
      </c>
      <c r="J2455" t="s">
        <v>5768</v>
      </c>
      <c r="K2455">
        <v>112699.32</v>
      </c>
      <c r="L2455" t="s">
        <v>5773</v>
      </c>
      <c r="M2455">
        <v>3</v>
      </c>
    </row>
    <row r="2456" spans="1:13" x14ac:dyDescent="0.25">
      <c r="A2456">
        <v>2455</v>
      </c>
      <c r="B2456" t="s">
        <v>2467</v>
      </c>
      <c r="C2456">
        <v>14</v>
      </c>
      <c r="D2456" t="s">
        <v>2948</v>
      </c>
      <c r="E2456" t="s">
        <v>2954</v>
      </c>
      <c r="F2456" t="s">
        <v>5260</v>
      </c>
      <c r="G2456" s="2">
        <v>45646</v>
      </c>
      <c r="H2456" s="2">
        <v>45661</v>
      </c>
      <c r="I2456" t="s">
        <v>5759</v>
      </c>
      <c r="J2456" t="s">
        <v>5771</v>
      </c>
      <c r="K2456">
        <v>159545.73000000001</v>
      </c>
      <c r="L2456" t="s">
        <v>5774</v>
      </c>
      <c r="M2456">
        <v>15</v>
      </c>
    </row>
    <row r="2457" spans="1:13" x14ac:dyDescent="0.25">
      <c r="A2457">
        <v>2456</v>
      </c>
      <c r="B2457" t="s">
        <v>2468</v>
      </c>
      <c r="C2457">
        <v>81</v>
      </c>
      <c r="D2457" t="s">
        <v>2947</v>
      </c>
      <c r="E2457" t="s">
        <v>2953</v>
      </c>
      <c r="F2457" t="s">
        <v>815</v>
      </c>
      <c r="G2457" s="2">
        <v>45612</v>
      </c>
      <c r="H2457" s="2">
        <v>45622</v>
      </c>
      <c r="I2457" t="s">
        <v>5760</v>
      </c>
      <c r="J2457" t="s">
        <v>5770</v>
      </c>
      <c r="K2457">
        <v>28815.88</v>
      </c>
      <c r="L2457" t="s">
        <v>5774</v>
      </c>
      <c r="M2457">
        <v>10</v>
      </c>
    </row>
    <row r="2458" spans="1:13" x14ac:dyDescent="0.25">
      <c r="A2458">
        <v>2457</v>
      </c>
      <c r="B2458" t="s">
        <v>2469</v>
      </c>
      <c r="C2458">
        <v>83</v>
      </c>
      <c r="D2458" t="s">
        <v>2948</v>
      </c>
      <c r="E2458" t="s">
        <v>2954</v>
      </c>
      <c r="F2458" t="s">
        <v>5261</v>
      </c>
      <c r="G2458" s="2">
        <v>45675</v>
      </c>
      <c r="H2458" s="2">
        <v>45682</v>
      </c>
      <c r="I2458" t="s">
        <v>5767</v>
      </c>
      <c r="J2458" t="s">
        <v>2949</v>
      </c>
      <c r="K2458">
        <v>316913.59999999998</v>
      </c>
      <c r="L2458" t="s">
        <v>5773</v>
      </c>
      <c r="M2458">
        <v>7</v>
      </c>
    </row>
    <row r="2459" spans="1:13" x14ac:dyDescent="0.25">
      <c r="A2459">
        <v>2458</v>
      </c>
      <c r="B2459" t="s">
        <v>2470</v>
      </c>
      <c r="C2459">
        <v>38</v>
      </c>
      <c r="D2459" t="s">
        <v>2947</v>
      </c>
      <c r="E2459" t="s">
        <v>2955</v>
      </c>
      <c r="F2459" t="s">
        <v>5262</v>
      </c>
      <c r="G2459" s="2">
        <v>45910</v>
      </c>
      <c r="H2459" s="2">
        <v>45923</v>
      </c>
      <c r="I2459" t="s">
        <v>5767</v>
      </c>
      <c r="J2459" t="s">
        <v>5772</v>
      </c>
      <c r="K2459">
        <v>149302.21</v>
      </c>
      <c r="L2459" t="s">
        <v>5774</v>
      </c>
      <c r="M2459">
        <v>13</v>
      </c>
    </row>
    <row r="2460" spans="1:13" x14ac:dyDescent="0.25">
      <c r="A2460">
        <v>2459</v>
      </c>
      <c r="B2460" t="s">
        <v>2471</v>
      </c>
      <c r="C2460">
        <v>38</v>
      </c>
      <c r="D2460" t="s">
        <v>2948</v>
      </c>
      <c r="E2460" t="s">
        <v>2951</v>
      </c>
      <c r="F2460" t="s">
        <v>5263</v>
      </c>
      <c r="G2460" s="2">
        <v>45747</v>
      </c>
      <c r="H2460" s="2">
        <v>45752</v>
      </c>
      <c r="I2460" t="s">
        <v>5767</v>
      </c>
      <c r="J2460" t="s">
        <v>5772</v>
      </c>
      <c r="K2460">
        <v>334535.37</v>
      </c>
      <c r="L2460" t="s">
        <v>5775</v>
      </c>
      <c r="M2460">
        <v>5</v>
      </c>
    </row>
    <row r="2461" spans="1:13" x14ac:dyDescent="0.25">
      <c r="A2461">
        <v>2460</v>
      </c>
      <c r="B2461" t="s">
        <v>2472</v>
      </c>
      <c r="C2461">
        <v>44</v>
      </c>
      <c r="D2461" t="s">
        <v>2948</v>
      </c>
      <c r="E2461" t="s">
        <v>2951</v>
      </c>
      <c r="F2461" t="s">
        <v>5264</v>
      </c>
      <c r="G2461" s="2">
        <v>45897</v>
      </c>
      <c r="H2461" s="2">
        <v>45903</v>
      </c>
      <c r="I2461" t="s">
        <v>5765</v>
      </c>
      <c r="J2461" t="s">
        <v>5770</v>
      </c>
      <c r="K2461">
        <v>343374.47</v>
      </c>
      <c r="L2461" t="s">
        <v>5774</v>
      </c>
      <c r="M2461">
        <v>6</v>
      </c>
    </row>
    <row r="2462" spans="1:13" x14ac:dyDescent="0.25">
      <c r="A2462">
        <v>2461</v>
      </c>
      <c r="B2462" t="s">
        <v>2473</v>
      </c>
      <c r="C2462">
        <v>30</v>
      </c>
      <c r="D2462" t="s">
        <v>2947</v>
      </c>
      <c r="E2462" t="s">
        <v>2953</v>
      </c>
      <c r="F2462" t="s">
        <v>903</v>
      </c>
      <c r="G2462" s="2">
        <v>45847</v>
      </c>
      <c r="H2462" s="2">
        <v>45857</v>
      </c>
      <c r="I2462" t="s">
        <v>5763</v>
      </c>
      <c r="J2462" t="s">
        <v>5769</v>
      </c>
      <c r="K2462">
        <v>358192.3</v>
      </c>
      <c r="L2462" t="s">
        <v>5773</v>
      </c>
      <c r="M2462">
        <v>10</v>
      </c>
    </row>
    <row r="2463" spans="1:13" x14ac:dyDescent="0.25">
      <c r="A2463">
        <v>2462</v>
      </c>
      <c r="B2463" t="s">
        <v>2474</v>
      </c>
      <c r="C2463">
        <v>4</v>
      </c>
      <c r="D2463" t="s">
        <v>2948</v>
      </c>
      <c r="E2463" t="s">
        <v>2952</v>
      </c>
      <c r="F2463" t="s">
        <v>5265</v>
      </c>
      <c r="G2463" s="2">
        <v>45801</v>
      </c>
      <c r="H2463" s="2">
        <v>45805</v>
      </c>
      <c r="I2463" t="s">
        <v>5766</v>
      </c>
      <c r="J2463" t="s">
        <v>5769</v>
      </c>
      <c r="K2463">
        <v>122932.17</v>
      </c>
      <c r="L2463" t="s">
        <v>5773</v>
      </c>
      <c r="M2463">
        <v>4</v>
      </c>
    </row>
    <row r="2464" spans="1:13" x14ac:dyDescent="0.25">
      <c r="A2464">
        <v>2463</v>
      </c>
      <c r="B2464" t="s">
        <v>2475</v>
      </c>
      <c r="C2464">
        <v>68</v>
      </c>
      <c r="D2464" t="s">
        <v>2947</v>
      </c>
      <c r="E2464" t="s">
        <v>2949</v>
      </c>
      <c r="F2464" t="s">
        <v>5266</v>
      </c>
      <c r="G2464" s="2">
        <v>45865</v>
      </c>
      <c r="H2464" s="2">
        <v>45878</v>
      </c>
      <c r="I2464" t="s">
        <v>5759</v>
      </c>
      <c r="J2464" t="s">
        <v>5771</v>
      </c>
      <c r="K2464">
        <v>50530.19</v>
      </c>
      <c r="L2464" t="s">
        <v>5773</v>
      </c>
      <c r="M2464">
        <v>13</v>
      </c>
    </row>
    <row r="2465" spans="1:13" x14ac:dyDescent="0.25">
      <c r="A2465">
        <v>2464</v>
      </c>
      <c r="B2465" t="s">
        <v>2476</v>
      </c>
      <c r="C2465">
        <v>73</v>
      </c>
      <c r="D2465" t="s">
        <v>2947</v>
      </c>
      <c r="E2465" t="s">
        <v>2951</v>
      </c>
      <c r="F2465" t="s">
        <v>5267</v>
      </c>
      <c r="G2465" s="2">
        <v>45823</v>
      </c>
      <c r="H2465" s="2">
        <v>45835</v>
      </c>
      <c r="I2465" t="s">
        <v>5760</v>
      </c>
      <c r="J2465" t="s">
        <v>5768</v>
      </c>
      <c r="K2465">
        <v>353487.93</v>
      </c>
      <c r="L2465" t="s">
        <v>5774</v>
      </c>
      <c r="M2465">
        <v>12</v>
      </c>
    </row>
    <row r="2466" spans="1:13" x14ac:dyDescent="0.25">
      <c r="A2466">
        <v>2465</v>
      </c>
      <c r="B2466" t="s">
        <v>2477</v>
      </c>
      <c r="C2466">
        <v>3</v>
      </c>
      <c r="D2466" t="s">
        <v>2948</v>
      </c>
      <c r="E2466" t="s">
        <v>2954</v>
      </c>
      <c r="F2466" t="s">
        <v>5268</v>
      </c>
      <c r="G2466" s="2">
        <v>45603</v>
      </c>
      <c r="H2466" s="2">
        <v>45616</v>
      </c>
      <c r="I2466" t="s">
        <v>5759</v>
      </c>
      <c r="J2466" t="s">
        <v>2949</v>
      </c>
      <c r="K2466">
        <v>305212.62</v>
      </c>
      <c r="L2466" t="s">
        <v>5775</v>
      </c>
      <c r="M2466">
        <v>13</v>
      </c>
    </row>
    <row r="2467" spans="1:13" x14ac:dyDescent="0.25">
      <c r="A2467">
        <v>2466</v>
      </c>
      <c r="B2467" t="s">
        <v>2478</v>
      </c>
      <c r="C2467">
        <v>57</v>
      </c>
      <c r="D2467" t="s">
        <v>2948</v>
      </c>
      <c r="E2467" t="s">
        <v>2955</v>
      </c>
      <c r="F2467" t="s">
        <v>5269</v>
      </c>
      <c r="G2467" s="2">
        <v>45791</v>
      </c>
      <c r="H2467" s="2">
        <v>45796</v>
      </c>
      <c r="I2467" t="s">
        <v>5761</v>
      </c>
      <c r="J2467" t="s">
        <v>5772</v>
      </c>
      <c r="K2467">
        <v>91175.81</v>
      </c>
      <c r="L2467" t="s">
        <v>5773</v>
      </c>
      <c r="M2467">
        <v>5</v>
      </c>
    </row>
    <row r="2468" spans="1:13" x14ac:dyDescent="0.25">
      <c r="A2468">
        <v>2467</v>
      </c>
      <c r="B2468" t="s">
        <v>2479</v>
      </c>
      <c r="C2468">
        <v>43</v>
      </c>
      <c r="D2468" t="s">
        <v>2947</v>
      </c>
      <c r="E2468" t="s">
        <v>2953</v>
      </c>
      <c r="F2468" t="s">
        <v>5270</v>
      </c>
      <c r="G2468" s="2">
        <v>45810</v>
      </c>
      <c r="H2468" s="2">
        <v>45813</v>
      </c>
      <c r="I2468" t="s">
        <v>5760</v>
      </c>
      <c r="J2468" t="s">
        <v>5772</v>
      </c>
      <c r="K2468">
        <v>171343.07</v>
      </c>
      <c r="L2468" t="s">
        <v>5774</v>
      </c>
      <c r="M2468">
        <v>3</v>
      </c>
    </row>
    <row r="2469" spans="1:13" x14ac:dyDescent="0.25">
      <c r="A2469">
        <v>2468</v>
      </c>
      <c r="B2469" t="s">
        <v>2480</v>
      </c>
      <c r="C2469">
        <v>79</v>
      </c>
      <c r="D2469" t="s">
        <v>2947</v>
      </c>
      <c r="E2469" t="s">
        <v>2949</v>
      </c>
      <c r="F2469" t="s">
        <v>5271</v>
      </c>
      <c r="G2469" s="2">
        <v>45814</v>
      </c>
      <c r="H2469" s="2">
        <v>45820</v>
      </c>
      <c r="I2469" t="s">
        <v>5766</v>
      </c>
      <c r="J2469" t="s">
        <v>5771</v>
      </c>
      <c r="K2469">
        <v>201676.31</v>
      </c>
      <c r="L2469" t="s">
        <v>5773</v>
      </c>
      <c r="M2469">
        <v>6</v>
      </c>
    </row>
    <row r="2470" spans="1:13" x14ac:dyDescent="0.25">
      <c r="A2470">
        <v>2469</v>
      </c>
      <c r="B2470" t="s">
        <v>2481</v>
      </c>
      <c r="C2470">
        <v>83</v>
      </c>
      <c r="D2470" t="s">
        <v>2948</v>
      </c>
      <c r="E2470" t="s">
        <v>2954</v>
      </c>
      <c r="F2470" t="s">
        <v>5272</v>
      </c>
      <c r="G2470" s="2">
        <v>45657</v>
      </c>
      <c r="H2470" s="2">
        <v>45660</v>
      </c>
      <c r="I2470" t="s">
        <v>5765</v>
      </c>
      <c r="J2470" t="s">
        <v>5771</v>
      </c>
      <c r="K2470">
        <v>9364.9699999999993</v>
      </c>
      <c r="L2470" t="s">
        <v>5773</v>
      </c>
      <c r="M2470">
        <v>3</v>
      </c>
    </row>
    <row r="2471" spans="1:13" x14ac:dyDescent="0.25">
      <c r="A2471">
        <v>2470</v>
      </c>
      <c r="B2471" t="s">
        <v>2482</v>
      </c>
      <c r="C2471">
        <v>53</v>
      </c>
      <c r="D2471" t="s">
        <v>2947</v>
      </c>
      <c r="E2471" t="s">
        <v>2952</v>
      </c>
      <c r="F2471" t="s">
        <v>5273</v>
      </c>
      <c r="G2471" s="2">
        <v>45858</v>
      </c>
      <c r="H2471" s="2">
        <v>45873</v>
      </c>
      <c r="I2471" t="s">
        <v>5764</v>
      </c>
      <c r="J2471" t="s">
        <v>5770</v>
      </c>
      <c r="K2471">
        <v>187459.05</v>
      </c>
      <c r="L2471" t="s">
        <v>5774</v>
      </c>
      <c r="M2471">
        <v>15</v>
      </c>
    </row>
    <row r="2472" spans="1:13" x14ac:dyDescent="0.25">
      <c r="A2472">
        <v>2471</v>
      </c>
      <c r="B2472" t="s">
        <v>2483</v>
      </c>
      <c r="C2472">
        <v>24</v>
      </c>
      <c r="D2472" t="s">
        <v>2947</v>
      </c>
      <c r="E2472" t="s">
        <v>2951</v>
      </c>
      <c r="F2472" t="s">
        <v>5274</v>
      </c>
      <c r="G2472" s="2">
        <v>45695</v>
      </c>
      <c r="H2472" s="2">
        <v>45700</v>
      </c>
      <c r="I2472" t="s">
        <v>5764</v>
      </c>
      <c r="J2472" t="s">
        <v>5771</v>
      </c>
      <c r="K2472">
        <v>76320.740000000005</v>
      </c>
      <c r="L2472" t="s">
        <v>5774</v>
      </c>
      <c r="M2472">
        <v>5</v>
      </c>
    </row>
    <row r="2473" spans="1:13" x14ac:dyDescent="0.25">
      <c r="A2473">
        <v>2472</v>
      </c>
      <c r="B2473" t="s">
        <v>2484</v>
      </c>
      <c r="C2473">
        <v>61</v>
      </c>
      <c r="D2473" t="s">
        <v>2948</v>
      </c>
      <c r="E2473" t="s">
        <v>2952</v>
      </c>
      <c r="F2473" t="s">
        <v>4648</v>
      </c>
      <c r="G2473" s="2">
        <v>45596</v>
      </c>
      <c r="H2473" s="2">
        <v>45607</v>
      </c>
      <c r="I2473" t="s">
        <v>5767</v>
      </c>
      <c r="J2473" t="s">
        <v>5771</v>
      </c>
      <c r="K2473">
        <v>69130.62</v>
      </c>
      <c r="L2473" t="s">
        <v>5775</v>
      </c>
      <c r="M2473">
        <v>11</v>
      </c>
    </row>
    <row r="2474" spans="1:13" x14ac:dyDescent="0.25">
      <c r="A2474">
        <v>2473</v>
      </c>
      <c r="B2474" t="s">
        <v>2485</v>
      </c>
      <c r="C2474">
        <v>44</v>
      </c>
      <c r="D2474" t="s">
        <v>2948</v>
      </c>
      <c r="E2474" t="s">
        <v>2950</v>
      </c>
      <c r="F2474" t="s">
        <v>5275</v>
      </c>
      <c r="G2474" s="2">
        <v>45895</v>
      </c>
      <c r="H2474" s="2">
        <v>45903</v>
      </c>
      <c r="I2474" t="s">
        <v>5761</v>
      </c>
      <c r="J2474" t="s">
        <v>5771</v>
      </c>
      <c r="K2474">
        <v>449880.62</v>
      </c>
      <c r="L2474" t="s">
        <v>5775</v>
      </c>
      <c r="M2474">
        <v>8</v>
      </c>
    </row>
    <row r="2475" spans="1:13" x14ac:dyDescent="0.25">
      <c r="A2475">
        <v>2474</v>
      </c>
      <c r="B2475" t="s">
        <v>2486</v>
      </c>
      <c r="C2475">
        <v>37</v>
      </c>
      <c r="D2475" t="s">
        <v>2947</v>
      </c>
      <c r="E2475" t="s">
        <v>2952</v>
      </c>
      <c r="F2475" t="s">
        <v>5276</v>
      </c>
      <c r="G2475" s="2">
        <v>45762</v>
      </c>
      <c r="H2475" s="2">
        <v>45772</v>
      </c>
      <c r="I2475" t="s">
        <v>5765</v>
      </c>
      <c r="J2475" t="s">
        <v>5769</v>
      </c>
      <c r="K2475">
        <v>358444.93</v>
      </c>
      <c r="L2475" t="s">
        <v>5775</v>
      </c>
      <c r="M2475">
        <v>10</v>
      </c>
    </row>
    <row r="2476" spans="1:13" x14ac:dyDescent="0.25">
      <c r="A2476">
        <v>2475</v>
      </c>
      <c r="B2476" t="s">
        <v>2487</v>
      </c>
      <c r="C2476">
        <v>1</v>
      </c>
      <c r="D2476" t="s">
        <v>2948</v>
      </c>
      <c r="E2476" t="s">
        <v>2952</v>
      </c>
      <c r="F2476" t="s">
        <v>5277</v>
      </c>
      <c r="G2476" s="2">
        <v>45587</v>
      </c>
      <c r="H2476" s="2">
        <v>45589</v>
      </c>
      <c r="I2476" t="s">
        <v>5767</v>
      </c>
      <c r="J2476" t="s">
        <v>5769</v>
      </c>
      <c r="K2476">
        <v>88294.32</v>
      </c>
      <c r="L2476" t="s">
        <v>5773</v>
      </c>
      <c r="M2476">
        <v>2</v>
      </c>
    </row>
    <row r="2477" spans="1:13" x14ac:dyDescent="0.25">
      <c r="A2477">
        <v>2476</v>
      </c>
      <c r="B2477" t="s">
        <v>2488</v>
      </c>
      <c r="C2477">
        <v>24</v>
      </c>
      <c r="D2477" t="s">
        <v>2948</v>
      </c>
      <c r="E2477" t="s">
        <v>2953</v>
      </c>
      <c r="F2477" t="s">
        <v>5278</v>
      </c>
      <c r="G2477" s="2">
        <v>45814</v>
      </c>
      <c r="H2477" s="2">
        <v>45829</v>
      </c>
      <c r="I2477" t="s">
        <v>5763</v>
      </c>
      <c r="J2477" t="s">
        <v>5771</v>
      </c>
      <c r="K2477">
        <v>467033.17</v>
      </c>
      <c r="L2477" t="s">
        <v>5775</v>
      </c>
      <c r="M2477">
        <v>15</v>
      </c>
    </row>
    <row r="2478" spans="1:13" x14ac:dyDescent="0.25">
      <c r="A2478">
        <v>2477</v>
      </c>
      <c r="B2478" t="s">
        <v>2489</v>
      </c>
      <c r="C2478">
        <v>13</v>
      </c>
      <c r="D2478" t="s">
        <v>2948</v>
      </c>
      <c r="E2478" t="s">
        <v>2950</v>
      </c>
      <c r="F2478" t="s">
        <v>5279</v>
      </c>
      <c r="G2478" s="2">
        <v>45560</v>
      </c>
      <c r="H2478" s="2">
        <v>45568</v>
      </c>
      <c r="I2478" t="s">
        <v>5761</v>
      </c>
      <c r="J2478" t="s">
        <v>5768</v>
      </c>
      <c r="K2478">
        <v>364939.3</v>
      </c>
      <c r="L2478" t="s">
        <v>5773</v>
      </c>
      <c r="M2478">
        <v>8</v>
      </c>
    </row>
    <row r="2479" spans="1:13" x14ac:dyDescent="0.25">
      <c r="A2479">
        <v>2478</v>
      </c>
      <c r="B2479" t="s">
        <v>2490</v>
      </c>
      <c r="C2479">
        <v>67</v>
      </c>
      <c r="D2479" t="s">
        <v>2948</v>
      </c>
      <c r="E2479" t="s">
        <v>2950</v>
      </c>
      <c r="F2479" t="s">
        <v>1498</v>
      </c>
      <c r="G2479" s="2">
        <v>45717</v>
      </c>
      <c r="H2479" s="2">
        <v>45718</v>
      </c>
      <c r="I2479" t="s">
        <v>5764</v>
      </c>
      <c r="J2479" t="s">
        <v>5769</v>
      </c>
      <c r="K2479">
        <v>375856.74</v>
      </c>
      <c r="L2479" t="s">
        <v>5773</v>
      </c>
      <c r="M2479">
        <v>1</v>
      </c>
    </row>
    <row r="2480" spans="1:13" x14ac:dyDescent="0.25">
      <c r="A2480">
        <v>2479</v>
      </c>
      <c r="B2480" t="s">
        <v>2491</v>
      </c>
      <c r="C2480">
        <v>21</v>
      </c>
      <c r="D2480" t="s">
        <v>2948</v>
      </c>
      <c r="E2480" t="s">
        <v>2955</v>
      </c>
      <c r="F2480" t="s">
        <v>5280</v>
      </c>
      <c r="G2480" s="2">
        <v>45718</v>
      </c>
      <c r="H2480" s="2">
        <v>45720</v>
      </c>
      <c r="I2480" t="s">
        <v>5764</v>
      </c>
      <c r="J2480" t="s">
        <v>5768</v>
      </c>
      <c r="K2480">
        <v>262356.57</v>
      </c>
      <c r="L2480" t="s">
        <v>5774</v>
      </c>
      <c r="M2480">
        <v>2</v>
      </c>
    </row>
    <row r="2481" spans="1:13" x14ac:dyDescent="0.25">
      <c r="A2481">
        <v>2480</v>
      </c>
      <c r="B2481" t="s">
        <v>2492</v>
      </c>
      <c r="C2481">
        <v>50</v>
      </c>
      <c r="D2481" t="s">
        <v>2947</v>
      </c>
      <c r="E2481" t="s">
        <v>2955</v>
      </c>
      <c r="F2481" t="s">
        <v>5281</v>
      </c>
      <c r="G2481" s="2">
        <v>45792</v>
      </c>
      <c r="H2481" s="2">
        <v>45801</v>
      </c>
      <c r="I2481" t="s">
        <v>5762</v>
      </c>
      <c r="J2481" t="s">
        <v>5770</v>
      </c>
      <c r="K2481">
        <v>102345.57</v>
      </c>
      <c r="L2481" t="s">
        <v>5774</v>
      </c>
      <c r="M2481">
        <v>9</v>
      </c>
    </row>
    <row r="2482" spans="1:13" x14ac:dyDescent="0.25">
      <c r="A2482">
        <v>2481</v>
      </c>
      <c r="B2482" t="s">
        <v>2493</v>
      </c>
      <c r="C2482">
        <v>10</v>
      </c>
      <c r="D2482" t="s">
        <v>2948</v>
      </c>
      <c r="E2482" t="s">
        <v>2950</v>
      </c>
      <c r="F2482" t="s">
        <v>5282</v>
      </c>
      <c r="G2482" s="2">
        <v>45574</v>
      </c>
      <c r="H2482" s="2">
        <v>45588</v>
      </c>
      <c r="I2482" t="s">
        <v>5765</v>
      </c>
      <c r="J2482" t="s">
        <v>5772</v>
      </c>
      <c r="K2482">
        <v>117926.9</v>
      </c>
      <c r="L2482" t="s">
        <v>5774</v>
      </c>
      <c r="M2482">
        <v>14</v>
      </c>
    </row>
    <row r="2483" spans="1:13" x14ac:dyDescent="0.25">
      <c r="A2483">
        <v>2482</v>
      </c>
      <c r="B2483" t="s">
        <v>2494</v>
      </c>
      <c r="C2483">
        <v>47</v>
      </c>
      <c r="D2483" t="s">
        <v>2947</v>
      </c>
      <c r="E2483" t="s">
        <v>2949</v>
      </c>
      <c r="F2483" t="s">
        <v>5283</v>
      </c>
      <c r="G2483" s="2">
        <v>45834</v>
      </c>
      <c r="H2483" s="2">
        <v>45843</v>
      </c>
      <c r="I2483" t="s">
        <v>5765</v>
      </c>
      <c r="J2483" t="s">
        <v>5771</v>
      </c>
      <c r="K2483">
        <v>236878.86</v>
      </c>
      <c r="L2483" t="s">
        <v>5774</v>
      </c>
      <c r="M2483">
        <v>9</v>
      </c>
    </row>
    <row r="2484" spans="1:13" x14ac:dyDescent="0.25">
      <c r="A2484">
        <v>2483</v>
      </c>
      <c r="B2484" t="s">
        <v>2495</v>
      </c>
      <c r="C2484">
        <v>81</v>
      </c>
      <c r="D2484" t="s">
        <v>2947</v>
      </c>
      <c r="E2484" t="s">
        <v>2949</v>
      </c>
      <c r="F2484" t="s">
        <v>5284</v>
      </c>
      <c r="G2484" s="2">
        <v>45826</v>
      </c>
      <c r="H2484" s="2">
        <v>45835</v>
      </c>
      <c r="I2484" t="s">
        <v>5766</v>
      </c>
      <c r="J2484" t="s">
        <v>5769</v>
      </c>
      <c r="K2484">
        <v>118277.19</v>
      </c>
      <c r="L2484" t="s">
        <v>5773</v>
      </c>
      <c r="M2484">
        <v>9</v>
      </c>
    </row>
    <row r="2485" spans="1:13" x14ac:dyDescent="0.25">
      <c r="A2485">
        <v>2484</v>
      </c>
      <c r="B2485" t="s">
        <v>2496</v>
      </c>
      <c r="C2485">
        <v>59</v>
      </c>
      <c r="D2485" t="s">
        <v>2947</v>
      </c>
      <c r="E2485" t="s">
        <v>2951</v>
      </c>
      <c r="F2485" t="s">
        <v>5285</v>
      </c>
      <c r="G2485" s="2">
        <v>45749</v>
      </c>
      <c r="H2485" s="2">
        <v>45750</v>
      </c>
      <c r="I2485" t="s">
        <v>5765</v>
      </c>
      <c r="J2485" t="s">
        <v>5771</v>
      </c>
      <c r="K2485">
        <v>274165.96999999997</v>
      </c>
      <c r="L2485" t="s">
        <v>5775</v>
      </c>
      <c r="M2485">
        <v>1</v>
      </c>
    </row>
    <row r="2486" spans="1:13" x14ac:dyDescent="0.25">
      <c r="A2486">
        <v>2485</v>
      </c>
      <c r="B2486" t="s">
        <v>2497</v>
      </c>
      <c r="C2486">
        <v>12</v>
      </c>
      <c r="D2486" t="s">
        <v>2947</v>
      </c>
      <c r="E2486" t="s">
        <v>2955</v>
      </c>
      <c r="F2486" t="s">
        <v>5286</v>
      </c>
      <c r="G2486" s="2">
        <v>45671</v>
      </c>
      <c r="H2486" s="2">
        <v>45673</v>
      </c>
      <c r="I2486" t="s">
        <v>5763</v>
      </c>
      <c r="J2486" t="s">
        <v>5772</v>
      </c>
      <c r="K2486">
        <v>279767.44</v>
      </c>
      <c r="L2486" t="s">
        <v>5775</v>
      </c>
      <c r="M2486">
        <v>2</v>
      </c>
    </row>
    <row r="2487" spans="1:13" x14ac:dyDescent="0.25">
      <c r="A2487">
        <v>2486</v>
      </c>
      <c r="B2487" t="s">
        <v>2498</v>
      </c>
      <c r="C2487">
        <v>73</v>
      </c>
      <c r="D2487" t="s">
        <v>2947</v>
      </c>
      <c r="E2487" t="s">
        <v>2951</v>
      </c>
      <c r="F2487" t="s">
        <v>5287</v>
      </c>
      <c r="G2487" s="2">
        <v>45558</v>
      </c>
      <c r="H2487" s="2">
        <v>45570</v>
      </c>
      <c r="I2487" t="s">
        <v>5766</v>
      </c>
      <c r="J2487" t="s">
        <v>2949</v>
      </c>
      <c r="K2487">
        <v>137253.1</v>
      </c>
      <c r="L2487" t="s">
        <v>5773</v>
      </c>
      <c r="M2487">
        <v>12</v>
      </c>
    </row>
    <row r="2488" spans="1:13" x14ac:dyDescent="0.25">
      <c r="A2488">
        <v>2487</v>
      </c>
      <c r="B2488" t="s">
        <v>2499</v>
      </c>
      <c r="C2488">
        <v>84</v>
      </c>
      <c r="D2488" t="s">
        <v>2947</v>
      </c>
      <c r="E2488" t="s">
        <v>2952</v>
      </c>
      <c r="F2488" t="s">
        <v>5288</v>
      </c>
      <c r="G2488" s="2">
        <v>45613</v>
      </c>
      <c r="H2488" s="2">
        <v>45614</v>
      </c>
      <c r="I2488" t="s">
        <v>5764</v>
      </c>
      <c r="J2488" t="s">
        <v>5768</v>
      </c>
      <c r="K2488">
        <v>128797.8</v>
      </c>
      <c r="L2488" t="s">
        <v>5773</v>
      </c>
      <c r="M2488">
        <v>1</v>
      </c>
    </row>
    <row r="2489" spans="1:13" x14ac:dyDescent="0.25">
      <c r="A2489">
        <v>2488</v>
      </c>
      <c r="B2489" t="s">
        <v>2500</v>
      </c>
      <c r="C2489">
        <v>2</v>
      </c>
      <c r="D2489" t="s">
        <v>2948</v>
      </c>
      <c r="E2489" t="s">
        <v>2954</v>
      </c>
      <c r="F2489" t="s">
        <v>5289</v>
      </c>
      <c r="G2489" s="2">
        <v>45725</v>
      </c>
      <c r="H2489" s="2">
        <v>45738</v>
      </c>
      <c r="I2489" t="s">
        <v>5761</v>
      </c>
      <c r="J2489" t="s">
        <v>5769</v>
      </c>
      <c r="K2489">
        <v>442188.11</v>
      </c>
      <c r="L2489" t="s">
        <v>5773</v>
      </c>
      <c r="M2489">
        <v>13</v>
      </c>
    </row>
    <row r="2490" spans="1:13" x14ac:dyDescent="0.25">
      <c r="A2490">
        <v>2489</v>
      </c>
      <c r="B2490" t="s">
        <v>2501</v>
      </c>
      <c r="C2490">
        <v>44</v>
      </c>
      <c r="D2490" t="s">
        <v>2948</v>
      </c>
      <c r="E2490" t="s">
        <v>2949</v>
      </c>
      <c r="F2490" t="s">
        <v>5290</v>
      </c>
      <c r="G2490" s="2">
        <v>45589</v>
      </c>
      <c r="H2490" s="2">
        <v>45591</v>
      </c>
      <c r="I2490" t="s">
        <v>5764</v>
      </c>
      <c r="J2490" t="s">
        <v>5772</v>
      </c>
      <c r="K2490">
        <v>103779.69</v>
      </c>
      <c r="L2490" t="s">
        <v>5774</v>
      </c>
      <c r="M2490">
        <v>2</v>
      </c>
    </row>
    <row r="2491" spans="1:13" x14ac:dyDescent="0.25">
      <c r="A2491">
        <v>2490</v>
      </c>
      <c r="B2491" t="s">
        <v>2502</v>
      </c>
      <c r="C2491">
        <v>45</v>
      </c>
      <c r="D2491" t="s">
        <v>2947</v>
      </c>
      <c r="E2491" t="s">
        <v>2955</v>
      </c>
      <c r="F2491" t="s">
        <v>5291</v>
      </c>
      <c r="G2491" s="2">
        <v>45904</v>
      </c>
      <c r="H2491" s="2">
        <v>45912</v>
      </c>
      <c r="I2491" t="s">
        <v>5767</v>
      </c>
      <c r="J2491" t="s">
        <v>5770</v>
      </c>
      <c r="K2491">
        <v>45538.2</v>
      </c>
      <c r="L2491" t="s">
        <v>5775</v>
      </c>
      <c r="M2491">
        <v>8</v>
      </c>
    </row>
    <row r="2492" spans="1:13" x14ac:dyDescent="0.25">
      <c r="A2492">
        <v>2491</v>
      </c>
      <c r="B2492" t="s">
        <v>2503</v>
      </c>
      <c r="C2492">
        <v>48</v>
      </c>
      <c r="D2492" t="s">
        <v>2948</v>
      </c>
      <c r="E2492" t="s">
        <v>2950</v>
      </c>
      <c r="F2492" t="s">
        <v>5292</v>
      </c>
      <c r="G2492" s="2">
        <v>45709</v>
      </c>
      <c r="H2492" s="2">
        <v>45714</v>
      </c>
      <c r="I2492" t="s">
        <v>5762</v>
      </c>
      <c r="J2492" t="s">
        <v>2949</v>
      </c>
      <c r="K2492">
        <v>309883.3</v>
      </c>
      <c r="L2492" t="s">
        <v>5775</v>
      </c>
      <c r="M2492">
        <v>5</v>
      </c>
    </row>
    <row r="2493" spans="1:13" x14ac:dyDescent="0.25">
      <c r="A2493">
        <v>2492</v>
      </c>
      <c r="B2493" t="s">
        <v>2504</v>
      </c>
      <c r="C2493">
        <v>49</v>
      </c>
      <c r="D2493" t="s">
        <v>2948</v>
      </c>
      <c r="E2493" t="s">
        <v>2953</v>
      </c>
      <c r="F2493" t="s">
        <v>5293</v>
      </c>
      <c r="G2493" s="2">
        <v>45551</v>
      </c>
      <c r="H2493" s="2">
        <v>45561</v>
      </c>
      <c r="I2493" t="s">
        <v>5761</v>
      </c>
      <c r="J2493" t="s">
        <v>5772</v>
      </c>
      <c r="K2493">
        <v>220593.69</v>
      </c>
      <c r="L2493" t="s">
        <v>5773</v>
      </c>
      <c r="M2493">
        <v>10</v>
      </c>
    </row>
    <row r="2494" spans="1:13" x14ac:dyDescent="0.25">
      <c r="A2494">
        <v>2493</v>
      </c>
      <c r="B2494" t="s">
        <v>2505</v>
      </c>
      <c r="C2494">
        <v>58</v>
      </c>
      <c r="D2494" t="s">
        <v>2947</v>
      </c>
      <c r="E2494" t="s">
        <v>2951</v>
      </c>
      <c r="F2494" t="s">
        <v>5294</v>
      </c>
      <c r="G2494" s="2">
        <v>45837</v>
      </c>
      <c r="H2494" s="2">
        <v>45849</v>
      </c>
      <c r="I2494" t="s">
        <v>5767</v>
      </c>
      <c r="J2494" t="s">
        <v>5769</v>
      </c>
      <c r="K2494">
        <v>201632.52</v>
      </c>
      <c r="L2494" t="s">
        <v>5774</v>
      </c>
      <c r="M2494">
        <v>12</v>
      </c>
    </row>
    <row r="2495" spans="1:13" x14ac:dyDescent="0.25">
      <c r="A2495">
        <v>2494</v>
      </c>
      <c r="B2495" t="s">
        <v>2506</v>
      </c>
      <c r="C2495">
        <v>52</v>
      </c>
      <c r="D2495" t="s">
        <v>2947</v>
      </c>
      <c r="E2495" t="s">
        <v>2954</v>
      </c>
      <c r="F2495" t="s">
        <v>5295</v>
      </c>
      <c r="G2495" s="2">
        <v>45715</v>
      </c>
      <c r="H2495" s="2">
        <v>45719</v>
      </c>
      <c r="I2495" t="s">
        <v>5765</v>
      </c>
      <c r="J2495" t="s">
        <v>5770</v>
      </c>
      <c r="K2495">
        <v>138576.72</v>
      </c>
      <c r="L2495" t="s">
        <v>5773</v>
      </c>
      <c r="M2495">
        <v>4</v>
      </c>
    </row>
    <row r="2496" spans="1:13" x14ac:dyDescent="0.25">
      <c r="A2496">
        <v>2495</v>
      </c>
      <c r="B2496" t="s">
        <v>2507</v>
      </c>
      <c r="C2496">
        <v>83</v>
      </c>
      <c r="D2496" t="s">
        <v>2948</v>
      </c>
      <c r="E2496" t="s">
        <v>2951</v>
      </c>
      <c r="F2496" t="s">
        <v>5296</v>
      </c>
      <c r="G2496" s="2">
        <v>45646</v>
      </c>
      <c r="H2496" s="2">
        <v>45648</v>
      </c>
      <c r="I2496" t="s">
        <v>5759</v>
      </c>
      <c r="J2496" t="s">
        <v>5772</v>
      </c>
      <c r="K2496">
        <v>380953.85</v>
      </c>
      <c r="L2496" t="s">
        <v>5773</v>
      </c>
      <c r="M2496">
        <v>2</v>
      </c>
    </row>
    <row r="2497" spans="1:13" x14ac:dyDescent="0.25">
      <c r="A2497">
        <v>2496</v>
      </c>
      <c r="B2497" t="s">
        <v>2508</v>
      </c>
      <c r="C2497">
        <v>27</v>
      </c>
      <c r="D2497" t="s">
        <v>2947</v>
      </c>
      <c r="E2497" t="s">
        <v>2953</v>
      </c>
      <c r="F2497" t="s">
        <v>5297</v>
      </c>
      <c r="G2497" s="2">
        <v>45736</v>
      </c>
      <c r="H2497" s="2">
        <v>45739</v>
      </c>
      <c r="I2497" t="s">
        <v>5760</v>
      </c>
      <c r="J2497" t="s">
        <v>2949</v>
      </c>
      <c r="K2497">
        <v>308306.78000000003</v>
      </c>
      <c r="L2497" t="s">
        <v>5775</v>
      </c>
      <c r="M2497">
        <v>3</v>
      </c>
    </row>
    <row r="2498" spans="1:13" x14ac:dyDescent="0.25">
      <c r="A2498">
        <v>2497</v>
      </c>
      <c r="B2498" t="s">
        <v>2509</v>
      </c>
      <c r="C2498">
        <v>39</v>
      </c>
      <c r="D2498" t="s">
        <v>2947</v>
      </c>
      <c r="E2498" t="s">
        <v>2950</v>
      </c>
      <c r="F2498" t="s">
        <v>5298</v>
      </c>
      <c r="G2498" s="2">
        <v>45723</v>
      </c>
      <c r="H2498" s="2">
        <v>45729</v>
      </c>
      <c r="I2498" t="s">
        <v>5767</v>
      </c>
      <c r="J2498" t="s">
        <v>5768</v>
      </c>
      <c r="K2498">
        <v>319786.14</v>
      </c>
      <c r="L2498" t="s">
        <v>5773</v>
      </c>
      <c r="M2498">
        <v>6</v>
      </c>
    </row>
    <row r="2499" spans="1:13" x14ac:dyDescent="0.25">
      <c r="A2499">
        <v>2498</v>
      </c>
      <c r="B2499" t="s">
        <v>2510</v>
      </c>
      <c r="C2499">
        <v>38</v>
      </c>
      <c r="D2499" t="s">
        <v>2947</v>
      </c>
      <c r="E2499" t="s">
        <v>2955</v>
      </c>
      <c r="F2499" t="s">
        <v>5299</v>
      </c>
      <c r="G2499" s="2">
        <v>45704</v>
      </c>
      <c r="H2499" s="2">
        <v>45718</v>
      </c>
      <c r="I2499" t="s">
        <v>5763</v>
      </c>
      <c r="J2499" t="s">
        <v>5771</v>
      </c>
      <c r="K2499">
        <v>178887.46</v>
      </c>
      <c r="L2499" t="s">
        <v>5775</v>
      </c>
      <c r="M2499">
        <v>14</v>
      </c>
    </row>
    <row r="2500" spans="1:13" x14ac:dyDescent="0.25">
      <c r="A2500">
        <v>2499</v>
      </c>
      <c r="B2500" t="s">
        <v>2511</v>
      </c>
      <c r="C2500">
        <v>42</v>
      </c>
      <c r="D2500" t="s">
        <v>2948</v>
      </c>
      <c r="E2500" t="s">
        <v>2949</v>
      </c>
      <c r="F2500" t="s">
        <v>5300</v>
      </c>
      <c r="G2500" s="2">
        <v>45911</v>
      </c>
      <c r="H2500" s="2">
        <v>45918</v>
      </c>
      <c r="I2500" t="s">
        <v>5763</v>
      </c>
      <c r="J2500" t="s">
        <v>5770</v>
      </c>
      <c r="K2500">
        <v>351586.98</v>
      </c>
      <c r="L2500" t="s">
        <v>5775</v>
      </c>
      <c r="M2500">
        <v>7</v>
      </c>
    </row>
    <row r="2501" spans="1:13" x14ac:dyDescent="0.25">
      <c r="A2501">
        <v>2500</v>
      </c>
      <c r="B2501" t="s">
        <v>2512</v>
      </c>
      <c r="C2501">
        <v>63</v>
      </c>
      <c r="D2501" t="s">
        <v>2947</v>
      </c>
      <c r="E2501" t="s">
        <v>2949</v>
      </c>
      <c r="F2501" t="s">
        <v>5301</v>
      </c>
      <c r="G2501" s="2">
        <v>45812</v>
      </c>
      <c r="H2501" s="2">
        <v>45826</v>
      </c>
      <c r="I2501" t="s">
        <v>5759</v>
      </c>
      <c r="J2501" t="s">
        <v>2949</v>
      </c>
      <c r="K2501">
        <v>301065.09999999998</v>
      </c>
      <c r="L2501" t="s">
        <v>5773</v>
      </c>
      <c r="M2501">
        <v>14</v>
      </c>
    </row>
    <row r="2502" spans="1:13" x14ac:dyDescent="0.25">
      <c r="A2502">
        <v>2501</v>
      </c>
      <c r="B2502" t="s">
        <v>2513</v>
      </c>
      <c r="C2502">
        <v>19</v>
      </c>
      <c r="D2502" t="s">
        <v>2948</v>
      </c>
      <c r="E2502" t="s">
        <v>2953</v>
      </c>
      <c r="F2502" t="s">
        <v>5302</v>
      </c>
      <c r="G2502" s="2">
        <v>45627</v>
      </c>
      <c r="H2502" s="2">
        <v>45641</v>
      </c>
      <c r="I2502" t="s">
        <v>5767</v>
      </c>
      <c r="J2502" t="s">
        <v>2949</v>
      </c>
      <c r="K2502">
        <v>369069.78</v>
      </c>
      <c r="L2502" t="s">
        <v>5773</v>
      </c>
      <c r="M2502">
        <v>14</v>
      </c>
    </row>
    <row r="2503" spans="1:13" x14ac:dyDescent="0.25">
      <c r="A2503">
        <v>2502</v>
      </c>
      <c r="B2503" t="s">
        <v>2514</v>
      </c>
      <c r="C2503">
        <v>72</v>
      </c>
      <c r="D2503" t="s">
        <v>2947</v>
      </c>
      <c r="E2503" t="s">
        <v>2950</v>
      </c>
      <c r="F2503" t="s">
        <v>2472</v>
      </c>
      <c r="G2503" s="2">
        <v>45701</v>
      </c>
      <c r="H2503" s="2">
        <v>45712</v>
      </c>
      <c r="I2503" t="s">
        <v>5759</v>
      </c>
      <c r="J2503" t="s">
        <v>5772</v>
      </c>
      <c r="K2503">
        <v>8952.33</v>
      </c>
      <c r="L2503" t="s">
        <v>5775</v>
      </c>
      <c r="M2503">
        <v>11</v>
      </c>
    </row>
    <row r="2504" spans="1:13" x14ac:dyDescent="0.25">
      <c r="A2504">
        <v>2503</v>
      </c>
      <c r="B2504" t="s">
        <v>2515</v>
      </c>
      <c r="C2504">
        <v>77</v>
      </c>
      <c r="D2504" t="s">
        <v>2947</v>
      </c>
      <c r="E2504" t="s">
        <v>2952</v>
      </c>
      <c r="F2504" t="s">
        <v>5303</v>
      </c>
      <c r="G2504" s="2">
        <v>45872</v>
      </c>
      <c r="H2504" s="2">
        <v>45873</v>
      </c>
      <c r="I2504" t="s">
        <v>5763</v>
      </c>
      <c r="J2504" t="s">
        <v>2949</v>
      </c>
      <c r="K2504">
        <v>311885.56</v>
      </c>
      <c r="L2504" t="s">
        <v>5773</v>
      </c>
      <c r="M2504">
        <v>1</v>
      </c>
    </row>
    <row r="2505" spans="1:13" x14ac:dyDescent="0.25">
      <c r="A2505">
        <v>2504</v>
      </c>
      <c r="B2505" t="s">
        <v>2516</v>
      </c>
      <c r="C2505">
        <v>22</v>
      </c>
      <c r="D2505" t="s">
        <v>2947</v>
      </c>
      <c r="E2505" t="s">
        <v>2951</v>
      </c>
      <c r="F2505" t="s">
        <v>5304</v>
      </c>
      <c r="G2505" s="2">
        <v>45870</v>
      </c>
      <c r="H2505" s="2">
        <v>45881</v>
      </c>
      <c r="I2505" t="s">
        <v>5758</v>
      </c>
      <c r="J2505" t="s">
        <v>5770</v>
      </c>
      <c r="K2505">
        <v>382767.85</v>
      </c>
      <c r="L2505" t="s">
        <v>5775</v>
      </c>
      <c r="M2505">
        <v>11</v>
      </c>
    </row>
    <row r="2506" spans="1:13" x14ac:dyDescent="0.25">
      <c r="A2506">
        <v>2505</v>
      </c>
      <c r="B2506" t="s">
        <v>2517</v>
      </c>
      <c r="C2506">
        <v>71</v>
      </c>
      <c r="D2506" t="s">
        <v>2948</v>
      </c>
      <c r="E2506" t="s">
        <v>2952</v>
      </c>
      <c r="F2506" t="s">
        <v>5305</v>
      </c>
      <c r="G2506" s="2">
        <v>45688</v>
      </c>
      <c r="H2506" s="2">
        <v>45690</v>
      </c>
      <c r="I2506" t="s">
        <v>5763</v>
      </c>
      <c r="J2506" t="s">
        <v>5769</v>
      </c>
      <c r="K2506">
        <v>183112.05</v>
      </c>
      <c r="L2506" t="s">
        <v>5775</v>
      </c>
      <c r="M2506">
        <v>2</v>
      </c>
    </row>
    <row r="2507" spans="1:13" x14ac:dyDescent="0.25">
      <c r="A2507">
        <v>2506</v>
      </c>
      <c r="B2507" t="s">
        <v>2518</v>
      </c>
      <c r="C2507">
        <v>53</v>
      </c>
      <c r="D2507" t="s">
        <v>2948</v>
      </c>
      <c r="E2507" t="s">
        <v>2951</v>
      </c>
      <c r="F2507" t="s">
        <v>5306</v>
      </c>
      <c r="G2507" s="2">
        <v>45824</v>
      </c>
      <c r="H2507" s="2">
        <v>45827</v>
      </c>
      <c r="I2507" t="s">
        <v>5760</v>
      </c>
      <c r="J2507" t="s">
        <v>5771</v>
      </c>
      <c r="K2507">
        <v>54289.3</v>
      </c>
      <c r="L2507" t="s">
        <v>5773</v>
      </c>
      <c r="M2507">
        <v>3</v>
      </c>
    </row>
    <row r="2508" spans="1:13" x14ac:dyDescent="0.25">
      <c r="A2508">
        <v>2507</v>
      </c>
      <c r="B2508" t="s">
        <v>2519</v>
      </c>
      <c r="C2508">
        <v>9</v>
      </c>
      <c r="D2508" t="s">
        <v>2947</v>
      </c>
      <c r="E2508" t="s">
        <v>2955</v>
      </c>
      <c r="F2508" t="s">
        <v>5307</v>
      </c>
      <c r="G2508" s="2">
        <v>45700</v>
      </c>
      <c r="H2508" s="2">
        <v>45708</v>
      </c>
      <c r="I2508" t="s">
        <v>5766</v>
      </c>
      <c r="J2508" t="s">
        <v>5768</v>
      </c>
      <c r="K2508">
        <v>176988.72</v>
      </c>
      <c r="L2508" t="s">
        <v>5775</v>
      </c>
      <c r="M2508">
        <v>8</v>
      </c>
    </row>
    <row r="2509" spans="1:13" x14ac:dyDescent="0.25">
      <c r="A2509">
        <v>2508</v>
      </c>
      <c r="B2509" t="s">
        <v>2520</v>
      </c>
      <c r="C2509">
        <v>31</v>
      </c>
      <c r="D2509" t="s">
        <v>2948</v>
      </c>
      <c r="E2509" t="s">
        <v>2950</v>
      </c>
      <c r="F2509" t="s">
        <v>5308</v>
      </c>
      <c r="G2509" s="2">
        <v>45573</v>
      </c>
      <c r="H2509" s="2">
        <v>45578</v>
      </c>
      <c r="I2509" t="s">
        <v>5764</v>
      </c>
      <c r="J2509" t="s">
        <v>2949</v>
      </c>
      <c r="K2509">
        <v>474877.09</v>
      </c>
      <c r="L2509" t="s">
        <v>5774</v>
      </c>
      <c r="M2509">
        <v>5</v>
      </c>
    </row>
    <row r="2510" spans="1:13" x14ac:dyDescent="0.25">
      <c r="A2510">
        <v>2509</v>
      </c>
      <c r="B2510" t="s">
        <v>2521</v>
      </c>
      <c r="C2510">
        <v>25</v>
      </c>
      <c r="D2510" t="s">
        <v>2947</v>
      </c>
      <c r="E2510" t="s">
        <v>2954</v>
      </c>
      <c r="F2510" t="s">
        <v>5309</v>
      </c>
      <c r="G2510" s="2">
        <v>45797</v>
      </c>
      <c r="H2510" s="2">
        <v>45798</v>
      </c>
      <c r="I2510" t="s">
        <v>5762</v>
      </c>
      <c r="J2510" t="s">
        <v>5772</v>
      </c>
      <c r="K2510">
        <v>422128.7</v>
      </c>
      <c r="L2510" t="s">
        <v>5774</v>
      </c>
      <c r="M2510">
        <v>1</v>
      </c>
    </row>
    <row r="2511" spans="1:13" x14ac:dyDescent="0.25">
      <c r="A2511">
        <v>2510</v>
      </c>
      <c r="B2511" t="s">
        <v>2522</v>
      </c>
      <c r="C2511">
        <v>14</v>
      </c>
      <c r="D2511" t="s">
        <v>2948</v>
      </c>
      <c r="E2511" t="s">
        <v>2951</v>
      </c>
      <c r="F2511" t="s">
        <v>5310</v>
      </c>
      <c r="G2511" s="2">
        <v>45566</v>
      </c>
      <c r="H2511" s="2">
        <v>45570</v>
      </c>
      <c r="I2511" t="s">
        <v>5762</v>
      </c>
      <c r="J2511" t="s">
        <v>5768</v>
      </c>
      <c r="K2511">
        <v>461541.39</v>
      </c>
      <c r="L2511" t="s">
        <v>5775</v>
      </c>
      <c r="M2511">
        <v>4</v>
      </c>
    </row>
    <row r="2512" spans="1:13" x14ac:dyDescent="0.25">
      <c r="A2512">
        <v>2511</v>
      </c>
      <c r="B2512" t="s">
        <v>2523</v>
      </c>
      <c r="C2512">
        <v>45</v>
      </c>
      <c r="D2512" t="s">
        <v>2947</v>
      </c>
      <c r="E2512" t="s">
        <v>2951</v>
      </c>
      <c r="F2512" t="s">
        <v>5311</v>
      </c>
      <c r="G2512" s="2">
        <v>45560</v>
      </c>
      <c r="H2512" s="2">
        <v>45575</v>
      </c>
      <c r="I2512" t="s">
        <v>5758</v>
      </c>
      <c r="J2512" t="s">
        <v>5768</v>
      </c>
      <c r="K2512">
        <v>315830.56</v>
      </c>
      <c r="L2512" t="s">
        <v>5773</v>
      </c>
      <c r="M2512">
        <v>15</v>
      </c>
    </row>
    <row r="2513" spans="1:13" x14ac:dyDescent="0.25">
      <c r="A2513">
        <v>2512</v>
      </c>
      <c r="B2513" t="s">
        <v>2524</v>
      </c>
      <c r="C2513">
        <v>2</v>
      </c>
      <c r="D2513" t="s">
        <v>2947</v>
      </c>
      <c r="E2513" t="s">
        <v>2950</v>
      </c>
      <c r="F2513" t="s">
        <v>5312</v>
      </c>
      <c r="G2513" s="2">
        <v>45900</v>
      </c>
      <c r="H2513" s="2">
        <v>45908</v>
      </c>
      <c r="I2513" t="s">
        <v>5760</v>
      </c>
      <c r="J2513" t="s">
        <v>2949</v>
      </c>
      <c r="K2513">
        <v>190309.37</v>
      </c>
      <c r="L2513" t="s">
        <v>5774</v>
      </c>
      <c r="M2513">
        <v>8</v>
      </c>
    </row>
    <row r="2514" spans="1:13" x14ac:dyDescent="0.25">
      <c r="A2514">
        <v>2513</v>
      </c>
      <c r="B2514" t="s">
        <v>2525</v>
      </c>
      <c r="C2514">
        <v>56</v>
      </c>
      <c r="D2514" t="s">
        <v>2947</v>
      </c>
      <c r="E2514" t="s">
        <v>2950</v>
      </c>
      <c r="F2514" t="s">
        <v>5313</v>
      </c>
      <c r="G2514" s="2">
        <v>45729</v>
      </c>
      <c r="H2514" s="2">
        <v>45738</v>
      </c>
      <c r="I2514" t="s">
        <v>5765</v>
      </c>
      <c r="J2514" t="s">
        <v>5769</v>
      </c>
      <c r="K2514">
        <v>187013.43</v>
      </c>
      <c r="L2514" t="s">
        <v>5774</v>
      </c>
      <c r="M2514">
        <v>9</v>
      </c>
    </row>
    <row r="2515" spans="1:13" x14ac:dyDescent="0.25">
      <c r="A2515">
        <v>2514</v>
      </c>
      <c r="B2515" t="s">
        <v>2526</v>
      </c>
      <c r="C2515">
        <v>7</v>
      </c>
      <c r="D2515" t="s">
        <v>2947</v>
      </c>
      <c r="E2515" t="s">
        <v>2952</v>
      </c>
      <c r="F2515" t="s">
        <v>5314</v>
      </c>
      <c r="G2515" s="2">
        <v>45784</v>
      </c>
      <c r="H2515" s="2">
        <v>45791</v>
      </c>
      <c r="I2515" t="s">
        <v>5761</v>
      </c>
      <c r="J2515" t="s">
        <v>5770</v>
      </c>
      <c r="K2515">
        <v>65583.039999999994</v>
      </c>
      <c r="L2515" t="s">
        <v>5773</v>
      </c>
      <c r="M2515">
        <v>7</v>
      </c>
    </row>
    <row r="2516" spans="1:13" x14ac:dyDescent="0.25">
      <c r="A2516">
        <v>2515</v>
      </c>
      <c r="B2516" t="s">
        <v>2527</v>
      </c>
      <c r="C2516">
        <v>72</v>
      </c>
      <c r="D2516" t="s">
        <v>2947</v>
      </c>
      <c r="E2516" t="s">
        <v>2953</v>
      </c>
      <c r="F2516" t="s">
        <v>5315</v>
      </c>
      <c r="G2516" s="2">
        <v>45793</v>
      </c>
      <c r="H2516" s="2">
        <v>45807</v>
      </c>
      <c r="I2516" t="s">
        <v>5758</v>
      </c>
      <c r="J2516" t="s">
        <v>5772</v>
      </c>
      <c r="K2516">
        <v>143835.07</v>
      </c>
      <c r="L2516" t="s">
        <v>5775</v>
      </c>
      <c r="M2516">
        <v>14</v>
      </c>
    </row>
    <row r="2517" spans="1:13" x14ac:dyDescent="0.25">
      <c r="A2517">
        <v>2516</v>
      </c>
      <c r="B2517" t="s">
        <v>2528</v>
      </c>
      <c r="C2517">
        <v>47</v>
      </c>
      <c r="D2517" t="s">
        <v>2947</v>
      </c>
      <c r="E2517" t="s">
        <v>2951</v>
      </c>
      <c r="F2517" t="s">
        <v>5316</v>
      </c>
      <c r="G2517" s="2">
        <v>45615</v>
      </c>
      <c r="H2517" s="2">
        <v>45623</v>
      </c>
      <c r="I2517" t="s">
        <v>5765</v>
      </c>
      <c r="J2517" t="s">
        <v>5769</v>
      </c>
      <c r="K2517">
        <v>461693.38</v>
      </c>
      <c r="L2517" t="s">
        <v>5774</v>
      </c>
      <c r="M2517">
        <v>8</v>
      </c>
    </row>
    <row r="2518" spans="1:13" x14ac:dyDescent="0.25">
      <c r="A2518">
        <v>2517</v>
      </c>
      <c r="B2518" t="s">
        <v>2529</v>
      </c>
      <c r="C2518">
        <v>83</v>
      </c>
      <c r="D2518" t="s">
        <v>2947</v>
      </c>
      <c r="E2518" t="s">
        <v>2950</v>
      </c>
      <c r="F2518" t="s">
        <v>5317</v>
      </c>
      <c r="G2518" s="2">
        <v>45759</v>
      </c>
      <c r="H2518" s="2">
        <v>45765</v>
      </c>
      <c r="I2518" t="s">
        <v>5760</v>
      </c>
      <c r="J2518" t="s">
        <v>5768</v>
      </c>
      <c r="K2518">
        <v>441623.24</v>
      </c>
      <c r="L2518" t="s">
        <v>5774</v>
      </c>
      <c r="M2518">
        <v>6</v>
      </c>
    </row>
    <row r="2519" spans="1:13" x14ac:dyDescent="0.25">
      <c r="A2519">
        <v>2518</v>
      </c>
      <c r="B2519" t="s">
        <v>2530</v>
      </c>
      <c r="C2519">
        <v>1</v>
      </c>
      <c r="D2519" t="s">
        <v>2947</v>
      </c>
      <c r="E2519" t="s">
        <v>2952</v>
      </c>
      <c r="F2519" t="s">
        <v>5318</v>
      </c>
      <c r="G2519" s="2">
        <v>45876</v>
      </c>
      <c r="H2519" s="2">
        <v>45890</v>
      </c>
      <c r="I2519" t="s">
        <v>5765</v>
      </c>
      <c r="J2519" t="s">
        <v>2949</v>
      </c>
      <c r="K2519">
        <v>457142.71</v>
      </c>
      <c r="L2519" t="s">
        <v>5775</v>
      </c>
      <c r="M2519">
        <v>14</v>
      </c>
    </row>
    <row r="2520" spans="1:13" x14ac:dyDescent="0.25">
      <c r="A2520">
        <v>2519</v>
      </c>
      <c r="B2520" t="s">
        <v>2531</v>
      </c>
      <c r="C2520">
        <v>13</v>
      </c>
      <c r="D2520" t="s">
        <v>2948</v>
      </c>
      <c r="E2520" t="s">
        <v>2954</v>
      </c>
      <c r="F2520" t="s">
        <v>5319</v>
      </c>
      <c r="G2520" s="2">
        <v>45695</v>
      </c>
      <c r="H2520" s="2">
        <v>45707</v>
      </c>
      <c r="I2520" t="s">
        <v>5761</v>
      </c>
      <c r="J2520" t="s">
        <v>5769</v>
      </c>
      <c r="K2520">
        <v>99774.8</v>
      </c>
      <c r="L2520" t="s">
        <v>5774</v>
      </c>
      <c r="M2520">
        <v>12</v>
      </c>
    </row>
    <row r="2521" spans="1:13" x14ac:dyDescent="0.25">
      <c r="A2521">
        <v>2520</v>
      </c>
      <c r="B2521" t="s">
        <v>2532</v>
      </c>
      <c r="C2521">
        <v>80</v>
      </c>
      <c r="D2521" t="s">
        <v>2948</v>
      </c>
      <c r="E2521" t="s">
        <v>2954</v>
      </c>
      <c r="F2521" t="s">
        <v>5320</v>
      </c>
      <c r="G2521" s="2">
        <v>45595</v>
      </c>
      <c r="H2521" s="2">
        <v>45598</v>
      </c>
      <c r="I2521" t="s">
        <v>5763</v>
      </c>
      <c r="J2521" t="s">
        <v>5768</v>
      </c>
      <c r="K2521">
        <v>391144.76</v>
      </c>
      <c r="L2521" t="s">
        <v>5775</v>
      </c>
      <c r="M2521">
        <v>3</v>
      </c>
    </row>
    <row r="2522" spans="1:13" x14ac:dyDescent="0.25">
      <c r="A2522">
        <v>2521</v>
      </c>
      <c r="B2522" t="s">
        <v>2533</v>
      </c>
      <c r="C2522">
        <v>39</v>
      </c>
      <c r="D2522" t="s">
        <v>2947</v>
      </c>
      <c r="E2522" t="s">
        <v>2954</v>
      </c>
      <c r="F2522" t="s">
        <v>5321</v>
      </c>
      <c r="G2522" s="2">
        <v>45805</v>
      </c>
      <c r="H2522" s="2">
        <v>45810</v>
      </c>
      <c r="I2522" t="s">
        <v>5761</v>
      </c>
      <c r="J2522" t="s">
        <v>5772</v>
      </c>
      <c r="K2522">
        <v>65301.45</v>
      </c>
      <c r="L2522" t="s">
        <v>5773</v>
      </c>
      <c r="M2522">
        <v>5</v>
      </c>
    </row>
    <row r="2523" spans="1:13" x14ac:dyDescent="0.25">
      <c r="A2523">
        <v>2522</v>
      </c>
      <c r="B2523" t="s">
        <v>2534</v>
      </c>
      <c r="C2523">
        <v>23</v>
      </c>
      <c r="D2523" t="s">
        <v>2947</v>
      </c>
      <c r="E2523" t="s">
        <v>2954</v>
      </c>
      <c r="F2523" t="s">
        <v>5322</v>
      </c>
      <c r="G2523" s="2">
        <v>45628</v>
      </c>
      <c r="H2523" s="2">
        <v>45639</v>
      </c>
      <c r="I2523" t="s">
        <v>5760</v>
      </c>
      <c r="J2523" t="s">
        <v>5770</v>
      </c>
      <c r="K2523">
        <v>322320.69</v>
      </c>
      <c r="L2523" t="s">
        <v>5775</v>
      </c>
      <c r="M2523">
        <v>11</v>
      </c>
    </row>
    <row r="2524" spans="1:13" x14ac:dyDescent="0.25">
      <c r="A2524">
        <v>2523</v>
      </c>
      <c r="B2524" t="s">
        <v>2535</v>
      </c>
      <c r="C2524">
        <v>43</v>
      </c>
      <c r="D2524" t="s">
        <v>2947</v>
      </c>
      <c r="E2524" t="s">
        <v>2953</v>
      </c>
      <c r="F2524" t="s">
        <v>5323</v>
      </c>
      <c r="G2524" s="2">
        <v>45704</v>
      </c>
      <c r="H2524" s="2">
        <v>45706</v>
      </c>
      <c r="I2524" t="s">
        <v>5764</v>
      </c>
      <c r="J2524" t="s">
        <v>5769</v>
      </c>
      <c r="K2524">
        <v>421801.47</v>
      </c>
      <c r="L2524" t="s">
        <v>5775</v>
      </c>
      <c r="M2524">
        <v>2</v>
      </c>
    </row>
    <row r="2525" spans="1:13" x14ac:dyDescent="0.25">
      <c r="A2525">
        <v>2524</v>
      </c>
      <c r="B2525" t="s">
        <v>2536</v>
      </c>
      <c r="C2525">
        <v>78</v>
      </c>
      <c r="D2525" t="s">
        <v>2947</v>
      </c>
      <c r="E2525" t="s">
        <v>2955</v>
      </c>
      <c r="F2525" t="s">
        <v>5324</v>
      </c>
      <c r="G2525" s="2">
        <v>45608</v>
      </c>
      <c r="H2525" s="2">
        <v>45623</v>
      </c>
      <c r="I2525" t="s">
        <v>5758</v>
      </c>
      <c r="J2525" t="s">
        <v>5771</v>
      </c>
      <c r="K2525">
        <v>300283.26</v>
      </c>
      <c r="L2525" t="s">
        <v>5775</v>
      </c>
      <c r="M2525">
        <v>15</v>
      </c>
    </row>
    <row r="2526" spans="1:13" x14ac:dyDescent="0.25">
      <c r="A2526">
        <v>2525</v>
      </c>
      <c r="B2526" t="s">
        <v>2537</v>
      </c>
      <c r="C2526">
        <v>80</v>
      </c>
      <c r="D2526" t="s">
        <v>2948</v>
      </c>
      <c r="E2526" t="s">
        <v>2952</v>
      </c>
      <c r="F2526" t="s">
        <v>5325</v>
      </c>
      <c r="G2526" s="2">
        <v>45867</v>
      </c>
      <c r="H2526" s="2">
        <v>45880</v>
      </c>
      <c r="I2526" t="s">
        <v>5764</v>
      </c>
      <c r="J2526" t="s">
        <v>2949</v>
      </c>
      <c r="K2526">
        <v>493489.11</v>
      </c>
      <c r="L2526" t="s">
        <v>5773</v>
      </c>
      <c r="M2526">
        <v>13</v>
      </c>
    </row>
    <row r="2527" spans="1:13" x14ac:dyDescent="0.25">
      <c r="A2527">
        <v>2526</v>
      </c>
      <c r="B2527" t="s">
        <v>2538</v>
      </c>
      <c r="C2527">
        <v>40</v>
      </c>
      <c r="D2527" t="s">
        <v>2948</v>
      </c>
      <c r="E2527" t="s">
        <v>2951</v>
      </c>
      <c r="F2527" t="s">
        <v>5326</v>
      </c>
      <c r="G2527" s="2">
        <v>45564</v>
      </c>
      <c r="H2527" s="2">
        <v>45569</v>
      </c>
      <c r="I2527" t="s">
        <v>5767</v>
      </c>
      <c r="J2527" t="s">
        <v>5771</v>
      </c>
      <c r="K2527">
        <v>26289.74</v>
      </c>
      <c r="L2527" t="s">
        <v>5773</v>
      </c>
      <c r="M2527">
        <v>5</v>
      </c>
    </row>
    <row r="2528" spans="1:13" x14ac:dyDescent="0.25">
      <c r="A2528">
        <v>2527</v>
      </c>
      <c r="B2528" t="s">
        <v>2539</v>
      </c>
      <c r="C2528">
        <v>63</v>
      </c>
      <c r="D2528" t="s">
        <v>2948</v>
      </c>
      <c r="E2528" t="s">
        <v>2954</v>
      </c>
      <c r="F2528" t="s">
        <v>5327</v>
      </c>
      <c r="G2528" s="2">
        <v>45799</v>
      </c>
      <c r="H2528" s="2">
        <v>45809</v>
      </c>
      <c r="I2528" t="s">
        <v>5758</v>
      </c>
      <c r="J2528" t="s">
        <v>5771</v>
      </c>
      <c r="K2528">
        <v>296407.34000000003</v>
      </c>
      <c r="L2528" t="s">
        <v>5773</v>
      </c>
      <c r="M2528">
        <v>10</v>
      </c>
    </row>
    <row r="2529" spans="1:13" x14ac:dyDescent="0.25">
      <c r="A2529">
        <v>2528</v>
      </c>
      <c r="B2529" t="s">
        <v>2540</v>
      </c>
      <c r="C2529">
        <v>83</v>
      </c>
      <c r="D2529" t="s">
        <v>2948</v>
      </c>
      <c r="E2529" t="s">
        <v>2950</v>
      </c>
      <c r="F2529" t="s">
        <v>5328</v>
      </c>
      <c r="G2529" s="2">
        <v>45635</v>
      </c>
      <c r="H2529" s="2">
        <v>45639</v>
      </c>
      <c r="I2529" t="s">
        <v>5764</v>
      </c>
      <c r="J2529" t="s">
        <v>2949</v>
      </c>
      <c r="K2529">
        <v>479073.58</v>
      </c>
      <c r="L2529" t="s">
        <v>5775</v>
      </c>
      <c r="M2529">
        <v>4</v>
      </c>
    </row>
    <row r="2530" spans="1:13" x14ac:dyDescent="0.25">
      <c r="A2530">
        <v>2529</v>
      </c>
      <c r="B2530" t="s">
        <v>2541</v>
      </c>
      <c r="C2530">
        <v>61</v>
      </c>
      <c r="D2530" t="s">
        <v>2948</v>
      </c>
      <c r="E2530" t="s">
        <v>2954</v>
      </c>
      <c r="F2530" t="s">
        <v>5329</v>
      </c>
      <c r="G2530" s="2">
        <v>45848</v>
      </c>
      <c r="H2530" s="2">
        <v>45861</v>
      </c>
      <c r="I2530" t="s">
        <v>5759</v>
      </c>
      <c r="J2530" t="s">
        <v>2949</v>
      </c>
      <c r="K2530">
        <v>233456.98</v>
      </c>
      <c r="L2530" t="s">
        <v>5773</v>
      </c>
      <c r="M2530">
        <v>13</v>
      </c>
    </row>
    <row r="2531" spans="1:13" x14ac:dyDescent="0.25">
      <c r="A2531">
        <v>2530</v>
      </c>
      <c r="B2531" t="s">
        <v>2542</v>
      </c>
      <c r="C2531">
        <v>17</v>
      </c>
      <c r="D2531" t="s">
        <v>2947</v>
      </c>
      <c r="E2531" t="s">
        <v>2953</v>
      </c>
      <c r="F2531" t="s">
        <v>5330</v>
      </c>
      <c r="G2531" s="2">
        <v>45680</v>
      </c>
      <c r="H2531" s="2">
        <v>45687</v>
      </c>
      <c r="I2531" t="s">
        <v>5761</v>
      </c>
      <c r="J2531" t="s">
        <v>2949</v>
      </c>
      <c r="K2531">
        <v>128428.6</v>
      </c>
      <c r="L2531" t="s">
        <v>5775</v>
      </c>
      <c r="M2531">
        <v>7</v>
      </c>
    </row>
    <row r="2532" spans="1:13" x14ac:dyDescent="0.25">
      <c r="A2532">
        <v>2531</v>
      </c>
      <c r="B2532" t="s">
        <v>2543</v>
      </c>
      <c r="C2532">
        <v>27</v>
      </c>
      <c r="D2532" t="s">
        <v>2947</v>
      </c>
      <c r="E2532" t="s">
        <v>2949</v>
      </c>
      <c r="F2532" t="s">
        <v>5331</v>
      </c>
      <c r="G2532" s="2">
        <v>45878</v>
      </c>
      <c r="H2532" s="2">
        <v>45890</v>
      </c>
      <c r="I2532" t="s">
        <v>5762</v>
      </c>
      <c r="J2532" t="s">
        <v>5771</v>
      </c>
      <c r="K2532">
        <v>464819.89</v>
      </c>
      <c r="L2532" t="s">
        <v>5773</v>
      </c>
      <c r="M2532">
        <v>12</v>
      </c>
    </row>
    <row r="2533" spans="1:13" x14ac:dyDescent="0.25">
      <c r="A2533">
        <v>2532</v>
      </c>
      <c r="B2533" t="s">
        <v>2544</v>
      </c>
      <c r="C2533">
        <v>35</v>
      </c>
      <c r="D2533" t="s">
        <v>2948</v>
      </c>
      <c r="E2533" t="s">
        <v>2950</v>
      </c>
      <c r="F2533" t="s">
        <v>4022</v>
      </c>
      <c r="G2533" s="2">
        <v>45676</v>
      </c>
      <c r="H2533" s="2">
        <v>45678</v>
      </c>
      <c r="I2533" t="s">
        <v>5767</v>
      </c>
      <c r="J2533" t="s">
        <v>5772</v>
      </c>
      <c r="K2533">
        <v>392128.38</v>
      </c>
      <c r="L2533" t="s">
        <v>5773</v>
      </c>
      <c r="M2533">
        <v>2</v>
      </c>
    </row>
    <row r="2534" spans="1:13" x14ac:dyDescent="0.25">
      <c r="A2534">
        <v>2533</v>
      </c>
      <c r="B2534" t="s">
        <v>2545</v>
      </c>
      <c r="C2534">
        <v>84</v>
      </c>
      <c r="D2534" t="s">
        <v>2948</v>
      </c>
      <c r="E2534" t="s">
        <v>2952</v>
      </c>
      <c r="F2534" t="s">
        <v>5332</v>
      </c>
      <c r="G2534" s="2">
        <v>45584</v>
      </c>
      <c r="H2534" s="2">
        <v>45599</v>
      </c>
      <c r="I2534" t="s">
        <v>5760</v>
      </c>
      <c r="J2534" t="s">
        <v>5770</v>
      </c>
      <c r="K2534">
        <v>276289.93</v>
      </c>
      <c r="L2534" t="s">
        <v>5774</v>
      </c>
      <c r="M2534">
        <v>15</v>
      </c>
    </row>
    <row r="2535" spans="1:13" x14ac:dyDescent="0.25">
      <c r="A2535">
        <v>2534</v>
      </c>
      <c r="B2535" t="s">
        <v>2546</v>
      </c>
      <c r="C2535">
        <v>86</v>
      </c>
      <c r="D2535" t="s">
        <v>2948</v>
      </c>
      <c r="E2535" t="s">
        <v>2955</v>
      </c>
      <c r="F2535" t="s">
        <v>1893</v>
      </c>
      <c r="G2535" s="2">
        <v>45604</v>
      </c>
      <c r="H2535" s="2">
        <v>45607</v>
      </c>
      <c r="I2535" t="s">
        <v>5759</v>
      </c>
      <c r="J2535" t="s">
        <v>5769</v>
      </c>
      <c r="K2535">
        <v>280919.7</v>
      </c>
      <c r="L2535" t="s">
        <v>5774</v>
      </c>
      <c r="M2535">
        <v>3</v>
      </c>
    </row>
    <row r="2536" spans="1:13" x14ac:dyDescent="0.25">
      <c r="A2536">
        <v>2535</v>
      </c>
      <c r="B2536" t="s">
        <v>2547</v>
      </c>
      <c r="C2536">
        <v>23</v>
      </c>
      <c r="D2536" t="s">
        <v>2947</v>
      </c>
      <c r="E2536" t="s">
        <v>2950</v>
      </c>
      <c r="F2536" t="s">
        <v>5333</v>
      </c>
      <c r="G2536" s="2">
        <v>45603</v>
      </c>
      <c r="H2536" s="2">
        <v>45608</v>
      </c>
      <c r="I2536" t="s">
        <v>5767</v>
      </c>
      <c r="J2536" t="s">
        <v>2949</v>
      </c>
      <c r="K2536">
        <v>18308.93</v>
      </c>
      <c r="L2536" t="s">
        <v>5774</v>
      </c>
      <c r="M2536">
        <v>5</v>
      </c>
    </row>
    <row r="2537" spans="1:13" x14ac:dyDescent="0.25">
      <c r="A2537">
        <v>2536</v>
      </c>
      <c r="B2537" t="s">
        <v>2548</v>
      </c>
      <c r="C2537">
        <v>16</v>
      </c>
      <c r="D2537" t="s">
        <v>2947</v>
      </c>
      <c r="E2537" t="s">
        <v>2952</v>
      </c>
      <c r="F2537" t="s">
        <v>5334</v>
      </c>
      <c r="G2537" s="2">
        <v>45606</v>
      </c>
      <c r="H2537" s="2">
        <v>45621</v>
      </c>
      <c r="I2537" t="s">
        <v>5764</v>
      </c>
      <c r="J2537" t="s">
        <v>5772</v>
      </c>
      <c r="K2537">
        <v>32925.79</v>
      </c>
      <c r="L2537" t="s">
        <v>5775</v>
      </c>
      <c r="M2537">
        <v>15</v>
      </c>
    </row>
    <row r="2538" spans="1:13" x14ac:dyDescent="0.25">
      <c r="A2538">
        <v>2537</v>
      </c>
      <c r="B2538" t="s">
        <v>2549</v>
      </c>
      <c r="C2538">
        <v>87</v>
      </c>
      <c r="D2538" t="s">
        <v>2948</v>
      </c>
      <c r="E2538" t="s">
        <v>2950</v>
      </c>
      <c r="F2538" t="s">
        <v>5335</v>
      </c>
      <c r="G2538" s="2">
        <v>45717</v>
      </c>
      <c r="H2538" s="2">
        <v>45724</v>
      </c>
      <c r="I2538" t="s">
        <v>5767</v>
      </c>
      <c r="J2538" t="s">
        <v>5768</v>
      </c>
      <c r="K2538">
        <v>450045.63</v>
      </c>
      <c r="L2538" t="s">
        <v>5774</v>
      </c>
      <c r="M2538">
        <v>7</v>
      </c>
    </row>
    <row r="2539" spans="1:13" x14ac:dyDescent="0.25">
      <c r="A2539">
        <v>2538</v>
      </c>
      <c r="B2539" t="s">
        <v>2550</v>
      </c>
      <c r="C2539">
        <v>31</v>
      </c>
      <c r="D2539" t="s">
        <v>2948</v>
      </c>
      <c r="E2539" t="s">
        <v>2951</v>
      </c>
      <c r="F2539" t="s">
        <v>5336</v>
      </c>
      <c r="G2539" s="2">
        <v>45709</v>
      </c>
      <c r="H2539" s="2">
        <v>45718</v>
      </c>
      <c r="I2539" t="s">
        <v>5762</v>
      </c>
      <c r="J2539" t="s">
        <v>5770</v>
      </c>
      <c r="K2539">
        <v>229895.23</v>
      </c>
      <c r="L2539" t="s">
        <v>5775</v>
      </c>
      <c r="M2539">
        <v>9</v>
      </c>
    </row>
    <row r="2540" spans="1:13" x14ac:dyDescent="0.25">
      <c r="A2540">
        <v>2539</v>
      </c>
      <c r="B2540" t="s">
        <v>2551</v>
      </c>
      <c r="C2540">
        <v>86</v>
      </c>
      <c r="D2540" t="s">
        <v>2947</v>
      </c>
      <c r="E2540" t="s">
        <v>2951</v>
      </c>
      <c r="F2540" t="s">
        <v>5337</v>
      </c>
      <c r="G2540" s="2">
        <v>45799</v>
      </c>
      <c r="H2540" s="2">
        <v>45801</v>
      </c>
      <c r="I2540" t="s">
        <v>5758</v>
      </c>
      <c r="J2540" t="s">
        <v>5772</v>
      </c>
      <c r="K2540">
        <v>474887.32</v>
      </c>
      <c r="L2540" t="s">
        <v>5773</v>
      </c>
      <c r="M2540">
        <v>2</v>
      </c>
    </row>
    <row r="2541" spans="1:13" x14ac:dyDescent="0.25">
      <c r="A2541">
        <v>2540</v>
      </c>
      <c r="B2541" t="s">
        <v>2552</v>
      </c>
      <c r="C2541">
        <v>32</v>
      </c>
      <c r="D2541" t="s">
        <v>2947</v>
      </c>
      <c r="E2541" t="s">
        <v>2954</v>
      </c>
      <c r="F2541" t="s">
        <v>5338</v>
      </c>
      <c r="G2541" s="2">
        <v>45720</v>
      </c>
      <c r="H2541" s="2">
        <v>45722</v>
      </c>
      <c r="I2541" t="s">
        <v>5763</v>
      </c>
      <c r="J2541" t="s">
        <v>5772</v>
      </c>
      <c r="K2541">
        <v>166898</v>
      </c>
      <c r="L2541" t="s">
        <v>5774</v>
      </c>
      <c r="M2541">
        <v>2</v>
      </c>
    </row>
    <row r="2542" spans="1:13" x14ac:dyDescent="0.25">
      <c r="A2542">
        <v>2541</v>
      </c>
      <c r="B2542" t="s">
        <v>2553</v>
      </c>
      <c r="C2542">
        <v>7</v>
      </c>
      <c r="D2542" t="s">
        <v>2947</v>
      </c>
      <c r="E2542" t="s">
        <v>2955</v>
      </c>
      <c r="F2542" t="s">
        <v>5339</v>
      </c>
      <c r="G2542" s="2">
        <v>45587</v>
      </c>
      <c r="H2542" s="2">
        <v>45597</v>
      </c>
      <c r="I2542" t="s">
        <v>5765</v>
      </c>
      <c r="J2542" t="s">
        <v>5770</v>
      </c>
      <c r="K2542">
        <v>111472.83</v>
      </c>
      <c r="L2542" t="s">
        <v>5774</v>
      </c>
      <c r="M2542">
        <v>10</v>
      </c>
    </row>
    <row r="2543" spans="1:13" x14ac:dyDescent="0.25">
      <c r="A2543">
        <v>2542</v>
      </c>
      <c r="B2543" t="s">
        <v>2554</v>
      </c>
      <c r="C2543">
        <v>17</v>
      </c>
      <c r="D2543" t="s">
        <v>2948</v>
      </c>
      <c r="E2543" t="s">
        <v>2950</v>
      </c>
      <c r="F2543" t="s">
        <v>5340</v>
      </c>
      <c r="G2543" s="2">
        <v>45555</v>
      </c>
      <c r="H2543" s="2">
        <v>45560</v>
      </c>
      <c r="I2543" t="s">
        <v>5758</v>
      </c>
      <c r="J2543" t="s">
        <v>5768</v>
      </c>
      <c r="K2543">
        <v>80425.06</v>
      </c>
      <c r="L2543" t="s">
        <v>5773</v>
      </c>
      <c r="M2543">
        <v>5</v>
      </c>
    </row>
    <row r="2544" spans="1:13" x14ac:dyDescent="0.25">
      <c r="A2544">
        <v>2543</v>
      </c>
      <c r="B2544" t="s">
        <v>2555</v>
      </c>
      <c r="C2544">
        <v>71</v>
      </c>
      <c r="D2544" t="s">
        <v>2947</v>
      </c>
      <c r="E2544" t="s">
        <v>2951</v>
      </c>
      <c r="F2544" t="s">
        <v>5341</v>
      </c>
      <c r="G2544" s="2">
        <v>45645</v>
      </c>
      <c r="H2544" s="2">
        <v>45653</v>
      </c>
      <c r="I2544" t="s">
        <v>5760</v>
      </c>
      <c r="J2544" t="s">
        <v>5769</v>
      </c>
      <c r="K2544">
        <v>209417.56</v>
      </c>
      <c r="L2544" t="s">
        <v>5775</v>
      </c>
      <c r="M2544">
        <v>8</v>
      </c>
    </row>
    <row r="2545" spans="1:13" x14ac:dyDescent="0.25">
      <c r="A2545">
        <v>2544</v>
      </c>
      <c r="B2545" t="s">
        <v>2556</v>
      </c>
      <c r="C2545">
        <v>25</v>
      </c>
      <c r="D2545" t="s">
        <v>2947</v>
      </c>
      <c r="E2545" t="s">
        <v>2950</v>
      </c>
      <c r="F2545" t="s">
        <v>5342</v>
      </c>
      <c r="G2545" s="2">
        <v>45705</v>
      </c>
      <c r="H2545" s="2">
        <v>45714</v>
      </c>
      <c r="I2545" t="s">
        <v>5762</v>
      </c>
      <c r="J2545" t="s">
        <v>5771</v>
      </c>
      <c r="K2545">
        <v>107515.65</v>
      </c>
      <c r="L2545" t="s">
        <v>5773</v>
      </c>
      <c r="M2545">
        <v>9</v>
      </c>
    </row>
    <row r="2546" spans="1:13" x14ac:dyDescent="0.25">
      <c r="A2546">
        <v>2545</v>
      </c>
      <c r="B2546" t="s">
        <v>2557</v>
      </c>
      <c r="C2546">
        <v>29</v>
      </c>
      <c r="D2546" t="s">
        <v>2948</v>
      </c>
      <c r="E2546" t="s">
        <v>2950</v>
      </c>
      <c r="F2546" t="s">
        <v>5343</v>
      </c>
      <c r="G2546" s="2">
        <v>45865</v>
      </c>
      <c r="H2546" s="2">
        <v>45875</v>
      </c>
      <c r="I2546" t="s">
        <v>5763</v>
      </c>
      <c r="J2546" t="s">
        <v>5769</v>
      </c>
      <c r="K2546">
        <v>450538.55</v>
      </c>
      <c r="L2546" t="s">
        <v>5774</v>
      </c>
      <c r="M2546">
        <v>10</v>
      </c>
    </row>
    <row r="2547" spans="1:13" x14ac:dyDescent="0.25">
      <c r="A2547">
        <v>2546</v>
      </c>
      <c r="B2547" t="s">
        <v>2558</v>
      </c>
      <c r="C2547">
        <v>59</v>
      </c>
      <c r="D2547" t="s">
        <v>2947</v>
      </c>
      <c r="E2547" t="s">
        <v>2952</v>
      </c>
      <c r="F2547" t="s">
        <v>5344</v>
      </c>
      <c r="G2547" s="2">
        <v>45897</v>
      </c>
      <c r="H2547" s="2">
        <v>45909</v>
      </c>
      <c r="I2547" t="s">
        <v>5762</v>
      </c>
      <c r="J2547" t="s">
        <v>5770</v>
      </c>
      <c r="K2547">
        <v>320613.19</v>
      </c>
      <c r="L2547" t="s">
        <v>5774</v>
      </c>
      <c r="M2547">
        <v>12</v>
      </c>
    </row>
    <row r="2548" spans="1:13" x14ac:dyDescent="0.25">
      <c r="A2548">
        <v>2547</v>
      </c>
      <c r="B2548" t="s">
        <v>2559</v>
      </c>
      <c r="C2548">
        <v>65</v>
      </c>
      <c r="D2548" t="s">
        <v>2948</v>
      </c>
      <c r="E2548" t="s">
        <v>2950</v>
      </c>
      <c r="F2548" t="s">
        <v>5345</v>
      </c>
      <c r="G2548" s="2">
        <v>45810</v>
      </c>
      <c r="H2548" s="2">
        <v>45821</v>
      </c>
      <c r="I2548" t="s">
        <v>5765</v>
      </c>
      <c r="J2548" t="s">
        <v>5768</v>
      </c>
      <c r="K2548">
        <v>292302.65999999997</v>
      </c>
      <c r="L2548" t="s">
        <v>5775</v>
      </c>
      <c r="M2548">
        <v>11</v>
      </c>
    </row>
    <row r="2549" spans="1:13" x14ac:dyDescent="0.25">
      <c r="A2549">
        <v>2548</v>
      </c>
      <c r="B2549" t="s">
        <v>2560</v>
      </c>
      <c r="C2549">
        <v>64</v>
      </c>
      <c r="D2549" t="s">
        <v>2947</v>
      </c>
      <c r="E2549" t="s">
        <v>2954</v>
      </c>
      <c r="F2549" t="s">
        <v>5346</v>
      </c>
      <c r="G2549" s="2">
        <v>45614</v>
      </c>
      <c r="H2549" s="2">
        <v>45626</v>
      </c>
      <c r="I2549" t="s">
        <v>5760</v>
      </c>
      <c r="J2549" t="s">
        <v>5772</v>
      </c>
      <c r="K2549">
        <v>374246.05</v>
      </c>
      <c r="L2549" t="s">
        <v>5773</v>
      </c>
      <c r="M2549">
        <v>12</v>
      </c>
    </row>
    <row r="2550" spans="1:13" x14ac:dyDescent="0.25">
      <c r="A2550">
        <v>2549</v>
      </c>
      <c r="B2550" t="s">
        <v>2561</v>
      </c>
      <c r="C2550">
        <v>18</v>
      </c>
      <c r="D2550" t="s">
        <v>2948</v>
      </c>
      <c r="E2550" t="s">
        <v>2949</v>
      </c>
      <c r="F2550" t="s">
        <v>5347</v>
      </c>
      <c r="G2550" s="2">
        <v>45897</v>
      </c>
      <c r="H2550" s="2">
        <v>45912</v>
      </c>
      <c r="I2550" t="s">
        <v>5765</v>
      </c>
      <c r="J2550" t="s">
        <v>5768</v>
      </c>
      <c r="K2550">
        <v>416797.62</v>
      </c>
      <c r="L2550" t="s">
        <v>5775</v>
      </c>
      <c r="M2550">
        <v>15</v>
      </c>
    </row>
    <row r="2551" spans="1:13" x14ac:dyDescent="0.25">
      <c r="A2551">
        <v>2550</v>
      </c>
      <c r="B2551" t="s">
        <v>2562</v>
      </c>
      <c r="C2551">
        <v>70</v>
      </c>
      <c r="D2551" t="s">
        <v>2947</v>
      </c>
      <c r="E2551" t="s">
        <v>2955</v>
      </c>
      <c r="F2551" t="s">
        <v>5348</v>
      </c>
      <c r="G2551" s="2">
        <v>45777</v>
      </c>
      <c r="H2551" s="2">
        <v>45790</v>
      </c>
      <c r="I2551" t="s">
        <v>5760</v>
      </c>
      <c r="J2551" t="s">
        <v>5772</v>
      </c>
      <c r="K2551">
        <v>496876.66</v>
      </c>
      <c r="L2551" t="s">
        <v>5773</v>
      </c>
      <c r="M2551">
        <v>13</v>
      </c>
    </row>
    <row r="2552" spans="1:13" x14ac:dyDescent="0.25">
      <c r="A2552">
        <v>2551</v>
      </c>
      <c r="B2552" t="s">
        <v>2563</v>
      </c>
      <c r="C2552">
        <v>33</v>
      </c>
      <c r="D2552" t="s">
        <v>2947</v>
      </c>
      <c r="E2552" t="s">
        <v>2949</v>
      </c>
      <c r="F2552" t="s">
        <v>5349</v>
      </c>
      <c r="G2552" s="2">
        <v>45698</v>
      </c>
      <c r="H2552" s="2">
        <v>45704</v>
      </c>
      <c r="I2552" t="s">
        <v>5765</v>
      </c>
      <c r="J2552" t="s">
        <v>5769</v>
      </c>
      <c r="K2552">
        <v>476687.11</v>
      </c>
      <c r="L2552" t="s">
        <v>5773</v>
      </c>
      <c r="M2552">
        <v>6</v>
      </c>
    </row>
    <row r="2553" spans="1:13" x14ac:dyDescent="0.25">
      <c r="A2553">
        <v>2552</v>
      </c>
      <c r="B2553" t="s">
        <v>2564</v>
      </c>
      <c r="C2553">
        <v>30</v>
      </c>
      <c r="D2553" t="s">
        <v>2948</v>
      </c>
      <c r="E2553" t="s">
        <v>2951</v>
      </c>
      <c r="F2553" t="s">
        <v>5350</v>
      </c>
      <c r="G2553" s="2">
        <v>45587</v>
      </c>
      <c r="H2553" s="2">
        <v>45596</v>
      </c>
      <c r="I2553" t="s">
        <v>5760</v>
      </c>
      <c r="J2553" t="s">
        <v>5769</v>
      </c>
      <c r="K2553">
        <v>416368.96</v>
      </c>
      <c r="L2553" t="s">
        <v>5773</v>
      </c>
      <c r="M2553">
        <v>9</v>
      </c>
    </row>
    <row r="2554" spans="1:13" x14ac:dyDescent="0.25">
      <c r="A2554">
        <v>2553</v>
      </c>
      <c r="B2554" t="s">
        <v>2565</v>
      </c>
      <c r="C2554">
        <v>58</v>
      </c>
      <c r="D2554" t="s">
        <v>2947</v>
      </c>
      <c r="E2554" t="s">
        <v>2952</v>
      </c>
      <c r="F2554" t="s">
        <v>5351</v>
      </c>
      <c r="G2554" s="2">
        <v>45804</v>
      </c>
      <c r="H2554" s="2">
        <v>45806</v>
      </c>
      <c r="I2554" t="s">
        <v>5759</v>
      </c>
      <c r="J2554" t="s">
        <v>2949</v>
      </c>
      <c r="K2554">
        <v>355647.43</v>
      </c>
      <c r="L2554" t="s">
        <v>5773</v>
      </c>
      <c r="M2554">
        <v>2</v>
      </c>
    </row>
    <row r="2555" spans="1:13" x14ac:dyDescent="0.25">
      <c r="A2555">
        <v>2554</v>
      </c>
      <c r="B2555" t="s">
        <v>2566</v>
      </c>
      <c r="C2555">
        <v>86</v>
      </c>
      <c r="D2555" t="s">
        <v>2948</v>
      </c>
      <c r="E2555" t="s">
        <v>2949</v>
      </c>
      <c r="F2555" t="s">
        <v>5352</v>
      </c>
      <c r="G2555" s="2">
        <v>45652</v>
      </c>
      <c r="H2555" s="2">
        <v>45665</v>
      </c>
      <c r="I2555" t="s">
        <v>5764</v>
      </c>
      <c r="J2555" t="s">
        <v>5768</v>
      </c>
      <c r="K2555">
        <v>209904.31</v>
      </c>
      <c r="L2555" t="s">
        <v>5775</v>
      </c>
      <c r="M2555">
        <v>13</v>
      </c>
    </row>
    <row r="2556" spans="1:13" x14ac:dyDescent="0.25">
      <c r="A2556">
        <v>2555</v>
      </c>
      <c r="B2556" t="s">
        <v>2567</v>
      </c>
      <c r="C2556">
        <v>23</v>
      </c>
      <c r="D2556" t="s">
        <v>2947</v>
      </c>
      <c r="E2556" t="s">
        <v>2954</v>
      </c>
      <c r="F2556" t="s">
        <v>5353</v>
      </c>
      <c r="G2556" s="2">
        <v>45739</v>
      </c>
      <c r="H2556" s="2">
        <v>45749</v>
      </c>
      <c r="I2556" t="s">
        <v>5759</v>
      </c>
      <c r="J2556" t="s">
        <v>5771</v>
      </c>
      <c r="K2556">
        <v>422120.21</v>
      </c>
      <c r="L2556" t="s">
        <v>5775</v>
      </c>
      <c r="M2556">
        <v>10</v>
      </c>
    </row>
    <row r="2557" spans="1:13" x14ac:dyDescent="0.25">
      <c r="A2557">
        <v>2556</v>
      </c>
      <c r="B2557" t="s">
        <v>2568</v>
      </c>
      <c r="C2557">
        <v>45</v>
      </c>
      <c r="D2557" t="s">
        <v>2947</v>
      </c>
      <c r="E2557" t="s">
        <v>2949</v>
      </c>
      <c r="F2557" t="s">
        <v>5354</v>
      </c>
      <c r="G2557" s="2">
        <v>45732</v>
      </c>
      <c r="H2557" s="2">
        <v>45742</v>
      </c>
      <c r="I2557" t="s">
        <v>5758</v>
      </c>
      <c r="J2557" t="s">
        <v>5769</v>
      </c>
      <c r="K2557">
        <v>229086.5</v>
      </c>
      <c r="L2557" t="s">
        <v>5775</v>
      </c>
      <c r="M2557">
        <v>10</v>
      </c>
    </row>
    <row r="2558" spans="1:13" x14ac:dyDescent="0.25">
      <c r="A2558">
        <v>2557</v>
      </c>
      <c r="B2558" t="s">
        <v>2569</v>
      </c>
      <c r="C2558">
        <v>23</v>
      </c>
      <c r="D2558" t="s">
        <v>2948</v>
      </c>
      <c r="E2558" t="s">
        <v>2955</v>
      </c>
      <c r="F2558" t="s">
        <v>5355</v>
      </c>
      <c r="G2558" s="2">
        <v>45681</v>
      </c>
      <c r="H2558" s="2">
        <v>45689</v>
      </c>
      <c r="I2558" t="s">
        <v>5767</v>
      </c>
      <c r="J2558" t="s">
        <v>5770</v>
      </c>
      <c r="K2558">
        <v>434867.7</v>
      </c>
      <c r="L2558" t="s">
        <v>5774</v>
      </c>
      <c r="M2558">
        <v>8</v>
      </c>
    </row>
    <row r="2559" spans="1:13" x14ac:dyDescent="0.25">
      <c r="A2559">
        <v>2558</v>
      </c>
      <c r="B2559" t="s">
        <v>2570</v>
      </c>
      <c r="C2559">
        <v>34</v>
      </c>
      <c r="D2559" t="s">
        <v>2947</v>
      </c>
      <c r="E2559" t="s">
        <v>2949</v>
      </c>
      <c r="F2559" t="s">
        <v>5356</v>
      </c>
      <c r="G2559" s="2">
        <v>45639</v>
      </c>
      <c r="H2559" s="2">
        <v>45649</v>
      </c>
      <c r="I2559" t="s">
        <v>5767</v>
      </c>
      <c r="J2559" t="s">
        <v>2949</v>
      </c>
      <c r="K2559">
        <v>131038.34</v>
      </c>
      <c r="L2559" t="s">
        <v>5773</v>
      </c>
      <c r="M2559">
        <v>10</v>
      </c>
    </row>
    <row r="2560" spans="1:13" x14ac:dyDescent="0.25">
      <c r="A2560">
        <v>2559</v>
      </c>
      <c r="B2560" t="s">
        <v>2571</v>
      </c>
      <c r="C2560">
        <v>90</v>
      </c>
      <c r="D2560" t="s">
        <v>2947</v>
      </c>
      <c r="E2560" t="s">
        <v>2949</v>
      </c>
      <c r="F2560" t="s">
        <v>5357</v>
      </c>
      <c r="G2560" s="2">
        <v>45774</v>
      </c>
      <c r="H2560" s="2">
        <v>45780</v>
      </c>
      <c r="I2560" t="s">
        <v>5765</v>
      </c>
      <c r="J2560" t="s">
        <v>2949</v>
      </c>
      <c r="K2560">
        <v>126738.2</v>
      </c>
      <c r="L2560" t="s">
        <v>5773</v>
      </c>
      <c r="M2560">
        <v>6</v>
      </c>
    </row>
    <row r="2561" spans="1:13" x14ac:dyDescent="0.25">
      <c r="A2561">
        <v>2560</v>
      </c>
      <c r="B2561" t="s">
        <v>2572</v>
      </c>
      <c r="C2561">
        <v>61</v>
      </c>
      <c r="D2561" t="s">
        <v>2948</v>
      </c>
      <c r="E2561" t="s">
        <v>2951</v>
      </c>
      <c r="F2561" t="s">
        <v>5358</v>
      </c>
      <c r="G2561" s="2">
        <v>45749</v>
      </c>
      <c r="H2561" s="2">
        <v>45760</v>
      </c>
      <c r="I2561" t="s">
        <v>5759</v>
      </c>
      <c r="J2561" t="s">
        <v>5770</v>
      </c>
      <c r="K2561">
        <v>218658.25</v>
      </c>
      <c r="L2561" t="s">
        <v>5775</v>
      </c>
      <c r="M2561">
        <v>11</v>
      </c>
    </row>
    <row r="2562" spans="1:13" x14ac:dyDescent="0.25">
      <c r="A2562">
        <v>2561</v>
      </c>
      <c r="B2562" t="s">
        <v>2573</v>
      </c>
      <c r="C2562">
        <v>29</v>
      </c>
      <c r="D2562" t="s">
        <v>2947</v>
      </c>
      <c r="E2562" t="s">
        <v>2950</v>
      </c>
      <c r="F2562" t="s">
        <v>5359</v>
      </c>
      <c r="G2562" s="2">
        <v>45687</v>
      </c>
      <c r="H2562" s="2">
        <v>45693</v>
      </c>
      <c r="I2562" t="s">
        <v>5763</v>
      </c>
      <c r="J2562" t="s">
        <v>5770</v>
      </c>
      <c r="K2562">
        <v>111600.76</v>
      </c>
      <c r="L2562" t="s">
        <v>5775</v>
      </c>
      <c r="M2562">
        <v>6</v>
      </c>
    </row>
    <row r="2563" spans="1:13" x14ac:dyDescent="0.25">
      <c r="A2563">
        <v>2562</v>
      </c>
      <c r="B2563" t="s">
        <v>2574</v>
      </c>
      <c r="C2563">
        <v>85</v>
      </c>
      <c r="D2563" t="s">
        <v>2948</v>
      </c>
      <c r="E2563" t="s">
        <v>2955</v>
      </c>
      <c r="F2563" t="s">
        <v>5360</v>
      </c>
      <c r="G2563" s="2">
        <v>45847</v>
      </c>
      <c r="H2563" s="2">
        <v>45857</v>
      </c>
      <c r="I2563" t="s">
        <v>5766</v>
      </c>
      <c r="J2563" t="s">
        <v>2949</v>
      </c>
      <c r="K2563">
        <v>274014.09999999998</v>
      </c>
      <c r="L2563" t="s">
        <v>5774</v>
      </c>
      <c r="M2563">
        <v>10</v>
      </c>
    </row>
    <row r="2564" spans="1:13" x14ac:dyDescent="0.25">
      <c r="A2564">
        <v>2563</v>
      </c>
      <c r="B2564" t="s">
        <v>2575</v>
      </c>
      <c r="C2564">
        <v>48</v>
      </c>
      <c r="D2564" t="s">
        <v>2948</v>
      </c>
      <c r="E2564" t="s">
        <v>2954</v>
      </c>
      <c r="F2564" t="s">
        <v>5361</v>
      </c>
      <c r="G2564" s="2">
        <v>45828</v>
      </c>
      <c r="H2564" s="2">
        <v>45838</v>
      </c>
      <c r="I2564" t="s">
        <v>5762</v>
      </c>
      <c r="J2564" t="s">
        <v>5770</v>
      </c>
      <c r="K2564">
        <v>416965.86</v>
      </c>
      <c r="L2564" t="s">
        <v>5775</v>
      </c>
      <c r="M2564">
        <v>10</v>
      </c>
    </row>
    <row r="2565" spans="1:13" x14ac:dyDescent="0.25">
      <c r="A2565">
        <v>2564</v>
      </c>
      <c r="B2565" t="s">
        <v>2576</v>
      </c>
      <c r="C2565">
        <v>35</v>
      </c>
      <c r="D2565" t="s">
        <v>2947</v>
      </c>
      <c r="E2565" t="s">
        <v>2954</v>
      </c>
      <c r="F2565" t="s">
        <v>5362</v>
      </c>
      <c r="G2565" s="2">
        <v>45632</v>
      </c>
      <c r="H2565" s="2">
        <v>45640</v>
      </c>
      <c r="I2565" t="s">
        <v>5764</v>
      </c>
      <c r="J2565" t="s">
        <v>2949</v>
      </c>
      <c r="K2565">
        <v>244186.37</v>
      </c>
      <c r="L2565" t="s">
        <v>5775</v>
      </c>
      <c r="M2565">
        <v>8</v>
      </c>
    </row>
    <row r="2566" spans="1:13" x14ac:dyDescent="0.25">
      <c r="A2566">
        <v>2565</v>
      </c>
      <c r="B2566" t="s">
        <v>2577</v>
      </c>
      <c r="C2566">
        <v>42</v>
      </c>
      <c r="D2566" t="s">
        <v>2947</v>
      </c>
      <c r="E2566" t="s">
        <v>2952</v>
      </c>
      <c r="F2566" t="s">
        <v>5363</v>
      </c>
      <c r="G2566" s="2">
        <v>45591</v>
      </c>
      <c r="H2566" s="2">
        <v>45602</v>
      </c>
      <c r="I2566" t="s">
        <v>5759</v>
      </c>
      <c r="J2566" t="s">
        <v>5770</v>
      </c>
      <c r="K2566">
        <v>271161.3</v>
      </c>
      <c r="L2566" t="s">
        <v>5774</v>
      </c>
      <c r="M2566">
        <v>11</v>
      </c>
    </row>
    <row r="2567" spans="1:13" x14ac:dyDescent="0.25">
      <c r="A2567">
        <v>2566</v>
      </c>
      <c r="B2567" t="s">
        <v>2578</v>
      </c>
      <c r="C2567">
        <v>25</v>
      </c>
      <c r="D2567" t="s">
        <v>2948</v>
      </c>
      <c r="E2567" t="s">
        <v>2954</v>
      </c>
      <c r="F2567" t="s">
        <v>5364</v>
      </c>
      <c r="G2567" s="2">
        <v>45813</v>
      </c>
      <c r="H2567" s="2">
        <v>45815</v>
      </c>
      <c r="I2567" t="s">
        <v>5759</v>
      </c>
      <c r="J2567" t="s">
        <v>5768</v>
      </c>
      <c r="K2567">
        <v>296761.09000000003</v>
      </c>
      <c r="L2567" t="s">
        <v>5775</v>
      </c>
      <c r="M2567">
        <v>2</v>
      </c>
    </row>
    <row r="2568" spans="1:13" x14ac:dyDescent="0.25">
      <c r="A2568">
        <v>2567</v>
      </c>
      <c r="B2568" t="s">
        <v>2579</v>
      </c>
      <c r="C2568">
        <v>64</v>
      </c>
      <c r="D2568" t="s">
        <v>2947</v>
      </c>
      <c r="E2568" t="s">
        <v>2954</v>
      </c>
      <c r="F2568" t="s">
        <v>1031</v>
      </c>
      <c r="G2568" s="2">
        <v>45632</v>
      </c>
      <c r="H2568" s="2">
        <v>45643</v>
      </c>
      <c r="I2568" t="s">
        <v>5762</v>
      </c>
      <c r="J2568" t="s">
        <v>5771</v>
      </c>
      <c r="K2568">
        <v>300450.90000000002</v>
      </c>
      <c r="L2568" t="s">
        <v>5775</v>
      </c>
      <c r="M2568">
        <v>11</v>
      </c>
    </row>
    <row r="2569" spans="1:13" x14ac:dyDescent="0.25">
      <c r="A2569">
        <v>2568</v>
      </c>
      <c r="B2569" t="s">
        <v>2580</v>
      </c>
      <c r="C2569">
        <v>73</v>
      </c>
      <c r="D2569" t="s">
        <v>2948</v>
      </c>
      <c r="E2569" t="s">
        <v>2955</v>
      </c>
      <c r="F2569" t="s">
        <v>5365</v>
      </c>
      <c r="G2569" s="2">
        <v>45601</v>
      </c>
      <c r="H2569" s="2">
        <v>45613</v>
      </c>
      <c r="I2569" t="s">
        <v>5767</v>
      </c>
      <c r="J2569" t="s">
        <v>5769</v>
      </c>
      <c r="K2569">
        <v>335297.34999999998</v>
      </c>
      <c r="L2569" t="s">
        <v>5774</v>
      </c>
      <c r="M2569">
        <v>12</v>
      </c>
    </row>
    <row r="2570" spans="1:13" x14ac:dyDescent="0.25">
      <c r="A2570">
        <v>2569</v>
      </c>
      <c r="B2570" t="s">
        <v>2581</v>
      </c>
      <c r="C2570">
        <v>57</v>
      </c>
      <c r="D2570" t="s">
        <v>2947</v>
      </c>
      <c r="E2570" t="s">
        <v>2950</v>
      </c>
      <c r="F2570" t="s">
        <v>5366</v>
      </c>
      <c r="G2570" s="2">
        <v>45599</v>
      </c>
      <c r="H2570" s="2">
        <v>45601</v>
      </c>
      <c r="I2570" t="s">
        <v>5766</v>
      </c>
      <c r="J2570" t="s">
        <v>5768</v>
      </c>
      <c r="K2570">
        <v>205625.64</v>
      </c>
      <c r="L2570" t="s">
        <v>5774</v>
      </c>
      <c r="M2570">
        <v>2</v>
      </c>
    </row>
    <row r="2571" spans="1:13" x14ac:dyDescent="0.25">
      <c r="A2571">
        <v>2570</v>
      </c>
      <c r="B2571" t="s">
        <v>2582</v>
      </c>
      <c r="C2571">
        <v>60</v>
      </c>
      <c r="D2571" t="s">
        <v>2947</v>
      </c>
      <c r="E2571" t="s">
        <v>2951</v>
      </c>
      <c r="F2571" t="s">
        <v>5367</v>
      </c>
      <c r="G2571" s="2">
        <v>45567</v>
      </c>
      <c r="H2571" s="2">
        <v>45580</v>
      </c>
      <c r="I2571" t="s">
        <v>5766</v>
      </c>
      <c r="J2571" t="s">
        <v>2949</v>
      </c>
      <c r="K2571">
        <v>128646.8</v>
      </c>
      <c r="L2571" t="s">
        <v>5775</v>
      </c>
      <c r="M2571">
        <v>13</v>
      </c>
    </row>
    <row r="2572" spans="1:13" x14ac:dyDescent="0.25">
      <c r="A2572">
        <v>2571</v>
      </c>
      <c r="B2572" t="s">
        <v>2583</v>
      </c>
      <c r="C2572">
        <v>41</v>
      </c>
      <c r="D2572" t="s">
        <v>2948</v>
      </c>
      <c r="E2572" t="s">
        <v>2949</v>
      </c>
      <c r="F2572" t="s">
        <v>5368</v>
      </c>
      <c r="G2572" s="2">
        <v>45900</v>
      </c>
      <c r="H2572" s="2">
        <v>45901</v>
      </c>
      <c r="I2572" t="s">
        <v>5765</v>
      </c>
      <c r="J2572" t="s">
        <v>5769</v>
      </c>
      <c r="K2572">
        <v>218707.56</v>
      </c>
      <c r="L2572" t="s">
        <v>5773</v>
      </c>
      <c r="M2572">
        <v>1</v>
      </c>
    </row>
    <row r="2573" spans="1:13" x14ac:dyDescent="0.25">
      <c r="A2573">
        <v>2572</v>
      </c>
      <c r="B2573" t="s">
        <v>2584</v>
      </c>
      <c r="C2573">
        <v>26</v>
      </c>
      <c r="D2573" t="s">
        <v>2948</v>
      </c>
      <c r="E2573" t="s">
        <v>2954</v>
      </c>
      <c r="F2573" t="s">
        <v>5369</v>
      </c>
      <c r="G2573" s="2">
        <v>45781</v>
      </c>
      <c r="H2573" s="2">
        <v>45784</v>
      </c>
      <c r="I2573" t="s">
        <v>5759</v>
      </c>
      <c r="J2573" t="s">
        <v>5772</v>
      </c>
      <c r="K2573">
        <v>384069.75</v>
      </c>
      <c r="L2573" t="s">
        <v>5775</v>
      </c>
      <c r="M2573">
        <v>3</v>
      </c>
    </row>
    <row r="2574" spans="1:13" x14ac:dyDescent="0.25">
      <c r="A2574">
        <v>2573</v>
      </c>
      <c r="B2574" t="s">
        <v>2585</v>
      </c>
      <c r="C2574">
        <v>84</v>
      </c>
      <c r="D2574" t="s">
        <v>2948</v>
      </c>
      <c r="E2574" t="s">
        <v>2953</v>
      </c>
      <c r="F2574" t="s">
        <v>5370</v>
      </c>
      <c r="G2574" s="2">
        <v>45625</v>
      </c>
      <c r="H2574" s="2">
        <v>45639</v>
      </c>
      <c r="I2574" t="s">
        <v>5765</v>
      </c>
      <c r="J2574" t="s">
        <v>5769</v>
      </c>
      <c r="K2574">
        <v>212485.26</v>
      </c>
      <c r="L2574" t="s">
        <v>5773</v>
      </c>
      <c r="M2574">
        <v>14</v>
      </c>
    </row>
    <row r="2575" spans="1:13" x14ac:dyDescent="0.25">
      <c r="A2575">
        <v>2574</v>
      </c>
      <c r="B2575" t="s">
        <v>2586</v>
      </c>
      <c r="C2575">
        <v>77</v>
      </c>
      <c r="D2575" t="s">
        <v>2947</v>
      </c>
      <c r="E2575" t="s">
        <v>2953</v>
      </c>
      <c r="F2575" t="s">
        <v>5371</v>
      </c>
      <c r="G2575" s="2">
        <v>45583</v>
      </c>
      <c r="H2575" s="2">
        <v>45595</v>
      </c>
      <c r="I2575" t="s">
        <v>5767</v>
      </c>
      <c r="J2575" t="s">
        <v>5772</v>
      </c>
      <c r="K2575">
        <v>142562.23999999999</v>
      </c>
      <c r="L2575" t="s">
        <v>5773</v>
      </c>
      <c r="M2575">
        <v>12</v>
      </c>
    </row>
    <row r="2576" spans="1:13" x14ac:dyDescent="0.25">
      <c r="A2576">
        <v>2575</v>
      </c>
      <c r="B2576" t="s">
        <v>2587</v>
      </c>
      <c r="C2576">
        <v>83</v>
      </c>
      <c r="D2576" t="s">
        <v>2948</v>
      </c>
      <c r="E2576" t="s">
        <v>2953</v>
      </c>
      <c r="F2576" t="s">
        <v>5372</v>
      </c>
      <c r="G2576" s="2">
        <v>45781</v>
      </c>
      <c r="H2576" s="2">
        <v>45783</v>
      </c>
      <c r="I2576" t="s">
        <v>5761</v>
      </c>
      <c r="J2576" t="s">
        <v>5772</v>
      </c>
      <c r="K2576">
        <v>385577.55</v>
      </c>
      <c r="L2576" t="s">
        <v>5773</v>
      </c>
      <c r="M2576">
        <v>2</v>
      </c>
    </row>
    <row r="2577" spans="1:13" x14ac:dyDescent="0.25">
      <c r="A2577">
        <v>2576</v>
      </c>
      <c r="B2577" t="s">
        <v>2588</v>
      </c>
      <c r="C2577">
        <v>66</v>
      </c>
      <c r="D2577" t="s">
        <v>2948</v>
      </c>
      <c r="E2577" t="s">
        <v>2954</v>
      </c>
      <c r="F2577" t="s">
        <v>5373</v>
      </c>
      <c r="G2577" s="2">
        <v>45894</v>
      </c>
      <c r="H2577" s="2">
        <v>45908</v>
      </c>
      <c r="I2577" t="s">
        <v>5761</v>
      </c>
      <c r="J2577" t="s">
        <v>5772</v>
      </c>
      <c r="K2577">
        <v>220786.6</v>
      </c>
      <c r="L2577" t="s">
        <v>5774</v>
      </c>
      <c r="M2577">
        <v>14</v>
      </c>
    </row>
    <row r="2578" spans="1:13" x14ac:dyDescent="0.25">
      <c r="A2578">
        <v>2577</v>
      </c>
      <c r="B2578" t="s">
        <v>2589</v>
      </c>
      <c r="C2578">
        <v>52</v>
      </c>
      <c r="D2578" t="s">
        <v>2947</v>
      </c>
      <c r="E2578" t="s">
        <v>2953</v>
      </c>
      <c r="F2578" t="s">
        <v>5374</v>
      </c>
      <c r="G2578" s="2">
        <v>45633</v>
      </c>
      <c r="H2578" s="2">
        <v>45642</v>
      </c>
      <c r="I2578" t="s">
        <v>5764</v>
      </c>
      <c r="J2578" t="s">
        <v>2949</v>
      </c>
      <c r="K2578">
        <v>261420.18</v>
      </c>
      <c r="L2578" t="s">
        <v>5775</v>
      </c>
      <c r="M2578">
        <v>9</v>
      </c>
    </row>
    <row r="2579" spans="1:13" x14ac:dyDescent="0.25">
      <c r="A2579">
        <v>2578</v>
      </c>
      <c r="B2579" t="s">
        <v>2590</v>
      </c>
      <c r="C2579">
        <v>43</v>
      </c>
      <c r="D2579" t="s">
        <v>2947</v>
      </c>
      <c r="E2579" t="s">
        <v>2953</v>
      </c>
      <c r="F2579" t="s">
        <v>5375</v>
      </c>
      <c r="G2579" s="2">
        <v>45566</v>
      </c>
      <c r="H2579" s="2">
        <v>45573</v>
      </c>
      <c r="I2579" t="s">
        <v>5765</v>
      </c>
      <c r="J2579" t="s">
        <v>5771</v>
      </c>
      <c r="K2579">
        <v>49290.37</v>
      </c>
      <c r="L2579" t="s">
        <v>5774</v>
      </c>
      <c r="M2579">
        <v>7</v>
      </c>
    </row>
    <row r="2580" spans="1:13" x14ac:dyDescent="0.25">
      <c r="A2580">
        <v>2579</v>
      </c>
      <c r="B2580" t="s">
        <v>2591</v>
      </c>
      <c r="C2580">
        <v>84</v>
      </c>
      <c r="D2580" t="s">
        <v>2947</v>
      </c>
      <c r="E2580" t="s">
        <v>2950</v>
      </c>
      <c r="F2580" t="s">
        <v>5376</v>
      </c>
      <c r="G2580" s="2">
        <v>45909</v>
      </c>
      <c r="H2580" s="2">
        <v>45918</v>
      </c>
      <c r="I2580" t="s">
        <v>5759</v>
      </c>
      <c r="J2580" t="s">
        <v>5772</v>
      </c>
      <c r="K2580">
        <v>144964.06</v>
      </c>
      <c r="L2580" t="s">
        <v>5773</v>
      </c>
      <c r="M2580">
        <v>9</v>
      </c>
    </row>
    <row r="2581" spans="1:13" x14ac:dyDescent="0.25">
      <c r="A2581">
        <v>2580</v>
      </c>
      <c r="B2581" t="s">
        <v>2592</v>
      </c>
      <c r="C2581">
        <v>32</v>
      </c>
      <c r="D2581" t="s">
        <v>2947</v>
      </c>
      <c r="E2581" t="s">
        <v>2949</v>
      </c>
      <c r="F2581" t="s">
        <v>5377</v>
      </c>
      <c r="G2581" s="2">
        <v>45671</v>
      </c>
      <c r="H2581" s="2">
        <v>45677</v>
      </c>
      <c r="I2581" t="s">
        <v>5759</v>
      </c>
      <c r="J2581" t="s">
        <v>5770</v>
      </c>
      <c r="K2581">
        <v>172625.53</v>
      </c>
      <c r="L2581" t="s">
        <v>5775</v>
      </c>
      <c r="M2581">
        <v>6</v>
      </c>
    </row>
    <row r="2582" spans="1:13" x14ac:dyDescent="0.25">
      <c r="A2582">
        <v>2581</v>
      </c>
      <c r="B2582" t="s">
        <v>2593</v>
      </c>
      <c r="C2582">
        <v>81</v>
      </c>
      <c r="D2582" t="s">
        <v>2947</v>
      </c>
      <c r="E2582" t="s">
        <v>2951</v>
      </c>
      <c r="F2582" t="s">
        <v>5378</v>
      </c>
      <c r="G2582" s="2">
        <v>45763</v>
      </c>
      <c r="H2582" s="2">
        <v>45766</v>
      </c>
      <c r="I2582" t="s">
        <v>5767</v>
      </c>
      <c r="J2582" t="s">
        <v>2949</v>
      </c>
      <c r="K2582">
        <v>193782.35</v>
      </c>
      <c r="L2582" t="s">
        <v>5773</v>
      </c>
      <c r="M2582">
        <v>3</v>
      </c>
    </row>
    <row r="2583" spans="1:13" x14ac:dyDescent="0.25">
      <c r="A2583">
        <v>2582</v>
      </c>
      <c r="B2583" t="s">
        <v>2594</v>
      </c>
      <c r="C2583">
        <v>85</v>
      </c>
      <c r="D2583" t="s">
        <v>2948</v>
      </c>
      <c r="E2583" t="s">
        <v>2953</v>
      </c>
      <c r="F2583" t="s">
        <v>5379</v>
      </c>
      <c r="G2583" s="2">
        <v>45641</v>
      </c>
      <c r="H2583" s="2">
        <v>45655</v>
      </c>
      <c r="I2583" t="s">
        <v>5759</v>
      </c>
      <c r="J2583" t="s">
        <v>5770</v>
      </c>
      <c r="K2583">
        <v>432011.45</v>
      </c>
      <c r="L2583" t="s">
        <v>5775</v>
      </c>
      <c r="M2583">
        <v>14</v>
      </c>
    </row>
    <row r="2584" spans="1:13" x14ac:dyDescent="0.25">
      <c r="A2584">
        <v>2583</v>
      </c>
      <c r="B2584" t="s">
        <v>2595</v>
      </c>
      <c r="C2584">
        <v>50</v>
      </c>
      <c r="D2584" t="s">
        <v>2947</v>
      </c>
      <c r="E2584" t="s">
        <v>2949</v>
      </c>
      <c r="F2584" t="s">
        <v>5380</v>
      </c>
      <c r="G2584" s="2">
        <v>45893</v>
      </c>
      <c r="H2584" s="2">
        <v>45897</v>
      </c>
      <c r="I2584" t="s">
        <v>5766</v>
      </c>
      <c r="J2584" t="s">
        <v>2949</v>
      </c>
      <c r="K2584">
        <v>183664.79</v>
      </c>
      <c r="L2584" t="s">
        <v>5775</v>
      </c>
      <c r="M2584">
        <v>4</v>
      </c>
    </row>
    <row r="2585" spans="1:13" x14ac:dyDescent="0.25">
      <c r="A2585">
        <v>2584</v>
      </c>
      <c r="B2585" t="s">
        <v>2596</v>
      </c>
      <c r="C2585">
        <v>76</v>
      </c>
      <c r="D2585" t="s">
        <v>2948</v>
      </c>
      <c r="E2585" t="s">
        <v>2951</v>
      </c>
      <c r="F2585" t="s">
        <v>136</v>
      </c>
      <c r="G2585" s="2">
        <v>45588</v>
      </c>
      <c r="H2585" s="2">
        <v>45589</v>
      </c>
      <c r="I2585" t="s">
        <v>5767</v>
      </c>
      <c r="J2585" t="s">
        <v>5769</v>
      </c>
      <c r="K2585">
        <v>9951.57</v>
      </c>
      <c r="L2585" t="s">
        <v>5774</v>
      </c>
      <c r="M2585">
        <v>1</v>
      </c>
    </row>
    <row r="2586" spans="1:13" x14ac:dyDescent="0.25">
      <c r="A2586">
        <v>2585</v>
      </c>
      <c r="B2586" t="s">
        <v>2597</v>
      </c>
      <c r="C2586">
        <v>53</v>
      </c>
      <c r="D2586" t="s">
        <v>2948</v>
      </c>
      <c r="E2586" t="s">
        <v>2953</v>
      </c>
      <c r="F2586" t="s">
        <v>5381</v>
      </c>
      <c r="G2586" s="2">
        <v>45616</v>
      </c>
      <c r="H2586" s="2">
        <v>45623</v>
      </c>
      <c r="I2586" t="s">
        <v>5761</v>
      </c>
      <c r="J2586" t="s">
        <v>5770</v>
      </c>
      <c r="K2586">
        <v>482768.81</v>
      </c>
      <c r="L2586" t="s">
        <v>5775</v>
      </c>
      <c r="M2586">
        <v>7</v>
      </c>
    </row>
    <row r="2587" spans="1:13" x14ac:dyDescent="0.25">
      <c r="A2587">
        <v>2586</v>
      </c>
      <c r="B2587" t="s">
        <v>2598</v>
      </c>
      <c r="C2587">
        <v>35</v>
      </c>
      <c r="D2587" t="s">
        <v>2947</v>
      </c>
      <c r="E2587" t="s">
        <v>2952</v>
      </c>
      <c r="F2587" t="s">
        <v>5382</v>
      </c>
      <c r="G2587" s="2">
        <v>45584</v>
      </c>
      <c r="H2587" s="2">
        <v>45591</v>
      </c>
      <c r="I2587" t="s">
        <v>5759</v>
      </c>
      <c r="J2587" t="s">
        <v>5769</v>
      </c>
      <c r="K2587">
        <v>74300.94</v>
      </c>
      <c r="L2587" t="s">
        <v>5775</v>
      </c>
      <c r="M2587">
        <v>7</v>
      </c>
    </row>
    <row r="2588" spans="1:13" x14ac:dyDescent="0.25">
      <c r="A2588">
        <v>2587</v>
      </c>
      <c r="B2588" t="s">
        <v>2599</v>
      </c>
      <c r="C2588">
        <v>64</v>
      </c>
      <c r="D2588" t="s">
        <v>2948</v>
      </c>
      <c r="E2588" t="s">
        <v>2951</v>
      </c>
      <c r="F2588" t="s">
        <v>5383</v>
      </c>
      <c r="G2588" s="2">
        <v>45630</v>
      </c>
      <c r="H2588" s="2">
        <v>45634</v>
      </c>
      <c r="I2588" t="s">
        <v>5762</v>
      </c>
      <c r="J2588" t="s">
        <v>5772</v>
      </c>
      <c r="K2588">
        <v>60923.65</v>
      </c>
      <c r="L2588" t="s">
        <v>5774</v>
      </c>
      <c r="M2588">
        <v>4</v>
      </c>
    </row>
    <row r="2589" spans="1:13" x14ac:dyDescent="0.25">
      <c r="A2589">
        <v>2588</v>
      </c>
      <c r="B2589" t="s">
        <v>2600</v>
      </c>
      <c r="C2589">
        <v>22</v>
      </c>
      <c r="D2589" t="s">
        <v>2947</v>
      </c>
      <c r="E2589" t="s">
        <v>2954</v>
      </c>
      <c r="F2589" t="s">
        <v>5384</v>
      </c>
      <c r="G2589" s="2">
        <v>45829</v>
      </c>
      <c r="H2589" s="2">
        <v>45843</v>
      </c>
      <c r="I2589" t="s">
        <v>5767</v>
      </c>
      <c r="J2589" t="s">
        <v>5768</v>
      </c>
      <c r="K2589">
        <v>388590.26</v>
      </c>
      <c r="L2589" t="s">
        <v>5773</v>
      </c>
      <c r="M2589">
        <v>14</v>
      </c>
    </row>
    <row r="2590" spans="1:13" x14ac:dyDescent="0.25">
      <c r="A2590">
        <v>2589</v>
      </c>
      <c r="B2590" t="s">
        <v>2601</v>
      </c>
      <c r="C2590">
        <v>29</v>
      </c>
      <c r="D2590" t="s">
        <v>2947</v>
      </c>
      <c r="E2590" t="s">
        <v>2949</v>
      </c>
      <c r="F2590" t="s">
        <v>5385</v>
      </c>
      <c r="G2590" s="2">
        <v>45706</v>
      </c>
      <c r="H2590" s="2">
        <v>45714</v>
      </c>
      <c r="I2590" t="s">
        <v>5763</v>
      </c>
      <c r="J2590" t="s">
        <v>2949</v>
      </c>
      <c r="K2590">
        <v>270218.90000000002</v>
      </c>
      <c r="L2590" t="s">
        <v>5773</v>
      </c>
      <c r="M2590">
        <v>8</v>
      </c>
    </row>
    <row r="2591" spans="1:13" x14ac:dyDescent="0.25">
      <c r="A2591">
        <v>2590</v>
      </c>
      <c r="B2591" t="s">
        <v>2602</v>
      </c>
      <c r="C2591">
        <v>50</v>
      </c>
      <c r="D2591" t="s">
        <v>2947</v>
      </c>
      <c r="E2591" t="s">
        <v>2954</v>
      </c>
      <c r="F2591" t="s">
        <v>5386</v>
      </c>
      <c r="G2591" s="2">
        <v>45906</v>
      </c>
      <c r="H2591" s="2">
        <v>45909</v>
      </c>
      <c r="I2591" t="s">
        <v>5764</v>
      </c>
      <c r="J2591" t="s">
        <v>5772</v>
      </c>
      <c r="K2591">
        <v>142294.26</v>
      </c>
      <c r="L2591" t="s">
        <v>5774</v>
      </c>
      <c r="M2591">
        <v>3</v>
      </c>
    </row>
    <row r="2592" spans="1:13" x14ac:dyDescent="0.25">
      <c r="A2592">
        <v>2591</v>
      </c>
      <c r="B2592" t="s">
        <v>2603</v>
      </c>
      <c r="C2592">
        <v>50</v>
      </c>
      <c r="D2592" t="s">
        <v>2948</v>
      </c>
      <c r="E2592" t="s">
        <v>2953</v>
      </c>
      <c r="F2592" t="s">
        <v>5387</v>
      </c>
      <c r="G2592" s="2">
        <v>45841</v>
      </c>
      <c r="H2592" s="2">
        <v>45843</v>
      </c>
      <c r="I2592" t="s">
        <v>5763</v>
      </c>
      <c r="J2592" t="s">
        <v>2949</v>
      </c>
      <c r="K2592">
        <v>458282.6</v>
      </c>
      <c r="L2592" t="s">
        <v>5775</v>
      </c>
      <c r="M2592">
        <v>2</v>
      </c>
    </row>
    <row r="2593" spans="1:13" x14ac:dyDescent="0.25">
      <c r="A2593">
        <v>2592</v>
      </c>
      <c r="B2593" t="s">
        <v>2604</v>
      </c>
      <c r="C2593">
        <v>51</v>
      </c>
      <c r="D2593" t="s">
        <v>2947</v>
      </c>
      <c r="E2593" t="s">
        <v>2953</v>
      </c>
      <c r="F2593" t="s">
        <v>5388</v>
      </c>
      <c r="G2593" s="2">
        <v>45742</v>
      </c>
      <c r="H2593" s="2">
        <v>45743</v>
      </c>
      <c r="I2593" t="s">
        <v>5758</v>
      </c>
      <c r="J2593" t="s">
        <v>5768</v>
      </c>
      <c r="K2593">
        <v>407693.31</v>
      </c>
      <c r="L2593" t="s">
        <v>5775</v>
      </c>
      <c r="M2593">
        <v>1</v>
      </c>
    </row>
    <row r="2594" spans="1:13" x14ac:dyDescent="0.25">
      <c r="A2594">
        <v>2593</v>
      </c>
      <c r="B2594" t="s">
        <v>2605</v>
      </c>
      <c r="C2594">
        <v>24</v>
      </c>
      <c r="D2594" t="s">
        <v>2948</v>
      </c>
      <c r="E2594" t="s">
        <v>2951</v>
      </c>
      <c r="F2594" t="s">
        <v>5389</v>
      </c>
      <c r="G2594" s="2">
        <v>45628</v>
      </c>
      <c r="H2594" s="2">
        <v>45634</v>
      </c>
      <c r="I2594" t="s">
        <v>5758</v>
      </c>
      <c r="J2594" t="s">
        <v>5772</v>
      </c>
      <c r="K2594">
        <v>113858.61</v>
      </c>
      <c r="L2594" t="s">
        <v>5775</v>
      </c>
      <c r="M2594">
        <v>6</v>
      </c>
    </row>
    <row r="2595" spans="1:13" x14ac:dyDescent="0.25">
      <c r="A2595">
        <v>2594</v>
      </c>
      <c r="B2595" t="s">
        <v>2606</v>
      </c>
      <c r="C2595">
        <v>11</v>
      </c>
      <c r="D2595" t="s">
        <v>2948</v>
      </c>
      <c r="E2595" t="s">
        <v>2950</v>
      </c>
      <c r="F2595" t="s">
        <v>5390</v>
      </c>
      <c r="G2595" s="2">
        <v>45845</v>
      </c>
      <c r="H2595" s="2">
        <v>45858</v>
      </c>
      <c r="I2595" t="s">
        <v>5767</v>
      </c>
      <c r="J2595" t="s">
        <v>5769</v>
      </c>
      <c r="K2595">
        <v>5886.97</v>
      </c>
      <c r="L2595" t="s">
        <v>5773</v>
      </c>
      <c r="M2595">
        <v>13</v>
      </c>
    </row>
    <row r="2596" spans="1:13" x14ac:dyDescent="0.25">
      <c r="A2596">
        <v>2595</v>
      </c>
      <c r="B2596" t="s">
        <v>2607</v>
      </c>
      <c r="C2596">
        <v>20</v>
      </c>
      <c r="D2596" t="s">
        <v>2948</v>
      </c>
      <c r="E2596" t="s">
        <v>2949</v>
      </c>
      <c r="F2596" t="s">
        <v>5391</v>
      </c>
      <c r="G2596" s="2">
        <v>45749</v>
      </c>
      <c r="H2596" s="2">
        <v>45751</v>
      </c>
      <c r="I2596" t="s">
        <v>5767</v>
      </c>
      <c r="J2596" t="s">
        <v>2949</v>
      </c>
      <c r="K2596">
        <v>83207.09</v>
      </c>
      <c r="L2596" t="s">
        <v>5773</v>
      </c>
      <c r="M2596">
        <v>2</v>
      </c>
    </row>
    <row r="2597" spans="1:13" x14ac:dyDescent="0.25">
      <c r="A2597">
        <v>2596</v>
      </c>
      <c r="B2597" t="s">
        <v>2608</v>
      </c>
      <c r="C2597">
        <v>53</v>
      </c>
      <c r="D2597" t="s">
        <v>2947</v>
      </c>
      <c r="E2597" t="s">
        <v>2952</v>
      </c>
      <c r="F2597" t="s">
        <v>5392</v>
      </c>
      <c r="G2597" s="2">
        <v>45643</v>
      </c>
      <c r="H2597" s="2">
        <v>45651</v>
      </c>
      <c r="I2597" t="s">
        <v>5759</v>
      </c>
      <c r="J2597" t="s">
        <v>5769</v>
      </c>
      <c r="K2597">
        <v>215119.46</v>
      </c>
      <c r="L2597" t="s">
        <v>5774</v>
      </c>
      <c r="M2597">
        <v>8</v>
      </c>
    </row>
    <row r="2598" spans="1:13" x14ac:dyDescent="0.25">
      <c r="A2598">
        <v>2597</v>
      </c>
      <c r="B2598" t="s">
        <v>2609</v>
      </c>
      <c r="C2598">
        <v>77</v>
      </c>
      <c r="D2598" t="s">
        <v>2948</v>
      </c>
      <c r="E2598" t="s">
        <v>2950</v>
      </c>
      <c r="F2598" t="s">
        <v>5393</v>
      </c>
      <c r="G2598" s="2">
        <v>45760</v>
      </c>
      <c r="H2598" s="2">
        <v>45767</v>
      </c>
      <c r="I2598" t="s">
        <v>5767</v>
      </c>
      <c r="J2598" t="s">
        <v>5769</v>
      </c>
      <c r="K2598">
        <v>393134.38</v>
      </c>
      <c r="L2598" t="s">
        <v>5774</v>
      </c>
      <c r="M2598">
        <v>7</v>
      </c>
    </row>
    <row r="2599" spans="1:13" x14ac:dyDescent="0.25">
      <c r="A2599">
        <v>2598</v>
      </c>
      <c r="B2599" t="s">
        <v>2610</v>
      </c>
      <c r="C2599">
        <v>45</v>
      </c>
      <c r="D2599" t="s">
        <v>2947</v>
      </c>
      <c r="E2599" t="s">
        <v>2952</v>
      </c>
      <c r="F2599" t="s">
        <v>5394</v>
      </c>
      <c r="G2599" s="2">
        <v>45876</v>
      </c>
      <c r="H2599" s="2">
        <v>45882</v>
      </c>
      <c r="I2599" t="s">
        <v>5764</v>
      </c>
      <c r="J2599" t="s">
        <v>2949</v>
      </c>
      <c r="K2599">
        <v>167024.42000000001</v>
      </c>
      <c r="L2599" t="s">
        <v>5775</v>
      </c>
      <c r="M2599">
        <v>6</v>
      </c>
    </row>
    <row r="2600" spans="1:13" x14ac:dyDescent="0.25">
      <c r="A2600">
        <v>2599</v>
      </c>
      <c r="B2600" t="s">
        <v>2611</v>
      </c>
      <c r="C2600">
        <v>64</v>
      </c>
      <c r="D2600" t="s">
        <v>2947</v>
      </c>
      <c r="E2600" t="s">
        <v>2954</v>
      </c>
      <c r="F2600" t="s">
        <v>5395</v>
      </c>
      <c r="G2600" s="2">
        <v>45664</v>
      </c>
      <c r="H2600" s="2">
        <v>45665</v>
      </c>
      <c r="I2600" t="s">
        <v>5758</v>
      </c>
      <c r="J2600" t="s">
        <v>5769</v>
      </c>
      <c r="K2600">
        <v>155445.42000000001</v>
      </c>
      <c r="L2600" t="s">
        <v>5773</v>
      </c>
      <c r="M2600">
        <v>1</v>
      </c>
    </row>
    <row r="2601" spans="1:13" x14ac:dyDescent="0.25">
      <c r="A2601">
        <v>2600</v>
      </c>
      <c r="B2601" t="s">
        <v>2612</v>
      </c>
      <c r="C2601">
        <v>86</v>
      </c>
      <c r="D2601" t="s">
        <v>2947</v>
      </c>
      <c r="E2601" t="s">
        <v>2952</v>
      </c>
      <c r="F2601" t="s">
        <v>5396</v>
      </c>
      <c r="G2601" s="2">
        <v>45610</v>
      </c>
      <c r="H2601" s="2">
        <v>45616</v>
      </c>
      <c r="I2601" t="s">
        <v>5766</v>
      </c>
      <c r="J2601" t="s">
        <v>5771</v>
      </c>
      <c r="K2601">
        <v>102608.24</v>
      </c>
      <c r="L2601" t="s">
        <v>5774</v>
      </c>
      <c r="M2601">
        <v>6</v>
      </c>
    </row>
    <row r="2602" spans="1:13" x14ac:dyDescent="0.25">
      <c r="A2602">
        <v>2601</v>
      </c>
      <c r="B2602" t="s">
        <v>2613</v>
      </c>
      <c r="C2602">
        <v>72</v>
      </c>
      <c r="D2602" t="s">
        <v>2947</v>
      </c>
      <c r="E2602" t="s">
        <v>2952</v>
      </c>
      <c r="F2602" t="s">
        <v>5397</v>
      </c>
      <c r="G2602" s="2">
        <v>45847</v>
      </c>
      <c r="H2602" s="2">
        <v>45860</v>
      </c>
      <c r="I2602" t="s">
        <v>5767</v>
      </c>
      <c r="J2602" t="s">
        <v>5770</v>
      </c>
      <c r="K2602">
        <v>127605.79</v>
      </c>
      <c r="L2602" t="s">
        <v>5773</v>
      </c>
      <c r="M2602">
        <v>13</v>
      </c>
    </row>
    <row r="2603" spans="1:13" x14ac:dyDescent="0.25">
      <c r="A2603">
        <v>2602</v>
      </c>
      <c r="B2603" t="s">
        <v>2614</v>
      </c>
      <c r="C2603">
        <v>90</v>
      </c>
      <c r="D2603" t="s">
        <v>2948</v>
      </c>
      <c r="E2603" t="s">
        <v>2952</v>
      </c>
      <c r="F2603" t="s">
        <v>5398</v>
      </c>
      <c r="G2603" s="2">
        <v>45549</v>
      </c>
      <c r="H2603" s="2">
        <v>45559</v>
      </c>
      <c r="I2603" t="s">
        <v>5759</v>
      </c>
      <c r="J2603" t="s">
        <v>5771</v>
      </c>
      <c r="K2603">
        <v>267581.84000000003</v>
      </c>
      <c r="L2603" t="s">
        <v>5774</v>
      </c>
      <c r="M2603">
        <v>10</v>
      </c>
    </row>
    <row r="2604" spans="1:13" x14ac:dyDescent="0.25">
      <c r="A2604">
        <v>2603</v>
      </c>
      <c r="B2604" t="s">
        <v>2615</v>
      </c>
      <c r="C2604">
        <v>68</v>
      </c>
      <c r="D2604" t="s">
        <v>2948</v>
      </c>
      <c r="E2604" t="s">
        <v>2955</v>
      </c>
      <c r="F2604" t="s">
        <v>5399</v>
      </c>
      <c r="G2604" s="2">
        <v>45643</v>
      </c>
      <c r="H2604" s="2">
        <v>45648</v>
      </c>
      <c r="I2604" t="s">
        <v>5759</v>
      </c>
      <c r="J2604" t="s">
        <v>5768</v>
      </c>
      <c r="K2604">
        <v>223408.57</v>
      </c>
      <c r="L2604" t="s">
        <v>5775</v>
      </c>
      <c r="M2604">
        <v>5</v>
      </c>
    </row>
    <row r="2605" spans="1:13" x14ac:dyDescent="0.25">
      <c r="A2605">
        <v>2604</v>
      </c>
      <c r="B2605" t="s">
        <v>2616</v>
      </c>
      <c r="C2605">
        <v>38</v>
      </c>
      <c r="D2605" t="s">
        <v>2948</v>
      </c>
      <c r="E2605" t="s">
        <v>2953</v>
      </c>
      <c r="F2605" t="s">
        <v>5400</v>
      </c>
      <c r="G2605" s="2">
        <v>45611</v>
      </c>
      <c r="H2605" s="2">
        <v>45626</v>
      </c>
      <c r="I2605" t="s">
        <v>5761</v>
      </c>
      <c r="J2605" t="s">
        <v>5771</v>
      </c>
      <c r="K2605">
        <v>76234.509999999995</v>
      </c>
      <c r="L2605" t="s">
        <v>5774</v>
      </c>
      <c r="M2605">
        <v>15</v>
      </c>
    </row>
    <row r="2606" spans="1:13" x14ac:dyDescent="0.25">
      <c r="A2606">
        <v>2605</v>
      </c>
      <c r="B2606" t="s">
        <v>2617</v>
      </c>
      <c r="C2606">
        <v>58</v>
      </c>
      <c r="D2606" t="s">
        <v>2947</v>
      </c>
      <c r="E2606" t="s">
        <v>2951</v>
      </c>
      <c r="F2606" t="s">
        <v>5401</v>
      </c>
      <c r="G2606" s="2">
        <v>45903</v>
      </c>
      <c r="H2606" s="2">
        <v>45910</v>
      </c>
      <c r="I2606" t="s">
        <v>5760</v>
      </c>
      <c r="J2606" t="s">
        <v>5771</v>
      </c>
      <c r="K2606">
        <v>119292.84</v>
      </c>
      <c r="L2606" t="s">
        <v>5775</v>
      </c>
      <c r="M2606">
        <v>7</v>
      </c>
    </row>
    <row r="2607" spans="1:13" x14ac:dyDescent="0.25">
      <c r="A2607">
        <v>2606</v>
      </c>
      <c r="B2607" t="s">
        <v>2618</v>
      </c>
      <c r="C2607">
        <v>4</v>
      </c>
      <c r="D2607" t="s">
        <v>2948</v>
      </c>
      <c r="E2607" t="s">
        <v>2953</v>
      </c>
      <c r="F2607" t="s">
        <v>5402</v>
      </c>
      <c r="G2607" s="2">
        <v>45890</v>
      </c>
      <c r="H2607" s="2">
        <v>45905</v>
      </c>
      <c r="I2607" t="s">
        <v>5763</v>
      </c>
      <c r="J2607" t="s">
        <v>5771</v>
      </c>
      <c r="K2607">
        <v>457878.96</v>
      </c>
      <c r="L2607" t="s">
        <v>5775</v>
      </c>
      <c r="M2607">
        <v>15</v>
      </c>
    </row>
    <row r="2608" spans="1:13" x14ac:dyDescent="0.25">
      <c r="A2608">
        <v>2607</v>
      </c>
      <c r="B2608" t="s">
        <v>2619</v>
      </c>
      <c r="C2608">
        <v>65</v>
      </c>
      <c r="D2608" t="s">
        <v>2947</v>
      </c>
      <c r="E2608" t="s">
        <v>2952</v>
      </c>
      <c r="F2608" t="s">
        <v>5403</v>
      </c>
      <c r="G2608" s="2">
        <v>45574</v>
      </c>
      <c r="H2608" s="2">
        <v>45582</v>
      </c>
      <c r="I2608" t="s">
        <v>5762</v>
      </c>
      <c r="J2608" t="s">
        <v>5772</v>
      </c>
      <c r="K2608">
        <v>275008.69</v>
      </c>
      <c r="L2608" t="s">
        <v>5774</v>
      </c>
      <c r="M2608">
        <v>8</v>
      </c>
    </row>
    <row r="2609" spans="1:13" x14ac:dyDescent="0.25">
      <c r="A2609">
        <v>2608</v>
      </c>
      <c r="B2609" t="s">
        <v>2620</v>
      </c>
      <c r="C2609">
        <v>10</v>
      </c>
      <c r="D2609" t="s">
        <v>2948</v>
      </c>
      <c r="E2609" t="s">
        <v>2952</v>
      </c>
      <c r="F2609" t="s">
        <v>5404</v>
      </c>
      <c r="G2609" s="2">
        <v>45553</v>
      </c>
      <c r="H2609" s="2">
        <v>45562</v>
      </c>
      <c r="I2609" t="s">
        <v>5765</v>
      </c>
      <c r="J2609" t="s">
        <v>5772</v>
      </c>
      <c r="K2609">
        <v>83251.75</v>
      </c>
      <c r="L2609" t="s">
        <v>5775</v>
      </c>
      <c r="M2609">
        <v>9</v>
      </c>
    </row>
    <row r="2610" spans="1:13" x14ac:dyDescent="0.25">
      <c r="A2610">
        <v>2609</v>
      </c>
      <c r="B2610" t="s">
        <v>2621</v>
      </c>
      <c r="C2610">
        <v>2</v>
      </c>
      <c r="D2610" t="s">
        <v>2947</v>
      </c>
      <c r="E2610" t="s">
        <v>2954</v>
      </c>
      <c r="F2610" t="s">
        <v>5405</v>
      </c>
      <c r="G2610" s="2">
        <v>45557</v>
      </c>
      <c r="H2610" s="2">
        <v>45558</v>
      </c>
      <c r="I2610" t="s">
        <v>5765</v>
      </c>
      <c r="J2610" t="s">
        <v>2949</v>
      </c>
      <c r="K2610">
        <v>394298.36</v>
      </c>
      <c r="L2610" t="s">
        <v>5773</v>
      </c>
      <c r="M2610">
        <v>1</v>
      </c>
    </row>
    <row r="2611" spans="1:13" x14ac:dyDescent="0.25">
      <c r="A2611">
        <v>2610</v>
      </c>
      <c r="B2611" t="s">
        <v>2622</v>
      </c>
      <c r="C2611">
        <v>52</v>
      </c>
      <c r="D2611" t="s">
        <v>2947</v>
      </c>
      <c r="E2611" t="s">
        <v>2955</v>
      </c>
      <c r="F2611" t="s">
        <v>5406</v>
      </c>
      <c r="G2611" s="2">
        <v>45734</v>
      </c>
      <c r="H2611" s="2">
        <v>45745</v>
      </c>
      <c r="I2611" t="s">
        <v>5762</v>
      </c>
      <c r="J2611" t="s">
        <v>5770</v>
      </c>
      <c r="K2611">
        <v>81132.800000000003</v>
      </c>
      <c r="L2611" t="s">
        <v>5773</v>
      </c>
      <c r="M2611">
        <v>11</v>
      </c>
    </row>
    <row r="2612" spans="1:13" x14ac:dyDescent="0.25">
      <c r="A2612">
        <v>2611</v>
      </c>
      <c r="B2612" t="s">
        <v>2623</v>
      </c>
      <c r="C2612">
        <v>6</v>
      </c>
      <c r="D2612" t="s">
        <v>2948</v>
      </c>
      <c r="E2612" t="s">
        <v>2950</v>
      </c>
      <c r="F2612" t="s">
        <v>5407</v>
      </c>
      <c r="G2612" s="2">
        <v>45742</v>
      </c>
      <c r="H2612" s="2">
        <v>45751</v>
      </c>
      <c r="I2612" t="s">
        <v>5767</v>
      </c>
      <c r="J2612" t="s">
        <v>5772</v>
      </c>
      <c r="K2612">
        <v>90009.39</v>
      </c>
      <c r="L2612" t="s">
        <v>5774</v>
      </c>
      <c r="M2612">
        <v>9</v>
      </c>
    </row>
    <row r="2613" spans="1:13" x14ac:dyDescent="0.25">
      <c r="A2613">
        <v>2612</v>
      </c>
      <c r="B2613" t="s">
        <v>2624</v>
      </c>
      <c r="C2613">
        <v>85</v>
      </c>
      <c r="D2613" t="s">
        <v>2947</v>
      </c>
      <c r="E2613" t="s">
        <v>2951</v>
      </c>
      <c r="F2613" t="s">
        <v>5408</v>
      </c>
      <c r="G2613" s="2">
        <v>45585</v>
      </c>
      <c r="H2613" s="2">
        <v>45591</v>
      </c>
      <c r="I2613" t="s">
        <v>5760</v>
      </c>
      <c r="J2613" t="s">
        <v>5768</v>
      </c>
      <c r="K2613">
        <v>400526.8</v>
      </c>
      <c r="L2613" t="s">
        <v>5775</v>
      </c>
      <c r="M2613">
        <v>6</v>
      </c>
    </row>
    <row r="2614" spans="1:13" x14ac:dyDescent="0.25">
      <c r="A2614">
        <v>2613</v>
      </c>
      <c r="B2614" t="s">
        <v>2625</v>
      </c>
      <c r="C2614">
        <v>45</v>
      </c>
      <c r="D2614" t="s">
        <v>2947</v>
      </c>
      <c r="E2614" t="s">
        <v>2953</v>
      </c>
      <c r="F2614" t="s">
        <v>5409</v>
      </c>
      <c r="G2614" s="2">
        <v>45765</v>
      </c>
      <c r="H2614" s="2">
        <v>45772</v>
      </c>
      <c r="I2614" t="s">
        <v>5764</v>
      </c>
      <c r="J2614" t="s">
        <v>2949</v>
      </c>
      <c r="K2614">
        <v>385495.73</v>
      </c>
      <c r="L2614" t="s">
        <v>5774</v>
      </c>
      <c r="M2614">
        <v>7</v>
      </c>
    </row>
    <row r="2615" spans="1:13" x14ac:dyDescent="0.25">
      <c r="A2615">
        <v>2614</v>
      </c>
      <c r="B2615" t="s">
        <v>2626</v>
      </c>
      <c r="C2615">
        <v>10</v>
      </c>
      <c r="D2615" t="s">
        <v>2947</v>
      </c>
      <c r="E2615" t="s">
        <v>2952</v>
      </c>
      <c r="F2615" t="s">
        <v>5410</v>
      </c>
      <c r="G2615" s="2">
        <v>45593</v>
      </c>
      <c r="H2615" s="2">
        <v>45605</v>
      </c>
      <c r="I2615" t="s">
        <v>5764</v>
      </c>
      <c r="J2615" t="s">
        <v>5771</v>
      </c>
      <c r="K2615">
        <v>318970.15000000002</v>
      </c>
      <c r="L2615" t="s">
        <v>5775</v>
      </c>
      <c r="M2615">
        <v>12</v>
      </c>
    </row>
    <row r="2616" spans="1:13" x14ac:dyDescent="0.25">
      <c r="A2616">
        <v>2615</v>
      </c>
      <c r="B2616" t="s">
        <v>2627</v>
      </c>
      <c r="C2616">
        <v>28</v>
      </c>
      <c r="D2616" t="s">
        <v>2947</v>
      </c>
      <c r="E2616" t="s">
        <v>2954</v>
      </c>
      <c r="F2616" t="s">
        <v>5411</v>
      </c>
      <c r="G2616" s="2">
        <v>45781</v>
      </c>
      <c r="H2616" s="2">
        <v>45796</v>
      </c>
      <c r="I2616" t="s">
        <v>5764</v>
      </c>
      <c r="J2616" t="s">
        <v>5770</v>
      </c>
      <c r="K2616">
        <v>170563.11</v>
      </c>
      <c r="L2616" t="s">
        <v>5773</v>
      </c>
      <c r="M2616">
        <v>15</v>
      </c>
    </row>
    <row r="2617" spans="1:13" x14ac:dyDescent="0.25">
      <c r="A2617">
        <v>2616</v>
      </c>
      <c r="B2617" t="s">
        <v>2628</v>
      </c>
      <c r="C2617">
        <v>62</v>
      </c>
      <c r="D2617" t="s">
        <v>2948</v>
      </c>
      <c r="E2617" t="s">
        <v>2952</v>
      </c>
      <c r="F2617" t="s">
        <v>5412</v>
      </c>
      <c r="G2617" s="2">
        <v>45746</v>
      </c>
      <c r="H2617" s="2">
        <v>45758</v>
      </c>
      <c r="I2617" t="s">
        <v>5761</v>
      </c>
      <c r="J2617" t="s">
        <v>5772</v>
      </c>
      <c r="K2617">
        <v>261402.78</v>
      </c>
      <c r="L2617" t="s">
        <v>5774</v>
      </c>
      <c r="M2617">
        <v>12</v>
      </c>
    </row>
    <row r="2618" spans="1:13" x14ac:dyDescent="0.25">
      <c r="A2618">
        <v>2617</v>
      </c>
      <c r="B2618" t="s">
        <v>2629</v>
      </c>
      <c r="C2618">
        <v>17</v>
      </c>
      <c r="D2618" t="s">
        <v>2947</v>
      </c>
      <c r="E2618" t="s">
        <v>2955</v>
      </c>
      <c r="F2618" t="s">
        <v>945</v>
      </c>
      <c r="G2618" s="2">
        <v>45618</v>
      </c>
      <c r="H2618" s="2">
        <v>45627</v>
      </c>
      <c r="I2618" t="s">
        <v>5766</v>
      </c>
      <c r="J2618" t="s">
        <v>5768</v>
      </c>
      <c r="K2618">
        <v>350709.6</v>
      </c>
      <c r="L2618" t="s">
        <v>5774</v>
      </c>
      <c r="M2618">
        <v>9</v>
      </c>
    </row>
    <row r="2619" spans="1:13" x14ac:dyDescent="0.25">
      <c r="A2619">
        <v>2618</v>
      </c>
      <c r="B2619" t="s">
        <v>2630</v>
      </c>
      <c r="C2619">
        <v>30</v>
      </c>
      <c r="D2619" t="s">
        <v>2948</v>
      </c>
      <c r="E2619" t="s">
        <v>2952</v>
      </c>
      <c r="F2619" t="s">
        <v>5413</v>
      </c>
      <c r="G2619" s="2">
        <v>45686</v>
      </c>
      <c r="H2619" s="2">
        <v>45696</v>
      </c>
      <c r="I2619" t="s">
        <v>5766</v>
      </c>
      <c r="J2619" t="s">
        <v>5770</v>
      </c>
      <c r="K2619">
        <v>60832.04</v>
      </c>
      <c r="L2619" t="s">
        <v>5774</v>
      </c>
      <c r="M2619">
        <v>10</v>
      </c>
    </row>
    <row r="2620" spans="1:13" x14ac:dyDescent="0.25">
      <c r="A2620">
        <v>2619</v>
      </c>
      <c r="B2620" t="s">
        <v>2631</v>
      </c>
      <c r="C2620">
        <v>17</v>
      </c>
      <c r="D2620" t="s">
        <v>2947</v>
      </c>
      <c r="E2620" t="s">
        <v>2955</v>
      </c>
      <c r="F2620" t="s">
        <v>5395</v>
      </c>
      <c r="G2620" s="2">
        <v>45772</v>
      </c>
      <c r="H2620" s="2">
        <v>45786</v>
      </c>
      <c r="I2620" t="s">
        <v>5765</v>
      </c>
      <c r="J2620" t="s">
        <v>2949</v>
      </c>
      <c r="K2620">
        <v>94609.67</v>
      </c>
      <c r="L2620" t="s">
        <v>5773</v>
      </c>
      <c r="M2620">
        <v>14</v>
      </c>
    </row>
    <row r="2621" spans="1:13" x14ac:dyDescent="0.25">
      <c r="A2621">
        <v>2620</v>
      </c>
      <c r="B2621" t="s">
        <v>2632</v>
      </c>
      <c r="C2621">
        <v>62</v>
      </c>
      <c r="D2621" t="s">
        <v>2948</v>
      </c>
      <c r="E2621" t="s">
        <v>2951</v>
      </c>
      <c r="F2621" t="s">
        <v>471</v>
      </c>
      <c r="G2621" s="2">
        <v>45725</v>
      </c>
      <c r="H2621" s="2">
        <v>45728</v>
      </c>
      <c r="I2621" t="s">
        <v>5765</v>
      </c>
      <c r="J2621" t="s">
        <v>5772</v>
      </c>
      <c r="K2621">
        <v>145867.71</v>
      </c>
      <c r="L2621" t="s">
        <v>5775</v>
      </c>
      <c r="M2621">
        <v>3</v>
      </c>
    </row>
    <row r="2622" spans="1:13" x14ac:dyDescent="0.25">
      <c r="A2622">
        <v>2621</v>
      </c>
      <c r="B2622" t="s">
        <v>2633</v>
      </c>
      <c r="C2622">
        <v>18</v>
      </c>
      <c r="D2622" t="s">
        <v>2948</v>
      </c>
      <c r="E2622" t="s">
        <v>2949</v>
      </c>
      <c r="F2622" t="s">
        <v>5414</v>
      </c>
      <c r="G2622" s="2">
        <v>45908</v>
      </c>
      <c r="H2622" s="2">
        <v>45918</v>
      </c>
      <c r="I2622" t="s">
        <v>5767</v>
      </c>
      <c r="J2622" t="s">
        <v>5769</v>
      </c>
      <c r="K2622">
        <v>206854.7</v>
      </c>
      <c r="L2622" t="s">
        <v>5774</v>
      </c>
      <c r="M2622">
        <v>10</v>
      </c>
    </row>
    <row r="2623" spans="1:13" x14ac:dyDescent="0.25">
      <c r="A2623">
        <v>2622</v>
      </c>
      <c r="B2623" t="s">
        <v>2634</v>
      </c>
      <c r="C2623">
        <v>70</v>
      </c>
      <c r="D2623" t="s">
        <v>2947</v>
      </c>
      <c r="E2623" t="s">
        <v>2950</v>
      </c>
      <c r="F2623" t="s">
        <v>5415</v>
      </c>
      <c r="G2623" s="2">
        <v>45799</v>
      </c>
      <c r="H2623" s="2">
        <v>45807</v>
      </c>
      <c r="I2623" t="s">
        <v>5767</v>
      </c>
      <c r="J2623" t="s">
        <v>5772</v>
      </c>
      <c r="K2623">
        <v>47740.67</v>
      </c>
      <c r="L2623" t="s">
        <v>5773</v>
      </c>
      <c r="M2623">
        <v>8</v>
      </c>
    </row>
    <row r="2624" spans="1:13" x14ac:dyDescent="0.25">
      <c r="A2624">
        <v>2623</v>
      </c>
      <c r="B2624" t="s">
        <v>2635</v>
      </c>
      <c r="C2624">
        <v>56</v>
      </c>
      <c r="D2624" t="s">
        <v>2948</v>
      </c>
      <c r="E2624" t="s">
        <v>2955</v>
      </c>
      <c r="F2624" t="s">
        <v>5416</v>
      </c>
      <c r="G2624" s="2">
        <v>45817</v>
      </c>
      <c r="H2624" s="2">
        <v>45825</v>
      </c>
      <c r="I2624" t="s">
        <v>5765</v>
      </c>
      <c r="J2624" t="s">
        <v>5769</v>
      </c>
      <c r="K2624">
        <v>306167.02</v>
      </c>
      <c r="L2624" t="s">
        <v>5773</v>
      </c>
      <c r="M2624">
        <v>8</v>
      </c>
    </row>
    <row r="2625" spans="1:13" x14ac:dyDescent="0.25">
      <c r="A2625">
        <v>2624</v>
      </c>
      <c r="B2625" t="s">
        <v>2636</v>
      </c>
      <c r="C2625">
        <v>88</v>
      </c>
      <c r="D2625" t="s">
        <v>2948</v>
      </c>
      <c r="E2625" t="s">
        <v>2951</v>
      </c>
      <c r="F2625" t="s">
        <v>5417</v>
      </c>
      <c r="G2625" s="2">
        <v>45795</v>
      </c>
      <c r="H2625" s="2">
        <v>45808</v>
      </c>
      <c r="I2625" t="s">
        <v>5763</v>
      </c>
      <c r="J2625" t="s">
        <v>5770</v>
      </c>
      <c r="K2625">
        <v>367776.38</v>
      </c>
      <c r="L2625" t="s">
        <v>5773</v>
      </c>
      <c r="M2625">
        <v>13</v>
      </c>
    </row>
    <row r="2626" spans="1:13" x14ac:dyDescent="0.25">
      <c r="A2626">
        <v>2625</v>
      </c>
      <c r="B2626" t="s">
        <v>2637</v>
      </c>
      <c r="C2626">
        <v>89</v>
      </c>
      <c r="D2626" t="s">
        <v>2947</v>
      </c>
      <c r="E2626" t="s">
        <v>2949</v>
      </c>
      <c r="F2626" t="s">
        <v>5418</v>
      </c>
      <c r="G2626" s="2">
        <v>45686</v>
      </c>
      <c r="H2626" s="2">
        <v>45696</v>
      </c>
      <c r="I2626" t="s">
        <v>5764</v>
      </c>
      <c r="J2626" t="s">
        <v>5769</v>
      </c>
      <c r="K2626">
        <v>175277.83</v>
      </c>
      <c r="L2626" t="s">
        <v>5774</v>
      </c>
      <c r="M2626">
        <v>10</v>
      </c>
    </row>
    <row r="2627" spans="1:13" x14ac:dyDescent="0.25">
      <c r="A2627">
        <v>2626</v>
      </c>
      <c r="B2627" t="s">
        <v>2638</v>
      </c>
      <c r="C2627">
        <v>68</v>
      </c>
      <c r="D2627" t="s">
        <v>2947</v>
      </c>
      <c r="E2627" t="s">
        <v>2955</v>
      </c>
      <c r="F2627" t="s">
        <v>5419</v>
      </c>
      <c r="G2627" s="2">
        <v>45604</v>
      </c>
      <c r="H2627" s="2">
        <v>45609</v>
      </c>
      <c r="I2627" t="s">
        <v>5763</v>
      </c>
      <c r="J2627" t="s">
        <v>5768</v>
      </c>
      <c r="K2627">
        <v>401571.09</v>
      </c>
      <c r="L2627" t="s">
        <v>5775</v>
      </c>
      <c r="M2627">
        <v>5</v>
      </c>
    </row>
    <row r="2628" spans="1:13" x14ac:dyDescent="0.25">
      <c r="A2628">
        <v>2627</v>
      </c>
      <c r="B2628" t="s">
        <v>2639</v>
      </c>
      <c r="C2628">
        <v>18</v>
      </c>
      <c r="D2628" t="s">
        <v>2948</v>
      </c>
      <c r="E2628" t="s">
        <v>2953</v>
      </c>
      <c r="F2628" t="s">
        <v>5420</v>
      </c>
      <c r="G2628" s="2">
        <v>45650</v>
      </c>
      <c r="H2628" s="2">
        <v>45662</v>
      </c>
      <c r="I2628" t="s">
        <v>5759</v>
      </c>
      <c r="J2628" t="s">
        <v>5769</v>
      </c>
      <c r="K2628">
        <v>369984.61</v>
      </c>
      <c r="L2628" t="s">
        <v>5775</v>
      </c>
      <c r="M2628">
        <v>12</v>
      </c>
    </row>
    <row r="2629" spans="1:13" x14ac:dyDescent="0.25">
      <c r="A2629">
        <v>2628</v>
      </c>
      <c r="B2629" t="s">
        <v>2640</v>
      </c>
      <c r="C2629">
        <v>72</v>
      </c>
      <c r="D2629" t="s">
        <v>2948</v>
      </c>
      <c r="E2629" t="s">
        <v>2955</v>
      </c>
      <c r="F2629" t="s">
        <v>5421</v>
      </c>
      <c r="G2629" s="2">
        <v>45670</v>
      </c>
      <c r="H2629" s="2">
        <v>45672</v>
      </c>
      <c r="I2629" t="s">
        <v>5767</v>
      </c>
      <c r="J2629" t="s">
        <v>2949</v>
      </c>
      <c r="K2629">
        <v>292608.84999999998</v>
      </c>
      <c r="L2629" t="s">
        <v>5773</v>
      </c>
      <c r="M2629">
        <v>2</v>
      </c>
    </row>
    <row r="2630" spans="1:13" x14ac:dyDescent="0.25">
      <c r="A2630">
        <v>2629</v>
      </c>
      <c r="B2630" t="s">
        <v>2641</v>
      </c>
      <c r="C2630">
        <v>17</v>
      </c>
      <c r="D2630" t="s">
        <v>2948</v>
      </c>
      <c r="E2630" t="s">
        <v>2952</v>
      </c>
      <c r="F2630" t="s">
        <v>5422</v>
      </c>
      <c r="G2630" s="2">
        <v>45799</v>
      </c>
      <c r="H2630" s="2">
        <v>45811</v>
      </c>
      <c r="I2630" t="s">
        <v>5766</v>
      </c>
      <c r="J2630" t="s">
        <v>5772</v>
      </c>
      <c r="K2630">
        <v>94117.36</v>
      </c>
      <c r="L2630" t="s">
        <v>5773</v>
      </c>
      <c r="M2630">
        <v>12</v>
      </c>
    </row>
    <row r="2631" spans="1:13" x14ac:dyDescent="0.25">
      <c r="A2631">
        <v>2630</v>
      </c>
      <c r="B2631" t="s">
        <v>2642</v>
      </c>
      <c r="C2631">
        <v>41</v>
      </c>
      <c r="D2631" t="s">
        <v>2948</v>
      </c>
      <c r="E2631" t="s">
        <v>2955</v>
      </c>
      <c r="F2631" t="s">
        <v>5423</v>
      </c>
      <c r="G2631" s="2">
        <v>45558</v>
      </c>
      <c r="H2631" s="2">
        <v>45559</v>
      </c>
      <c r="I2631" t="s">
        <v>5762</v>
      </c>
      <c r="J2631" t="s">
        <v>2949</v>
      </c>
      <c r="K2631">
        <v>430371.87</v>
      </c>
      <c r="L2631" t="s">
        <v>5775</v>
      </c>
      <c r="M2631">
        <v>1</v>
      </c>
    </row>
    <row r="2632" spans="1:13" x14ac:dyDescent="0.25">
      <c r="A2632">
        <v>2631</v>
      </c>
      <c r="B2632" t="s">
        <v>2643</v>
      </c>
      <c r="C2632">
        <v>47</v>
      </c>
      <c r="D2632" t="s">
        <v>2948</v>
      </c>
      <c r="E2632" t="s">
        <v>2951</v>
      </c>
      <c r="F2632" t="s">
        <v>5424</v>
      </c>
      <c r="G2632" s="2">
        <v>45799</v>
      </c>
      <c r="H2632" s="2">
        <v>45806</v>
      </c>
      <c r="I2632" t="s">
        <v>5761</v>
      </c>
      <c r="J2632" t="s">
        <v>2949</v>
      </c>
      <c r="K2632">
        <v>28665.439999999999</v>
      </c>
      <c r="L2632" t="s">
        <v>5775</v>
      </c>
      <c r="M2632">
        <v>7</v>
      </c>
    </row>
    <row r="2633" spans="1:13" x14ac:dyDescent="0.25">
      <c r="A2633">
        <v>2632</v>
      </c>
      <c r="B2633" t="s">
        <v>2644</v>
      </c>
      <c r="C2633">
        <v>57</v>
      </c>
      <c r="D2633" t="s">
        <v>2948</v>
      </c>
      <c r="E2633" t="s">
        <v>2954</v>
      </c>
      <c r="F2633" t="s">
        <v>5425</v>
      </c>
      <c r="G2633" s="2">
        <v>45884</v>
      </c>
      <c r="H2633" s="2">
        <v>45887</v>
      </c>
      <c r="I2633" t="s">
        <v>5764</v>
      </c>
      <c r="J2633" t="s">
        <v>5772</v>
      </c>
      <c r="K2633">
        <v>159267.68</v>
      </c>
      <c r="L2633" t="s">
        <v>5774</v>
      </c>
      <c r="M2633">
        <v>3</v>
      </c>
    </row>
    <row r="2634" spans="1:13" x14ac:dyDescent="0.25">
      <c r="A2634">
        <v>2633</v>
      </c>
      <c r="B2634" t="s">
        <v>2645</v>
      </c>
      <c r="C2634">
        <v>65</v>
      </c>
      <c r="D2634" t="s">
        <v>2947</v>
      </c>
      <c r="E2634" t="s">
        <v>2951</v>
      </c>
      <c r="F2634" t="s">
        <v>5426</v>
      </c>
      <c r="G2634" s="2">
        <v>45752</v>
      </c>
      <c r="H2634" s="2">
        <v>45767</v>
      </c>
      <c r="I2634" t="s">
        <v>5763</v>
      </c>
      <c r="J2634" t="s">
        <v>5769</v>
      </c>
      <c r="K2634">
        <v>12585.68</v>
      </c>
      <c r="L2634" t="s">
        <v>5774</v>
      </c>
      <c r="M2634">
        <v>15</v>
      </c>
    </row>
    <row r="2635" spans="1:13" x14ac:dyDescent="0.25">
      <c r="A2635">
        <v>2634</v>
      </c>
      <c r="B2635" t="s">
        <v>2646</v>
      </c>
      <c r="C2635">
        <v>48</v>
      </c>
      <c r="D2635" t="s">
        <v>2948</v>
      </c>
      <c r="E2635" t="s">
        <v>2950</v>
      </c>
      <c r="F2635" t="s">
        <v>5427</v>
      </c>
      <c r="G2635" s="2">
        <v>45913</v>
      </c>
      <c r="H2635" s="2">
        <v>45914</v>
      </c>
      <c r="I2635" t="s">
        <v>5765</v>
      </c>
      <c r="J2635" t="s">
        <v>5772</v>
      </c>
      <c r="K2635">
        <v>296396.76</v>
      </c>
      <c r="L2635" t="s">
        <v>5775</v>
      </c>
      <c r="M2635">
        <v>1</v>
      </c>
    </row>
    <row r="2636" spans="1:13" x14ac:dyDescent="0.25">
      <c r="A2636">
        <v>2635</v>
      </c>
      <c r="B2636" t="s">
        <v>2647</v>
      </c>
      <c r="C2636">
        <v>57</v>
      </c>
      <c r="D2636" t="s">
        <v>2948</v>
      </c>
      <c r="E2636" t="s">
        <v>2951</v>
      </c>
      <c r="F2636" t="s">
        <v>5428</v>
      </c>
      <c r="G2636" s="2">
        <v>45898</v>
      </c>
      <c r="H2636" s="2">
        <v>45911</v>
      </c>
      <c r="I2636" t="s">
        <v>5760</v>
      </c>
      <c r="J2636" t="s">
        <v>5771</v>
      </c>
      <c r="K2636">
        <v>253502.21</v>
      </c>
      <c r="L2636" t="s">
        <v>5775</v>
      </c>
      <c r="M2636">
        <v>13</v>
      </c>
    </row>
    <row r="2637" spans="1:13" x14ac:dyDescent="0.25">
      <c r="A2637">
        <v>2636</v>
      </c>
      <c r="B2637" t="s">
        <v>2648</v>
      </c>
      <c r="C2637">
        <v>44</v>
      </c>
      <c r="D2637" t="s">
        <v>2947</v>
      </c>
      <c r="E2637" t="s">
        <v>2949</v>
      </c>
      <c r="F2637" t="s">
        <v>5429</v>
      </c>
      <c r="G2637" s="2">
        <v>45904</v>
      </c>
      <c r="H2637" s="2">
        <v>45906</v>
      </c>
      <c r="I2637" t="s">
        <v>5762</v>
      </c>
      <c r="J2637" t="s">
        <v>5770</v>
      </c>
      <c r="K2637">
        <v>64235.54</v>
      </c>
      <c r="L2637" t="s">
        <v>5773</v>
      </c>
      <c r="M2637">
        <v>2</v>
      </c>
    </row>
    <row r="2638" spans="1:13" x14ac:dyDescent="0.25">
      <c r="A2638">
        <v>2637</v>
      </c>
      <c r="B2638" t="s">
        <v>2649</v>
      </c>
      <c r="C2638">
        <v>1</v>
      </c>
      <c r="D2638" t="s">
        <v>2948</v>
      </c>
      <c r="E2638" t="s">
        <v>2950</v>
      </c>
      <c r="F2638" t="s">
        <v>5430</v>
      </c>
      <c r="G2638" s="2">
        <v>45716</v>
      </c>
      <c r="H2638" s="2">
        <v>45727</v>
      </c>
      <c r="I2638" t="s">
        <v>5763</v>
      </c>
      <c r="J2638" t="s">
        <v>5770</v>
      </c>
      <c r="K2638">
        <v>224955.74</v>
      </c>
      <c r="L2638" t="s">
        <v>5774</v>
      </c>
      <c r="M2638">
        <v>11</v>
      </c>
    </row>
    <row r="2639" spans="1:13" x14ac:dyDescent="0.25">
      <c r="A2639">
        <v>2638</v>
      </c>
      <c r="B2639" t="s">
        <v>2650</v>
      </c>
      <c r="C2639">
        <v>80</v>
      </c>
      <c r="D2639" t="s">
        <v>2947</v>
      </c>
      <c r="E2639" t="s">
        <v>2955</v>
      </c>
      <c r="F2639" t="s">
        <v>5431</v>
      </c>
      <c r="G2639" s="2">
        <v>45899</v>
      </c>
      <c r="H2639" s="2">
        <v>45906</v>
      </c>
      <c r="I2639" t="s">
        <v>5762</v>
      </c>
      <c r="J2639" t="s">
        <v>5769</v>
      </c>
      <c r="K2639">
        <v>372208.86</v>
      </c>
      <c r="L2639" t="s">
        <v>5775</v>
      </c>
      <c r="M2639">
        <v>7</v>
      </c>
    </row>
    <row r="2640" spans="1:13" x14ac:dyDescent="0.25">
      <c r="A2640">
        <v>2639</v>
      </c>
      <c r="B2640" t="s">
        <v>2651</v>
      </c>
      <c r="C2640">
        <v>55</v>
      </c>
      <c r="D2640" t="s">
        <v>2948</v>
      </c>
      <c r="E2640" t="s">
        <v>2955</v>
      </c>
      <c r="F2640" t="s">
        <v>5432</v>
      </c>
      <c r="G2640" s="2">
        <v>45732</v>
      </c>
      <c r="H2640" s="2">
        <v>45743</v>
      </c>
      <c r="I2640" t="s">
        <v>5764</v>
      </c>
      <c r="J2640" t="s">
        <v>5772</v>
      </c>
      <c r="K2640">
        <v>177125.68</v>
      </c>
      <c r="L2640" t="s">
        <v>5774</v>
      </c>
      <c r="M2640">
        <v>11</v>
      </c>
    </row>
    <row r="2641" spans="1:13" x14ac:dyDescent="0.25">
      <c r="A2641">
        <v>2640</v>
      </c>
      <c r="B2641" t="s">
        <v>2652</v>
      </c>
      <c r="C2641">
        <v>8</v>
      </c>
      <c r="D2641" t="s">
        <v>2948</v>
      </c>
      <c r="E2641" t="s">
        <v>2949</v>
      </c>
      <c r="F2641" t="s">
        <v>5433</v>
      </c>
      <c r="G2641" s="2">
        <v>45735</v>
      </c>
      <c r="H2641" s="2">
        <v>45749</v>
      </c>
      <c r="I2641" t="s">
        <v>5760</v>
      </c>
      <c r="J2641" t="s">
        <v>5768</v>
      </c>
      <c r="K2641">
        <v>243393.55</v>
      </c>
      <c r="L2641" t="s">
        <v>5773</v>
      </c>
      <c r="M2641">
        <v>14</v>
      </c>
    </row>
    <row r="2642" spans="1:13" x14ac:dyDescent="0.25">
      <c r="A2642">
        <v>2641</v>
      </c>
      <c r="B2642" t="s">
        <v>2653</v>
      </c>
      <c r="C2642">
        <v>73</v>
      </c>
      <c r="D2642" t="s">
        <v>2948</v>
      </c>
      <c r="E2642" t="s">
        <v>2952</v>
      </c>
      <c r="F2642" t="s">
        <v>5434</v>
      </c>
      <c r="G2642" s="2">
        <v>45631</v>
      </c>
      <c r="H2642" s="2">
        <v>45642</v>
      </c>
      <c r="I2642" t="s">
        <v>5765</v>
      </c>
      <c r="J2642" t="s">
        <v>5772</v>
      </c>
      <c r="K2642">
        <v>141171.54999999999</v>
      </c>
      <c r="L2642" t="s">
        <v>5775</v>
      </c>
      <c r="M2642">
        <v>11</v>
      </c>
    </row>
    <row r="2643" spans="1:13" x14ac:dyDescent="0.25">
      <c r="A2643">
        <v>2642</v>
      </c>
      <c r="B2643" t="s">
        <v>2654</v>
      </c>
      <c r="C2643">
        <v>67</v>
      </c>
      <c r="D2643" t="s">
        <v>2948</v>
      </c>
      <c r="E2643" t="s">
        <v>2950</v>
      </c>
      <c r="F2643" t="s">
        <v>5435</v>
      </c>
      <c r="G2643" s="2">
        <v>45660</v>
      </c>
      <c r="H2643" s="2">
        <v>45662</v>
      </c>
      <c r="I2643" t="s">
        <v>5766</v>
      </c>
      <c r="J2643" t="s">
        <v>5772</v>
      </c>
      <c r="K2643">
        <v>356186.77</v>
      </c>
      <c r="L2643" t="s">
        <v>5774</v>
      </c>
      <c r="M2643">
        <v>2</v>
      </c>
    </row>
    <row r="2644" spans="1:13" x14ac:dyDescent="0.25">
      <c r="A2644">
        <v>2643</v>
      </c>
      <c r="B2644" t="s">
        <v>2655</v>
      </c>
      <c r="C2644">
        <v>81</v>
      </c>
      <c r="D2644" t="s">
        <v>2947</v>
      </c>
      <c r="E2644" t="s">
        <v>2953</v>
      </c>
      <c r="F2644" t="s">
        <v>5436</v>
      </c>
      <c r="G2644" s="2">
        <v>45742</v>
      </c>
      <c r="H2644" s="2">
        <v>45755</v>
      </c>
      <c r="I2644" t="s">
        <v>5758</v>
      </c>
      <c r="J2644" t="s">
        <v>5770</v>
      </c>
      <c r="K2644">
        <v>113105.24</v>
      </c>
      <c r="L2644" t="s">
        <v>5774</v>
      </c>
      <c r="M2644">
        <v>13</v>
      </c>
    </row>
    <row r="2645" spans="1:13" x14ac:dyDescent="0.25">
      <c r="A2645">
        <v>2644</v>
      </c>
      <c r="B2645" t="s">
        <v>2656</v>
      </c>
      <c r="C2645">
        <v>48</v>
      </c>
      <c r="D2645" t="s">
        <v>2947</v>
      </c>
      <c r="E2645" t="s">
        <v>2955</v>
      </c>
      <c r="F2645" t="s">
        <v>5437</v>
      </c>
      <c r="G2645" s="2">
        <v>45864</v>
      </c>
      <c r="H2645" s="2">
        <v>45877</v>
      </c>
      <c r="I2645" t="s">
        <v>5761</v>
      </c>
      <c r="J2645" t="s">
        <v>2949</v>
      </c>
      <c r="K2645">
        <v>195559.21</v>
      </c>
      <c r="L2645" t="s">
        <v>5773</v>
      </c>
      <c r="M2645">
        <v>13</v>
      </c>
    </row>
    <row r="2646" spans="1:13" x14ac:dyDescent="0.25">
      <c r="A2646">
        <v>2645</v>
      </c>
      <c r="B2646" t="s">
        <v>2657</v>
      </c>
      <c r="C2646">
        <v>49</v>
      </c>
      <c r="D2646" t="s">
        <v>2947</v>
      </c>
      <c r="E2646" t="s">
        <v>2953</v>
      </c>
      <c r="F2646" t="s">
        <v>5438</v>
      </c>
      <c r="G2646" s="2">
        <v>45760</v>
      </c>
      <c r="H2646" s="2">
        <v>45771</v>
      </c>
      <c r="I2646" t="s">
        <v>5766</v>
      </c>
      <c r="J2646" t="s">
        <v>5770</v>
      </c>
      <c r="K2646">
        <v>169896.1</v>
      </c>
      <c r="L2646" t="s">
        <v>5773</v>
      </c>
      <c r="M2646">
        <v>11</v>
      </c>
    </row>
    <row r="2647" spans="1:13" x14ac:dyDescent="0.25">
      <c r="A2647">
        <v>2646</v>
      </c>
      <c r="B2647" t="s">
        <v>2658</v>
      </c>
      <c r="C2647">
        <v>82</v>
      </c>
      <c r="D2647" t="s">
        <v>2948</v>
      </c>
      <c r="E2647" t="s">
        <v>2949</v>
      </c>
      <c r="F2647" t="s">
        <v>5439</v>
      </c>
      <c r="G2647" s="2">
        <v>45604</v>
      </c>
      <c r="H2647" s="2">
        <v>45611</v>
      </c>
      <c r="I2647" t="s">
        <v>5766</v>
      </c>
      <c r="J2647" t="s">
        <v>2949</v>
      </c>
      <c r="K2647">
        <v>249704</v>
      </c>
      <c r="L2647" t="s">
        <v>5774</v>
      </c>
      <c r="M2647">
        <v>7</v>
      </c>
    </row>
    <row r="2648" spans="1:13" x14ac:dyDescent="0.25">
      <c r="A2648">
        <v>2647</v>
      </c>
      <c r="B2648" t="s">
        <v>2659</v>
      </c>
      <c r="C2648">
        <v>38</v>
      </c>
      <c r="D2648" t="s">
        <v>2947</v>
      </c>
      <c r="E2648" t="s">
        <v>2955</v>
      </c>
      <c r="F2648" t="s">
        <v>5440</v>
      </c>
      <c r="G2648" s="2">
        <v>45649</v>
      </c>
      <c r="H2648" s="2">
        <v>45663</v>
      </c>
      <c r="I2648" t="s">
        <v>5766</v>
      </c>
      <c r="J2648" t="s">
        <v>5768</v>
      </c>
      <c r="K2648">
        <v>87439.11</v>
      </c>
      <c r="L2648" t="s">
        <v>5773</v>
      </c>
      <c r="M2648">
        <v>14</v>
      </c>
    </row>
    <row r="2649" spans="1:13" x14ac:dyDescent="0.25">
      <c r="A2649">
        <v>2648</v>
      </c>
      <c r="B2649" t="s">
        <v>2660</v>
      </c>
      <c r="C2649">
        <v>29</v>
      </c>
      <c r="D2649" t="s">
        <v>2948</v>
      </c>
      <c r="E2649" t="s">
        <v>2954</v>
      </c>
      <c r="F2649" t="s">
        <v>5441</v>
      </c>
      <c r="G2649" s="2">
        <v>45633</v>
      </c>
      <c r="H2649" s="2">
        <v>45646</v>
      </c>
      <c r="I2649" t="s">
        <v>5767</v>
      </c>
      <c r="J2649" t="s">
        <v>5772</v>
      </c>
      <c r="K2649">
        <v>134071.51999999999</v>
      </c>
      <c r="L2649" t="s">
        <v>5773</v>
      </c>
      <c r="M2649">
        <v>13</v>
      </c>
    </row>
    <row r="2650" spans="1:13" x14ac:dyDescent="0.25">
      <c r="A2650">
        <v>2649</v>
      </c>
      <c r="B2650" t="s">
        <v>2661</v>
      </c>
      <c r="C2650">
        <v>36</v>
      </c>
      <c r="D2650" t="s">
        <v>2947</v>
      </c>
      <c r="E2650" t="s">
        <v>2953</v>
      </c>
      <c r="F2650" t="s">
        <v>3968</v>
      </c>
      <c r="G2650" s="2">
        <v>45565</v>
      </c>
      <c r="H2650" s="2">
        <v>45580</v>
      </c>
      <c r="I2650" t="s">
        <v>5766</v>
      </c>
      <c r="J2650" t="s">
        <v>5768</v>
      </c>
      <c r="K2650">
        <v>437527.67</v>
      </c>
      <c r="L2650" t="s">
        <v>5775</v>
      </c>
      <c r="M2650">
        <v>15</v>
      </c>
    </row>
    <row r="2651" spans="1:13" x14ac:dyDescent="0.25">
      <c r="A2651">
        <v>2650</v>
      </c>
      <c r="B2651" t="s">
        <v>2662</v>
      </c>
      <c r="C2651">
        <v>41</v>
      </c>
      <c r="D2651" t="s">
        <v>2947</v>
      </c>
      <c r="E2651" t="s">
        <v>2950</v>
      </c>
      <c r="F2651" t="s">
        <v>5442</v>
      </c>
      <c r="G2651" s="2">
        <v>45899</v>
      </c>
      <c r="H2651" s="2">
        <v>45904</v>
      </c>
      <c r="I2651" t="s">
        <v>5758</v>
      </c>
      <c r="J2651" t="s">
        <v>5768</v>
      </c>
      <c r="K2651">
        <v>204997.46</v>
      </c>
      <c r="L2651" t="s">
        <v>5775</v>
      </c>
      <c r="M2651">
        <v>5</v>
      </c>
    </row>
    <row r="2652" spans="1:13" x14ac:dyDescent="0.25">
      <c r="A2652">
        <v>2651</v>
      </c>
      <c r="B2652" t="s">
        <v>2663</v>
      </c>
      <c r="C2652">
        <v>6</v>
      </c>
      <c r="D2652" t="s">
        <v>2948</v>
      </c>
      <c r="E2652" t="s">
        <v>2953</v>
      </c>
      <c r="F2652" t="s">
        <v>5443</v>
      </c>
      <c r="G2652" s="2">
        <v>45569</v>
      </c>
      <c r="H2652" s="2">
        <v>45581</v>
      </c>
      <c r="I2652" t="s">
        <v>5763</v>
      </c>
      <c r="J2652" t="s">
        <v>5770</v>
      </c>
      <c r="K2652">
        <v>378464.8</v>
      </c>
      <c r="L2652" t="s">
        <v>5774</v>
      </c>
      <c r="M2652">
        <v>12</v>
      </c>
    </row>
    <row r="2653" spans="1:13" x14ac:dyDescent="0.25">
      <c r="A2653">
        <v>2652</v>
      </c>
      <c r="B2653" t="s">
        <v>2664</v>
      </c>
      <c r="C2653">
        <v>11</v>
      </c>
      <c r="D2653" t="s">
        <v>2948</v>
      </c>
      <c r="E2653" t="s">
        <v>2950</v>
      </c>
      <c r="F2653" t="s">
        <v>5444</v>
      </c>
      <c r="G2653" s="2">
        <v>45788</v>
      </c>
      <c r="H2653" s="2">
        <v>45794</v>
      </c>
      <c r="I2653" t="s">
        <v>5759</v>
      </c>
      <c r="J2653" t="s">
        <v>5768</v>
      </c>
      <c r="K2653">
        <v>262840.96999999997</v>
      </c>
      <c r="L2653" t="s">
        <v>5773</v>
      </c>
      <c r="M2653">
        <v>6</v>
      </c>
    </row>
    <row r="2654" spans="1:13" x14ac:dyDescent="0.25">
      <c r="A2654">
        <v>2653</v>
      </c>
      <c r="B2654" t="s">
        <v>2665</v>
      </c>
      <c r="C2654">
        <v>3</v>
      </c>
      <c r="D2654" t="s">
        <v>2948</v>
      </c>
      <c r="E2654" t="s">
        <v>2954</v>
      </c>
      <c r="F2654" t="s">
        <v>5445</v>
      </c>
      <c r="G2654" s="2">
        <v>45684</v>
      </c>
      <c r="H2654" s="2">
        <v>45687</v>
      </c>
      <c r="I2654" t="s">
        <v>5762</v>
      </c>
      <c r="J2654" t="s">
        <v>5769</v>
      </c>
      <c r="K2654">
        <v>471441.18</v>
      </c>
      <c r="L2654" t="s">
        <v>5773</v>
      </c>
      <c r="M2654">
        <v>3</v>
      </c>
    </row>
    <row r="2655" spans="1:13" x14ac:dyDescent="0.25">
      <c r="A2655">
        <v>2654</v>
      </c>
      <c r="B2655" t="s">
        <v>2666</v>
      </c>
      <c r="C2655">
        <v>26</v>
      </c>
      <c r="D2655" t="s">
        <v>2947</v>
      </c>
      <c r="E2655" t="s">
        <v>2949</v>
      </c>
      <c r="F2655" t="s">
        <v>5446</v>
      </c>
      <c r="G2655" s="2">
        <v>45559</v>
      </c>
      <c r="H2655" s="2">
        <v>45574</v>
      </c>
      <c r="I2655" t="s">
        <v>5758</v>
      </c>
      <c r="J2655" t="s">
        <v>5772</v>
      </c>
      <c r="K2655">
        <v>349798.12</v>
      </c>
      <c r="L2655" t="s">
        <v>5774</v>
      </c>
      <c r="M2655">
        <v>15</v>
      </c>
    </row>
    <row r="2656" spans="1:13" x14ac:dyDescent="0.25">
      <c r="A2656">
        <v>2655</v>
      </c>
      <c r="B2656" t="s">
        <v>2667</v>
      </c>
      <c r="C2656">
        <v>18</v>
      </c>
      <c r="D2656" t="s">
        <v>2947</v>
      </c>
      <c r="E2656" t="s">
        <v>2955</v>
      </c>
      <c r="F2656" t="s">
        <v>5447</v>
      </c>
      <c r="G2656" s="2">
        <v>45876</v>
      </c>
      <c r="H2656" s="2">
        <v>45881</v>
      </c>
      <c r="I2656" t="s">
        <v>5758</v>
      </c>
      <c r="J2656" t="s">
        <v>5771</v>
      </c>
      <c r="K2656">
        <v>397417.16</v>
      </c>
      <c r="L2656" t="s">
        <v>5774</v>
      </c>
      <c r="M2656">
        <v>5</v>
      </c>
    </row>
    <row r="2657" spans="1:13" x14ac:dyDescent="0.25">
      <c r="A2657">
        <v>2656</v>
      </c>
      <c r="B2657" t="s">
        <v>2668</v>
      </c>
      <c r="C2657">
        <v>60</v>
      </c>
      <c r="D2657" t="s">
        <v>2947</v>
      </c>
      <c r="E2657" t="s">
        <v>2954</v>
      </c>
      <c r="F2657" t="s">
        <v>5448</v>
      </c>
      <c r="G2657" s="2">
        <v>45794</v>
      </c>
      <c r="H2657" s="2">
        <v>45803</v>
      </c>
      <c r="I2657" t="s">
        <v>5759</v>
      </c>
      <c r="J2657" t="s">
        <v>2949</v>
      </c>
      <c r="K2657">
        <v>52296.74</v>
      </c>
      <c r="L2657" t="s">
        <v>5775</v>
      </c>
      <c r="M2657">
        <v>9</v>
      </c>
    </row>
    <row r="2658" spans="1:13" x14ac:dyDescent="0.25">
      <c r="A2658">
        <v>2657</v>
      </c>
      <c r="B2658" t="s">
        <v>2669</v>
      </c>
      <c r="C2658">
        <v>71</v>
      </c>
      <c r="D2658" t="s">
        <v>2948</v>
      </c>
      <c r="E2658" t="s">
        <v>2949</v>
      </c>
      <c r="F2658" t="s">
        <v>5449</v>
      </c>
      <c r="G2658" s="2">
        <v>45791</v>
      </c>
      <c r="H2658" s="2">
        <v>45801</v>
      </c>
      <c r="I2658" t="s">
        <v>5766</v>
      </c>
      <c r="J2658" t="s">
        <v>5771</v>
      </c>
      <c r="K2658">
        <v>366678.02</v>
      </c>
      <c r="L2658" t="s">
        <v>5773</v>
      </c>
      <c r="M2658">
        <v>10</v>
      </c>
    </row>
    <row r="2659" spans="1:13" x14ac:dyDescent="0.25">
      <c r="A2659">
        <v>2658</v>
      </c>
      <c r="B2659" t="s">
        <v>2670</v>
      </c>
      <c r="C2659">
        <v>76</v>
      </c>
      <c r="D2659" t="s">
        <v>2948</v>
      </c>
      <c r="E2659" t="s">
        <v>2951</v>
      </c>
      <c r="F2659" t="s">
        <v>5450</v>
      </c>
      <c r="G2659" s="2">
        <v>45817</v>
      </c>
      <c r="H2659" s="2">
        <v>45821</v>
      </c>
      <c r="I2659" t="s">
        <v>5763</v>
      </c>
      <c r="J2659" t="s">
        <v>5772</v>
      </c>
      <c r="K2659">
        <v>167847.09</v>
      </c>
      <c r="L2659" t="s">
        <v>5773</v>
      </c>
      <c r="M2659">
        <v>4</v>
      </c>
    </row>
    <row r="2660" spans="1:13" x14ac:dyDescent="0.25">
      <c r="A2660">
        <v>2659</v>
      </c>
      <c r="B2660" t="s">
        <v>2671</v>
      </c>
      <c r="C2660">
        <v>40</v>
      </c>
      <c r="D2660" t="s">
        <v>2948</v>
      </c>
      <c r="E2660" t="s">
        <v>2951</v>
      </c>
      <c r="F2660" t="s">
        <v>5451</v>
      </c>
      <c r="G2660" s="2">
        <v>45904</v>
      </c>
      <c r="H2660" s="2">
        <v>45909</v>
      </c>
      <c r="I2660" t="s">
        <v>5759</v>
      </c>
      <c r="J2660" t="s">
        <v>2949</v>
      </c>
      <c r="K2660">
        <v>475233.09</v>
      </c>
      <c r="L2660" t="s">
        <v>5774</v>
      </c>
      <c r="M2660">
        <v>5</v>
      </c>
    </row>
    <row r="2661" spans="1:13" x14ac:dyDescent="0.25">
      <c r="A2661">
        <v>2660</v>
      </c>
      <c r="B2661" t="s">
        <v>2672</v>
      </c>
      <c r="C2661">
        <v>70</v>
      </c>
      <c r="D2661" t="s">
        <v>2948</v>
      </c>
      <c r="E2661" t="s">
        <v>2955</v>
      </c>
      <c r="F2661" t="s">
        <v>5452</v>
      </c>
      <c r="G2661" s="2">
        <v>45807</v>
      </c>
      <c r="H2661" s="2">
        <v>45820</v>
      </c>
      <c r="I2661" t="s">
        <v>5766</v>
      </c>
      <c r="J2661" t="s">
        <v>2949</v>
      </c>
      <c r="K2661">
        <v>390235.13</v>
      </c>
      <c r="L2661" t="s">
        <v>5774</v>
      </c>
      <c r="M2661">
        <v>13</v>
      </c>
    </row>
    <row r="2662" spans="1:13" x14ac:dyDescent="0.25">
      <c r="A2662">
        <v>2661</v>
      </c>
      <c r="B2662" t="s">
        <v>2673</v>
      </c>
      <c r="C2662">
        <v>64</v>
      </c>
      <c r="D2662" t="s">
        <v>2947</v>
      </c>
      <c r="E2662" t="s">
        <v>2950</v>
      </c>
      <c r="F2662" t="s">
        <v>5453</v>
      </c>
      <c r="G2662" s="2">
        <v>45870</v>
      </c>
      <c r="H2662" s="2">
        <v>45882</v>
      </c>
      <c r="I2662" t="s">
        <v>5767</v>
      </c>
      <c r="J2662" t="s">
        <v>2949</v>
      </c>
      <c r="K2662">
        <v>207825.67</v>
      </c>
      <c r="L2662" t="s">
        <v>5774</v>
      </c>
      <c r="M2662">
        <v>12</v>
      </c>
    </row>
    <row r="2663" spans="1:13" x14ac:dyDescent="0.25">
      <c r="A2663">
        <v>2662</v>
      </c>
      <c r="B2663" t="s">
        <v>2674</v>
      </c>
      <c r="C2663">
        <v>49</v>
      </c>
      <c r="D2663" t="s">
        <v>2947</v>
      </c>
      <c r="E2663" t="s">
        <v>2950</v>
      </c>
      <c r="F2663" t="s">
        <v>5454</v>
      </c>
      <c r="G2663" s="2">
        <v>45831</v>
      </c>
      <c r="H2663" s="2">
        <v>45842</v>
      </c>
      <c r="I2663" t="s">
        <v>5762</v>
      </c>
      <c r="J2663" t="s">
        <v>5770</v>
      </c>
      <c r="K2663">
        <v>447549.52</v>
      </c>
      <c r="L2663" t="s">
        <v>5773</v>
      </c>
      <c r="M2663">
        <v>11</v>
      </c>
    </row>
    <row r="2664" spans="1:13" x14ac:dyDescent="0.25">
      <c r="A2664">
        <v>2663</v>
      </c>
      <c r="B2664" t="s">
        <v>2675</v>
      </c>
      <c r="C2664">
        <v>38</v>
      </c>
      <c r="D2664" t="s">
        <v>2947</v>
      </c>
      <c r="E2664" t="s">
        <v>2955</v>
      </c>
      <c r="F2664" t="s">
        <v>5455</v>
      </c>
      <c r="G2664" s="2">
        <v>45835</v>
      </c>
      <c r="H2664" s="2">
        <v>45838</v>
      </c>
      <c r="I2664" t="s">
        <v>5760</v>
      </c>
      <c r="J2664" t="s">
        <v>5771</v>
      </c>
      <c r="K2664">
        <v>91786.95</v>
      </c>
      <c r="L2664" t="s">
        <v>5774</v>
      </c>
      <c r="M2664">
        <v>3</v>
      </c>
    </row>
    <row r="2665" spans="1:13" x14ac:dyDescent="0.25">
      <c r="A2665">
        <v>2664</v>
      </c>
      <c r="B2665" t="s">
        <v>2676</v>
      </c>
      <c r="C2665">
        <v>69</v>
      </c>
      <c r="D2665" t="s">
        <v>2947</v>
      </c>
      <c r="E2665" t="s">
        <v>2950</v>
      </c>
      <c r="F2665" t="s">
        <v>1102</v>
      </c>
      <c r="G2665" s="2">
        <v>45878</v>
      </c>
      <c r="H2665" s="2">
        <v>45888</v>
      </c>
      <c r="I2665" t="s">
        <v>5760</v>
      </c>
      <c r="J2665" t="s">
        <v>5772</v>
      </c>
      <c r="K2665">
        <v>478992.68</v>
      </c>
      <c r="L2665" t="s">
        <v>5775</v>
      </c>
      <c r="M2665">
        <v>10</v>
      </c>
    </row>
    <row r="2666" spans="1:13" x14ac:dyDescent="0.25">
      <c r="A2666">
        <v>2665</v>
      </c>
      <c r="B2666" t="s">
        <v>2677</v>
      </c>
      <c r="C2666">
        <v>81</v>
      </c>
      <c r="D2666" t="s">
        <v>2948</v>
      </c>
      <c r="E2666" t="s">
        <v>2949</v>
      </c>
      <c r="F2666" t="s">
        <v>5456</v>
      </c>
      <c r="G2666" s="2">
        <v>45576</v>
      </c>
      <c r="H2666" s="2">
        <v>45577</v>
      </c>
      <c r="I2666" t="s">
        <v>5766</v>
      </c>
      <c r="J2666" t="s">
        <v>5771</v>
      </c>
      <c r="K2666">
        <v>227570.64</v>
      </c>
      <c r="L2666" t="s">
        <v>5773</v>
      </c>
      <c r="M2666">
        <v>1</v>
      </c>
    </row>
    <row r="2667" spans="1:13" x14ac:dyDescent="0.25">
      <c r="A2667">
        <v>2666</v>
      </c>
      <c r="B2667" t="s">
        <v>2678</v>
      </c>
      <c r="C2667">
        <v>5</v>
      </c>
      <c r="D2667" t="s">
        <v>2948</v>
      </c>
      <c r="E2667" t="s">
        <v>2953</v>
      </c>
      <c r="F2667" t="s">
        <v>5457</v>
      </c>
      <c r="G2667" s="2">
        <v>45609</v>
      </c>
      <c r="H2667" s="2">
        <v>45620</v>
      </c>
      <c r="I2667" t="s">
        <v>5765</v>
      </c>
      <c r="J2667" t="s">
        <v>5769</v>
      </c>
      <c r="K2667">
        <v>161277.74</v>
      </c>
      <c r="L2667" t="s">
        <v>5775</v>
      </c>
      <c r="M2667">
        <v>11</v>
      </c>
    </row>
    <row r="2668" spans="1:13" x14ac:dyDescent="0.25">
      <c r="A2668">
        <v>2667</v>
      </c>
      <c r="B2668" t="s">
        <v>2679</v>
      </c>
      <c r="C2668">
        <v>57</v>
      </c>
      <c r="D2668" t="s">
        <v>2947</v>
      </c>
      <c r="E2668" t="s">
        <v>2950</v>
      </c>
      <c r="F2668" t="s">
        <v>5458</v>
      </c>
      <c r="G2668" s="2">
        <v>45610</v>
      </c>
      <c r="H2668" s="2">
        <v>45611</v>
      </c>
      <c r="I2668" t="s">
        <v>5764</v>
      </c>
      <c r="J2668" t="s">
        <v>2949</v>
      </c>
      <c r="K2668">
        <v>67062.37</v>
      </c>
      <c r="L2668" t="s">
        <v>5773</v>
      </c>
      <c r="M2668">
        <v>1</v>
      </c>
    </row>
    <row r="2669" spans="1:13" x14ac:dyDescent="0.25">
      <c r="A2669">
        <v>2668</v>
      </c>
      <c r="B2669" t="s">
        <v>2680</v>
      </c>
      <c r="C2669">
        <v>28</v>
      </c>
      <c r="D2669" t="s">
        <v>2948</v>
      </c>
      <c r="E2669" t="s">
        <v>2949</v>
      </c>
      <c r="F2669" t="s">
        <v>5459</v>
      </c>
      <c r="G2669" s="2">
        <v>45664</v>
      </c>
      <c r="H2669" s="2">
        <v>45667</v>
      </c>
      <c r="I2669" t="s">
        <v>5759</v>
      </c>
      <c r="J2669" t="s">
        <v>5770</v>
      </c>
      <c r="K2669">
        <v>216083.78</v>
      </c>
      <c r="L2669" t="s">
        <v>5774</v>
      </c>
      <c r="M2669">
        <v>3</v>
      </c>
    </row>
    <row r="2670" spans="1:13" x14ac:dyDescent="0.25">
      <c r="A2670">
        <v>2669</v>
      </c>
      <c r="B2670" t="s">
        <v>2681</v>
      </c>
      <c r="C2670">
        <v>34</v>
      </c>
      <c r="D2670" t="s">
        <v>2948</v>
      </c>
      <c r="E2670" t="s">
        <v>2953</v>
      </c>
      <c r="F2670" t="s">
        <v>517</v>
      </c>
      <c r="G2670" s="2">
        <v>45884</v>
      </c>
      <c r="H2670" s="2">
        <v>45892</v>
      </c>
      <c r="I2670" t="s">
        <v>5761</v>
      </c>
      <c r="J2670" t="s">
        <v>5771</v>
      </c>
      <c r="K2670">
        <v>446642.32</v>
      </c>
      <c r="L2670" t="s">
        <v>5773</v>
      </c>
      <c r="M2670">
        <v>8</v>
      </c>
    </row>
    <row r="2671" spans="1:13" x14ac:dyDescent="0.25">
      <c r="A2671">
        <v>2670</v>
      </c>
      <c r="B2671" t="s">
        <v>2682</v>
      </c>
      <c r="C2671">
        <v>63</v>
      </c>
      <c r="D2671" t="s">
        <v>2947</v>
      </c>
      <c r="E2671" t="s">
        <v>2954</v>
      </c>
      <c r="F2671" t="s">
        <v>5460</v>
      </c>
      <c r="G2671" s="2">
        <v>45577</v>
      </c>
      <c r="H2671" s="2">
        <v>45585</v>
      </c>
      <c r="I2671" t="s">
        <v>5758</v>
      </c>
      <c r="J2671" t="s">
        <v>5768</v>
      </c>
      <c r="K2671">
        <v>25021.65</v>
      </c>
      <c r="L2671" t="s">
        <v>5775</v>
      </c>
      <c r="M2671">
        <v>8</v>
      </c>
    </row>
    <row r="2672" spans="1:13" x14ac:dyDescent="0.25">
      <c r="A2672">
        <v>2671</v>
      </c>
      <c r="B2672" t="s">
        <v>2683</v>
      </c>
      <c r="C2672">
        <v>36</v>
      </c>
      <c r="D2672" t="s">
        <v>2948</v>
      </c>
      <c r="E2672" t="s">
        <v>2955</v>
      </c>
      <c r="F2672" t="s">
        <v>5461</v>
      </c>
      <c r="G2672" s="2">
        <v>45592</v>
      </c>
      <c r="H2672" s="2">
        <v>45603</v>
      </c>
      <c r="I2672" t="s">
        <v>5766</v>
      </c>
      <c r="J2672" t="s">
        <v>5770</v>
      </c>
      <c r="K2672">
        <v>408707.91</v>
      </c>
      <c r="L2672" t="s">
        <v>5774</v>
      </c>
      <c r="M2672">
        <v>11</v>
      </c>
    </row>
    <row r="2673" spans="1:13" x14ac:dyDescent="0.25">
      <c r="A2673">
        <v>2672</v>
      </c>
      <c r="B2673" t="s">
        <v>2684</v>
      </c>
      <c r="C2673">
        <v>81</v>
      </c>
      <c r="D2673" t="s">
        <v>2947</v>
      </c>
      <c r="E2673" t="s">
        <v>2954</v>
      </c>
      <c r="F2673" t="s">
        <v>5462</v>
      </c>
      <c r="G2673" s="2">
        <v>45599</v>
      </c>
      <c r="H2673" s="2">
        <v>45607</v>
      </c>
      <c r="I2673" t="s">
        <v>5761</v>
      </c>
      <c r="J2673" t="s">
        <v>5770</v>
      </c>
      <c r="K2673">
        <v>456973.37</v>
      </c>
      <c r="L2673" t="s">
        <v>5773</v>
      </c>
      <c r="M2673">
        <v>8</v>
      </c>
    </row>
    <row r="2674" spans="1:13" x14ac:dyDescent="0.25">
      <c r="A2674">
        <v>2673</v>
      </c>
      <c r="B2674" t="s">
        <v>2685</v>
      </c>
      <c r="C2674">
        <v>84</v>
      </c>
      <c r="D2674" t="s">
        <v>2948</v>
      </c>
      <c r="E2674" t="s">
        <v>2953</v>
      </c>
      <c r="F2674" t="s">
        <v>5463</v>
      </c>
      <c r="G2674" s="2">
        <v>45877</v>
      </c>
      <c r="H2674" s="2">
        <v>45889</v>
      </c>
      <c r="I2674" t="s">
        <v>5767</v>
      </c>
      <c r="J2674" t="s">
        <v>5772</v>
      </c>
      <c r="K2674">
        <v>25446.29</v>
      </c>
      <c r="L2674" t="s">
        <v>5773</v>
      </c>
      <c r="M2674">
        <v>12</v>
      </c>
    </row>
    <row r="2675" spans="1:13" x14ac:dyDescent="0.25">
      <c r="A2675">
        <v>2674</v>
      </c>
      <c r="B2675" t="s">
        <v>2686</v>
      </c>
      <c r="C2675">
        <v>24</v>
      </c>
      <c r="D2675" t="s">
        <v>2947</v>
      </c>
      <c r="E2675" t="s">
        <v>2949</v>
      </c>
      <c r="F2675" t="s">
        <v>5464</v>
      </c>
      <c r="G2675" s="2">
        <v>45782</v>
      </c>
      <c r="H2675" s="2">
        <v>45786</v>
      </c>
      <c r="I2675" t="s">
        <v>5761</v>
      </c>
      <c r="J2675" t="s">
        <v>5769</v>
      </c>
      <c r="K2675">
        <v>360034.31</v>
      </c>
      <c r="L2675" t="s">
        <v>5774</v>
      </c>
      <c r="M2675">
        <v>4</v>
      </c>
    </row>
    <row r="2676" spans="1:13" x14ac:dyDescent="0.25">
      <c r="A2676">
        <v>2675</v>
      </c>
      <c r="B2676" t="s">
        <v>2687</v>
      </c>
      <c r="C2676">
        <v>59</v>
      </c>
      <c r="D2676" t="s">
        <v>2947</v>
      </c>
      <c r="E2676" t="s">
        <v>2950</v>
      </c>
      <c r="F2676" t="s">
        <v>5465</v>
      </c>
      <c r="G2676" s="2">
        <v>45821</v>
      </c>
      <c r="H2676" s="2">
        <v>45831</v>
      </c>
      <c r="I2676" t="s">
        <v>5760</v>
      </c>
      <c r="J2676" t="s">
        <v>5769</v>
      </c>
      <c r="K2676">
        <v>254516.25</v>
      </c>
      <c r="L2676" t="s">
        <v>5774</v>
      </c>
      <c r="M2676">
        <v>10</v>
      </c>
    </row>
    <row r="2677" spans="1:13" x14ac:dyDescent="0.25">
      <c r="A2677">
        <v>2676</v>
      </c>
      <c r="B2677" t="s">
        <v>2688</v>
      </c>
      <c r="C2677">
        <v>7</v>
      </c>
      <c r="D2677" t="s">
        <v>2948</v>
      </c>
      <c r="E2677" t="s">
        <v>2952</v>
      </c>
      <c r="F2677" t="s">
        <v>5466</v>
      </c>
      <c r="G2677" s="2">
        <v>45843</v>
      </c>
      <c r="H2677" s="2">
        <v>45847</v>
      </c>
      <c r="I2677" t="s">
        <v>5766</v>
      </c>
      <c r="J2677" t="s">
        <v>2949</v>
      </c>
      <c r="K2677">
        <v>81948.06</v>
      </c>
      <c r="L2677" t="s">
        <v>5775</v>
      </c>
      <c r="M2677">
        <v>4</v>
      </c>
    </row>
    <row r="2678" spans="1:13" x14ac:dyDescent="0.25">
      <c r="A2678">
        <v>2677</v>
      </c>
      <c r="B2678" t="s">
        <v>2689</v>
      </c>
      <c r="C2678">
        <v>33</v>
      </c>
      <c r="D2678" t="s">
        <v>2948</v>
      </c>
      <c r="E2678" t="s">
        <v>2952</v>
      </c>
      <c r="F2678" t="s">
        <v>1593</v>
      </c>
      <c r="G2678" s="2">
        <v>45677</v>
      </c>
      <c r="H2678" s="2">
        <v>45690</v>
      </c>
      <c r="I2678" t="s">
        <v>5764</v>
      </c>
      <c r="J2678" t="s">
        <v>5771</v>
      </c>
      <c r="K2678">
        <v>199410.65</v>
      </c>
      <c r="L2678" t="s">
        <v>5773</v>
      </c>
      <c r="M2678">
        <v>13</v>
      </c>
    </row>
    <row r="2679" spans="1:13" x14ac:dyDescent="0.25">
      <c r="A2679">
        <v>2678</v>
      </c>
      <c r="B2679" t="s">
        <v>2690</v>
      </c>
      <c r="C2679">
        <v>19</v>
      </c>
      <c r="D2679" t="s">
        <v>2948</v>
      </c>
      <c r="E2679" t="s">
        <v>2955</v>
      </c>
      <c r="F2679" t="s">
        <v>5467</v>
      </c>
      <c r="G2679" s="2">
        <v>45909</v>
      </c>
      <c r="H2679" s="2">
        <v>45920</v>
      </c>
      <c r="I2679" t="s">
        <v>5758</v>
      </c>
      <c r="J2679" t="s">
        <v>5768</v>
      </c>
      <c r="K2679">
        <v>346330.32</v>
      </c>
      <c r="L2679" t="s">
        <v>5774</v>
      </c>
      <c r="M2679">
        <v>11</v>
      </c>
    </row>
    <row r="2680" spans="1:13" x14ac:dyDescent="0.25">
      <c r="A2680">
        <v>2679</v>
      </c>
      <c r="B2680" t="s">
        <v>2691</v>
      </c>
      <c r="C2680">
        <v>83</v>
      </c>
      <c r="D2680" t="s">
        <v>2948</v>
      </c>
      <c r="E2680" t="s">
        <v>2954</v>
      </c>
      <c r="F2680" t="s">
        <v>4356</v>
      </c>
      <c r="G2680" s="2">
        <v>45687</v>
      </c>
      <c r="H2680" s="2">
        <v>45700</v>
      </c>
      <c r="I2680" t="s">
        <v>5760</v>
      </c>
      <c r="J2680" t="s">
        <v>5768</v>
      </c>
      <c r="K2680">
        <v>23747.3</v>
      </c>
      <c r="L2680" t="s">
        <v>5774</v>
      </c>
      <c r="M2680">
        <v>13</v>
      </c>
    </row>
    <row r="2681" spans="1:13" x14ac:dyDescent="0.25">
      <c r="A2681">
        <v>2680</v>
      </c>
      <c r="B2681" t="s">
        <v>2692</v>
      </c>
      <c r="C2681">
        <v>55</v>
      </c>
      <c r="D2681" t="s">
        <v>2948</v>
      </c>
      <c r="E2681" t="s">
        <v>2953</v>
      </c>
      <c r="F2681" t="s">
        <v>5468</v>
      </c>
      <c r="G2681" s="2">
        <v>45612</v>
      </c>
      <c r="H2681" s="2">
        <v>45620</v>
      </c>
      <c r="I2681" t="s">
        <v>5765</v>
      </c>
      <c r="J2681" t="s">
        <v>5770</v>
      </c>
      <c r="K2681">
        <v>465405.34</v>
      </c>
      <c r="L2681" t="s">
        <v>5774</v>
      </c>
      <c r="M2681">
        <v>8</v>
      </c>
    </row>
    <row r="2682" spans="1:13" x14ac:dyDescent="0.25">
      <c r="A2682">
        <v>2681</v>
      </c>
      <c r="B2682" t="s">
        <v>2693</v>
      </c>
      <c r="C2682">
        <v>79</v>
      </c>
      <c r="D2682" t="s">
        <v>2948</v>
      </c>
      <c r="E2682" t="s">
        <v>2952</v>
      </c>
      <c r="F2682" t="s">
        <v>5469</v>
      </c>
      <c r="G2682" s="2">
        <v>45732</v>
      </c>
      <c r="H2682" s="2">
        <v>45744</v>
      </c>
      <c r="I2682" t="s">
        <v>5762</v>
      </c>
      <c r="J2682" t="s">
        <v>5769</v>
      </c>
      <c r="K2682">
        <v>290114.19</v>
      </c>
      <c r="L2682" t="s">
        <v>5774</v>
      </c>
      <c r="M2682">
        <v>12</v>
      </c>
    </row>
    <row r="2683" spans="1:13" x14ac:dyDescent="0.25">
      <c r="A2683">
        <v>2682</v>
      </c>
      <c r="B2683" t="s">
        <v>2694</v>
      </c>
      <c r="C2683">
        <v>65</v>
      </c>
      <c r="D2683" t="s">
        <v>2948</v>
      </c>
      <c r="E2683" t="s">
        <v>2951</v>
      </c>
      <c r="F2683" t="s">
        <v>1385</v>
      </c>
      <c r="G2683" s="2">
        <v>45814</v>
      </c>
      <c r="H2683" s="2">
        <v>45815</v>
      </c>
      <c r="I2683" t="s">
        <v>5763</v>
      </c>
      <c r="J2683" t="s">
        <v>5769</v>
      </c>
      <c r="K2683">
        <v>244369.33</v>
      </c>
      <c r="L2683" t="s">
        <v>5774</v>
      </c>
      <c r="M2683">
        <v>1</v>
      </c>
    </row>
    <row r="2684" spans="1:13" x14ac:dyDescent="0.25">
      <c r="A2684">
        <v>2683</v>
      </c>
      <c r="B2684" t="s">
        <v>2695</v>
      </c>
      <c r="C2684">
        <v>86</v>
      </c>
      <c r="D2684" t="s">
        <v>2947</v>
      </c>
      <c r="E2684" t="s">
        <v>2951</v>
      </c>
      <c r="F2684" t="s">
        <v>5470</v>
      </c>
      <c r="G2684" s="2">
        <v>45748</v>
      </c>
      <c r="H2684" s="2">
        <v>45749</v>
      </c>
      <c r="I2684" t="s">
        <v>5763</v>
      </c>
      <c r="J2684" t="s">
        <v>5769</v>
      </c>
      <c r="K2684">
        <v>348949.78</v>
      </c>
      <c r="L2684" t="s">
        <v>5774</v>
      </c>
      <c r="M2684">
        <v>1</v>
      </c>
    </row>
    <row r="2685" spans="1:13" x14ac:dyDescent="0.25">
      <c r="A2685">
        <v>2684</v>
      </c>
      <c r="B2685" t="s">
        <v>2696</v>
      </c>
      <c r="C2685">
        <v>77</v>
      </c>
      <c r="D2685" t="s">
        <v>2948</v>
      </c>
      <c r="E2685" t="s">
        <v>2951</v>
      </c>
      <c r="F2685" t="s">
        <v>5471</v>
      </c>
      <c r="G2685" s="2">
        <v>45806</v>
      </c>
      <c r="H2685" s="2">
        <v>45820</v>
      </c>
      <c r="I2685" t="s">
        <v>5767</v>
      </c>
      <c r="J2685" t="s">
        <v>5770</v>
      </c>
      <c r="K2685">
        <v>476065.46</v>
      </c>
      <c r="L2685" t="s">
        <v>5773</v>
      </c>
      <c r="M2685">
        <v>14</v>
      </c>
    </row>
    <row r="2686" spans="1:13" x14ac:dyDescent="0.25">
      <c r="A2686">
        <v>2685</v>
      </c>
      <c r="B2686" t="s">
        <v>2697</v>
      </c>
      <c r="C2686">
        <v>74</v>
      </c>
      <c r="D2686" t="s">
        <v>2948</v>
      </c>
      <c r="E2686" t="s">
        <v>2950</v>
      </c>
      <c r="F2686" t="s">
        <v>5472</v>
      </c>
      <c r="G2686" s="2">
        <v>45622</v>
      </c>
      <c r="H2686" s="2">
        <v>45624</v>
      </c>
      <c r="I2686" t="s">
        <v>5761</v>
      </c>
      <c r="J2686" t="s">
        <v>5768</v>
      </c>
      <c r="K2686">
        <v>33556.94</v>
      </c>
      <c r="L2686" t="s">
        <v>5774</v>
      </c>
      <c r="M2686">
        <v>2</v>
      </c>
    </row>
    <row r="2687" spans="1:13" x14ac:dyDescent="0.25">
      <c r="A2687">
        <v>2686</v>
      </c>
      <c r="B2687" t="s">
        <v>2698</v>
      </c>
      <c r="C2687">
        <v>74</v>
      </c>
      <c r="D2687" t="s">
        <v>2948</v>
      </c>
      <c r="E2687" t="s">
        <v>2955</v>
      </c>
      <c r="F2687" t="s">
        <v>5473</v>
      </c>
      <c r="G2687" s="2">
        <v>45651</v>
      </c>
      <c r="H2687" s="2">
        <v>45661</v>
      </c>
      <c r="I2687" t="s">
        <v>5761</v>
      </c>
      <c r="J2687" t="s">
        <v>5770</v>
      </c>
      <c r="K2687">
        <v>95786.04</v>
      </c>
      <c r="L2687" t="s">
        <v>5773</v>
      </c>
      <c r="M2687">
        <v>10</v>
      </c>
    </row>
    <row r="2688" spans="1:13" x14ac:dyDescent="0.25">
      <c r="A2688">
        <v>2687</v>
      </c>
      <c r="B2688" t="s">
        <v>2699</v>
      </c>
      <c r="C2688">
        <v>26</v>
      </c>
      <c r="D2688" t="s">
        <v>2948</v>
      </c>
      <c r="E2688" t="s">
        <v>2954</v>
      </c>
      <c r="F2688" t="s">
        <v>5474</v>
      </c>
      <c r="G2688" s="2">
        <v>45859</v>
      </c>
      <c r="H2688" s="2">
        <v>45866</v>
      </c>
      <c r="I2688" t="s">
        <v>5763</v>
      </c>
      <c r="J2688" t="s">
        <v>5768</v>
      </c>
      <c r="K2688">
        <v>226439.25</v>
      </c>
      <c r="L2688" t="s">
        <v>5775</v>
      </c>
      <c r="M2688">
        <v>7</v>
      </c>
    </row>
    <row r="2689" spans="1:13" x14ac:dyDescent="0.25">
      <c r="A2689">
        <v>2688</v>
      </c>
      <c r="B2689" t="s">
        <v>2700</v>
      </c>
      <c r="C2689">
        <v>52</v>
      </c>
      <c r="D2689" t="s">
        <v>2948</v>
      </c>
      <c r="E2689" t="s">
        <v>2950</v>
      </c>
      <c r="F2689" t="s">
        <v>5475</v>
      </c>
      <c r="G2689" s="2">
        <v>45669</v>
      </c>
      <c r="H2689" s="2">
        <v>45679</v>
      </c>
      <c r="I2689" t="s">
        <v>5762</v>
      </c>
      <c r="J2689" t="s">
        <v>2949</v>
      </c>
      <c r="K2689">
        <v>235810.46</v>
      </c>
      <c r="L2689" t="s">
        <v>5773</v>
      </c>
      <c r="M2689">
        <v>10</v>
      </c>
    </row>
    <row r="2690" spans="1:13" x14ac:dyDescent="0.25">
      <c r="A2690">
        <v>2689</v>
      </c>
      <c r="B2690" t="s">
        <v>2701</v>
      </c>
      <c r="C2690">
        <v>2</v>
      </c>
      <c r="D2690" t="s">
        <v>2948</v>
      </c>
      <c r="E2690" t="s">
        <v>2953</v>
      </c>
      <c r="F2690" t="s">
        <v>5476</v>
      </c>
      <c r="G2690" s="2">
        <v>45584</v>
      </c>
      <c r="H2690" s="2">
        <v>45595</v>
      </c>
      <c r="I2690" t="s">
        <v>5763</v>
      </c>
      <c r="J2690" t="s">
        <v>5772</v>
      </c>
      <c r="K2690">
        <v>272565.53000000003</v>
      </c>
      <c r="L2690" t="s">
        <v>5775</v>
      </c>
      <c r="M2690">
        <v>11</v>
      </c>
    </row>
    <row r="2691" spans="1:13" x14ac:dyDescent="0.25">
      <c r="A2691">
        <v>2690</v>
      </c>
      <c r="B2691" t="s">
        <v>2702</v>
      </c>
      <c r="C2691">
        <v>51</v>
      </c>
      <c r="D2691" t="s">
        <v>2948</v>
      </c>
      <c r="E2691" t="s">
        <v>2951</v>
      </c>
      <c r="F2691" t="s">
        <v>5477</v>
      </c>
      <c r="G2691" s="2">
        <v>45819</v>
      </c>
      <c r="H2691" s="2">
        <v>45829</v>
      </c>
      <c r="I2691" t="s">
        <v>5762</v>
      </c>
      <c r="J2691" t="s">
        <v>5771</v>
      </c>
      <c r="K2691">
        <v>259035.76</v>
      </c>
      <c r="L2691" t="s">
        <v>5775</v>
      </c>
      <c r="M2691">
        <v>10</v>
      </c>
    </row>
    <row r="2692" spans="1:13" x14ac:dyDescent="0.25">
      <c r="A2692">
        <v>2691</v>
      </c>
      <c r="B2692" t="s">
        <v>2703</v>
      </c>
      <c r="C2692">
        <v>40</v>
      </c>
      <c r="D2692" t="s">
        <v>2947</v>
      </c>
      <c r="E2692" t="s">
        <v>2950</v>
      </c>
      <c r="F2692" t="s">
        <v>5478</v>
      </c>
      <c r="G2692" s="2">
        <v>45753</v>
      </c>
      <c r="H2692" s="2">
        <v>45763</v>
      </c>
      <c r="I2692" t="s">
        <v>5764</v>
      </c>
      <c r="J2692" t="s">
        <v>2949</v>
      </c>
      <c r="K2692">
        <v>433254.89</v>
      </c>
      <c r="L2692" t="s">
        <v>5774</v>
      </c>
      <c r="M2692">
        <v>10</v>
      </c>
    </row>
    <row r="2693" spans="1:13" x14ac:dyDescent="0.25">
      <c r="A2693">
        <v>2692</v>
      </c>
      <c r="B2693" t="s">
        <v>2704</v>
      </c>
      <c r="C2693">
        <v>27</v>
      </c>
      <c r="D2693" t="s">
        <v>2948</v>
      </c>
      <c r="E2693" t="s">
        <v>2951</v>
      </c>
      <c r="F2693" t="s">
        <v>5479</v>
      </c>
      <c r="G2693" s="2">
        <v>45628</v>
      </c>
      <c r="H2693" s="2">
        <v>45635</v>
      </c>
      <c r="I2693" t="s">
        <v>5766</v>
      </c>
      <c r="J2693" t="s">
        <v>5772</v>
      </c>
      <c r="K2693">
        <v>320446.34000000003</v>
      </c>
      <c r="L2693" t="s">
        <v>5773</v>
      </c>
      <c r="M2693">
        <v>7</v>
      </c>
    </row>
    <row r="2694" spans="1:13" x14ac:dyDescent="0.25">
      <c r="A2694">
        <v>2693</v>
      </c>
      <c r="B2694" t="s">
        <v>2705</v>
      </c>
      <c r="C2694">
        <v>86</v>
      </c>
      <c r="D2694" t="s">
        <v>2948</v>
      </c>
      <c r="E2694" t="s">
        <v>2953</v>
      </c>
      <c r="F2694" t="s">
        <v>5480</v>
      </c>
      <c r="G2694" s="2">
        <v>45590</v>
      </c>
      <c r="H2694" s="2">
        <v>45603</v>
      </c>
      <c r="I2694" t="s">
        <v>5762</v>
      </c>
      <c r="J2694" t="s">
        <v>5771</v>
      </c>
      <c r="K2694">
        <v>28339.31</v>
      </c>
      <c r="L2694" t="s">
        <v>5775</v>
      </c>
      <c r="M2694">
        <v>13</v>
      </c>
    </row>
    <row r="2695" spans="1:13" x14ac:dyDescent="0.25">
      <c r="A2695">
        <v>2694</v>
      </c>
      <c r="B2695" t="s">
        <v>2706</v>
      </c>
      <c r="C2695">
        <v>26</v>
      </c>
      <c r="D2695" t="s">
        <v>2947</v>
      </c>
      <c r="E2695" t="s">
        <v>2949</v>
      </c>
      <c r="F2695" t="s">
        <v>5481</v>
      </c>
      <c r="G2695" s="2">
        <v>45615</v>
      </c>
      <c r="H2695" s="2">
        <v>45630</v>
      </c>
      <c r="I2695" t="s">
        <v>5766</v>
      </c>
      <c r="J2695" t="s">
        <v>5769</v>
      </c>
      <c r="K2695">
        <v>161608.68</v>
      </c>
      <c r="L2695" t="s">
        <v>5775</v>
      </c>
      <c r="M2695">
        <v>15</v>
      </c>
    </row>
    <row r="2696" spans="1:13" x14ac:dyDescent="0.25">
      <c r="A2696">
        <v>2695</v>
      </c>
      <c r="B2696" t="s">
        <v>2707</v>
      </c>
      <c r="C2696">
        <v>38</v>
      </c>
      <c r="D2696" t="s">
        <v>2948</v>
      </c>
      <c r="E2696" t="s">
        <v>2954</v>
      </c>
      <c r="F2696" t="s">
        <v>5482</v>
      </c>
      <c r="G2696" s="2">
        <v>45714</v>
      </c>
      <c r="H2696" s="2">
        <v>45716</v>
      </c>
      <c r="I2696" t="s">
        <v>5767</v>
      </c>
      <c r="J2696" t="s">
        <v>5769</v>
      </c>
      <c r="K2696">
        <v>206070.3</v>
      </c>
      <c r="L2696" t="s">
        <v>5775</v>
      </c>
      <c r="M2696">
        <v>2</v>
      </c>
    </row>
    <row r="2697" spans="1:13" x14ac:dyDescent="0.25">
      <c r="A2697">
        <v>2696</v>
      </c>
      <c r="B2697" t="s">
        <v>2708</v>
      </c>
      <c r="C2697">
        <v>3</v>
      </c>
      <c r="D2697" t="s">
        <v>2948</v>
      </c>
      <c r="E2697" t="s">
        <v>2951</v>
      </c>
      <c r="F2697" t="s">
        <v>5483</v>
      </c>
      <c r="G2697" s="2">
        <v>45796</v>
      </c>
      <c r="H2697" s="2">
        <v>45810</v>
      </c>
      <c r="I2697" t="s">
        <v>5760</v>
      </c>
      <c r="J2697" t="s">
        <v>5770</v>
      </c>
      <c r="K2697">
        <v>42823.91</v>
      </c>
      <c r="L2697" t="s">
        <v>5774</v>
      </c>
      <c r="M2697">
        <v>14</v>
      </c>
    </row>
    <row r="2698" spans="1:13" x14ac:dyDescent="0.25">
      <c r="A2698">
        <v>2697</v>
      </c>
      <c r="B2698" t="s">
        <v>2709</v>
      </c>
      <c r="C2698">
        <v>11</v>
      </c>
      <c r="D2698" t="s">
        <v>2947</v>
      </c>
      <c r="E2698" t="s">
        <v>2955</v>
      </c>
      <c r="F2698" t="s">
        <v>5484</v>
      </c>
      <c r="G2698" s="2">
        <v>45690</v>
      </c>
      <c r="H2698" s="2">
        <v>45699</v>
      </c>
      <c r="I2698" t="s">
        <v>5762</v>
      </c>
      <c r="J2698" t="s">
        <v>2949</v>
      </c>
      <c r="K2698">
        <v>249748.58</v>
      </c>
      <c r="L2698" t="s">
        <v>5774</v>
      </c>
      <c r="M2698">
        <v>9</v>
      </c>
    </row>
    <row r="2699" spans="1:13" x14ac:dyDescent="0.25">
      <c r="A2699">
        <v>2698</v>
      </c>
      <c r="B2699" t="s">
        <v>2710</v>
      </c>
      <c r="C2699">
        <v>1</v>
      </c>
      <c r="D2699" t="s">
        <v>2948</v>
      </c>
      <c r="E2699" t="s">
        <v>2955</v>
      </c>
      <c r="F2699" t="s">
        <v>5485</v>
      </c>
      <c r="G2699" s="2">
        <v>45790</v>
      </c>
      <c r="H2699" s="2">
        <v>45792</v>
      </c>
      <c r="I2699" t="s">
        <v>5759</v>
      </c>
      <c r="J2699" t="s">
        <v>5768</v>
      </c>
      <c r="K2699">
        <v>402019.73</v>
      </c>
      <c r="L2699" t="s">
        <v>5773</v>
      </c>
      <c r="M2699">
        <v>2</v>
      </c>
    </row>
    <row r="2700" spans="1:13" x14ac:dyDescent="0.25">
      <c r="A2700">
        <v>2699</v>
      </c>
      <c r="B2700" t="s">
        <v>2711</v>
      </c>
      <c r="C2700">
        <v>18</v>
      </c>
      <c r="D2700" t="s">
        <v>2947</v>
      </c>
      <c r="E2700" t="s">
        <v>2952</v>
      </c>
      <c r="F2700" t="s">
        <v>1015</v>
      </c>
      <c r="G2700" s="2">
        <v>45836</v>
      </c>
      <c r="H2700" s="2">
        <v>45844</v>
      </c>
      <c r="I2700" t="s">
        <v>5759</v>
      </c>
      <c r="J2700" t="s">
        <v>5772</v>
      </c>
      <c r="K2700">
        <v>242266.77</v>
      </c>
      <c r="L2700" t="s">
        <v>5773</v>
      </c>
      <c r="M2700">
        <v>8</v>
      </c>
    </row>
    <row r="2701" spans="1:13" x14ac:dyDescent="0.25">
      <c r="A2701">
        <v>2700</v>
      </c>
      <c r="B2701" t="s">
        <v>2712</v>
      </c>
      <c r="C2701">
        <v>6</v>
      </c>
      <c r="D2701" t="s">
        <v>2947</v>
      </c>
      <c r="E2701" t="s">
        <v>2955</v>
      </c>
      <c r="F2701" t="s">
        <v>5486</v>
      </c>
      <c r="G2701" s="2">
        <v>45867</v>
      </c>
      <c r="H2701" s="2">
        <v>45876</v>
      </c>
      <c r="I2701" t="s">
        <v>5762</v>
      </c>
      <c r="J2701" t="s">
        <v>5769</v>
      </c>
      <c r="K2701">
        <v>334459.68</v>
      </c>
      <c r="L2701" t="s">
        <v>5775</v>
      </c>
      <c r="M2701">
        <v>9</v>
      </c>
    </row>
    <row r="2702" spans="1:13" x14ac:dyDescent="0.25">
      <c r="A2702">
        <v>2701</v>
      </c>
      <c r="B2702" t="s">
        <v>2713</v>
      </c>
      <c r="C2702">
        <v>46</v>
      </c>
      <c r="D2702" t="s">
        <v>2947</v>
      </c>
      <c r="E2702" t="s">
        <v>2951</v>
      </c>
      <c r="F2702" t="s">
        <v>5487</v>
      </c>
      <c r="G2702" s="2">
        <v>45817</v>
      </c>
      <c r="H2702" s="2">
        <v>45830</v>
      </c>
      <c r="I2702" t="s">
        <v>5761</v>
      </c>
      <c r="J2702" t="s">
        <v>5768</v>
      </c>
      <c r="K2702">
        <v>350655.08</v>
      </c>
      <c r="L2702" t="s">
        <v>5775</v>
      </c>
      <c r="M2702">
        <v>13</v>
      </c>
    </row>
    <row r="2703" spans="1:13" x14ac:dyDescent="0.25">
      <c r="A2703">
        <v>2702</v>
      </c>
      <c r="B2703" t="s">
        <v>2714</v>
      </c>
      <c r="C2703">
        <v>38</v>
      </c>
      <c r="D2703" t="s">
        <v>2947</v>
      </c>
      <c r="E2703" t="s">
        <v>2951</v>
      </c>
      <c r="F2703" t="s">
        <v>5488</v>
      </c>
      <c r="G2703" s="2">
        <v>45659</v>
      </c>
      <c r="H2703" s="2">
        <v>45661</v>
      </c>
      <c r="I2703" t="s">
        <v>5764</v>
      </c>
      <c r="J2703" t="s">
        <v>2949</v>
      </c>
      <c r="K2703">
        <v>255544.51</v>
      </c>
      <c r="L2703" t="s">
        <v>5775</v>
      </c>
      <c r="M2703">
        <v>2</v>
      </c>
    </row>
    <row r="2704" spans="1:13" x14ac:dyDescent="0.25">
      <c r="A2704">
        <v>2703</v>
      </c>
      <c r="B2704" t="s">
        <v>2715</v>
      </c>
      <c r="C2704">
        <v>17</v>
      </c>
      <c r="D2704" t="s">
        <v>2947</v>
      </c>
      <c r="E2704" t="s">
        <v>2949</v>
      </c>
      <c r="F2704" t="s">
        <v>2374</v>
      </c>
      <c r="G2704" s="2">
        <v>45568</v>
      </c>
      <c r="H2704" s="2">
        <v>45578</v>
      </c>
      <c r="I2704" t="s">
        <v>5762</v>
      </c>
      <c r="J2704" t="s">
        <v>5771</v>
      </c>
      <c r="K2704">
        <v>40040.589999999997</v>
      </c>
      <c r="L2704" t="s">
        <v>5773</v>
      </c>
      <c r="M2704">
        <v>10</v>
      </c>
    </row>
    <row r="2705" spans="1:13" x14ac:dyDescent="0.25">
      <c r="A2705">
        <v>2704</v>
      </c>
      <c r="B2705" t="s">
        <v>2716</v>
      </c>
      <c r="C2705">
        <v>24</v>
      </c>
      <c r="D2705" t="s">
        <v>2947</v>
      </c>
      <c r="E2705" t="s">
        <v>2954</v>
      </c>
      <c r="F2705" t="s">
        <v>5489</v>
      </c>
      <c r="G2705" s="2">
        <v>45771</v>
      </c>
      <c r="H2705" s="2">
        <v>45786</v>
      </c>
      <c r="I2705" t="s">
        <v>5764</v>
      </c>
      <c r="J2705" t="s">
        <v>5769</v>
      </c>
      <c r="K2705">
        <v>188731.75</v>
      </c>
      <c r="L2705" t="s">
        <v>5773</v>
      </c>
      <c r="M2705">
        <v>15</v>
      </c>
    </row>
    <row r="2706" spans="1:13" x14ac:dyDescent="0.25">
      <c r="A2706">
        <v>2705</v>
      </c>
      <c r="B2706" t="s">
        <v>2717</v>
      </c>
      <c r="C2706">
        <v>30</v>
      </c>
      <c r="D2706" t="s">
        <v>2947</v>
      </c>
      <c r="E2706" t="s">
        <v>2952</v>
      </c>
      <c r="F2706" t="s">
        <v>5490</v>
      </c>
      <c r="G2706" s="2">
        <v>45800</v>
      </c>
      <c r="H2706" s="2">
        <v>45813</v>
      </c>
      <c r="I2706" t="s">
        <v>5758</v>
      </c>
      <c r="J2706" t="s">
        <v>5769</v>
      </c>
      <c r="K2706">
        <v>6834.1</v>
      </c>
      <c r="L2706" t="s">
        <v>5773</v>
      </c>
      <c r="M2706">
        <v>13</v>
      </c>
    </row>
    <row r="2707" spans="1:13" x14ac:dyDescent="0.25">
      <c r="A2707">
        <v>2706</v>
      </c>
      <c r="B2707" t="s">
        <v>2718</v>
      </c>
      <c r="C2707">
        <v>34</v>
      </c>
      <c r="D2707" t="s">
        <v>2947</v>
      </c>
      <c r="E2707" t="s">
        <v>2953</v>
      </c>
      <c r="F2707" t="s">
        <v>5491</v>
      </c>
      <c r="G2707" s="2">
        <v>45819</v>
      </c>
      <c r="H2707" s="2">
        <v>45827</v>
      </c>
      <c r="I2707" t="s">
        <v>5762</v>
      </c>
      <c r="J2707" t="s">
        <v>5769</v>
      </c>
      <c r="K2707">
        <v>59838.7</v>
      </c>
      <c r="L2707" t="s">
        <v>5774</v>
      </c>
      <c r="M2707">
        <v>8</v>
      </c>
    </row>
    <row r="2708" spans="1:13" x14ac:dyDescent="0.25">
      <c r="A2708">
        <v>2707</v>
      </c>
      <c r="B2708" t="s">
        <v>2719</v>
      </c>
      <c r="C2708">
        <v>29</v>
      </c>
      <c r="D2708" t="s">
        <v>2947</v>
      </c>
      <c r="E2708" t="s">
        <v>2950</v>
      </c>
      <c r="F2708" t="s">
        <v>5492</v>
      </c>
      <c r="G2708" s="2">
        <v>45829</v>
      </c>
      <c r="H2708" s="2">
        <v>45835</v>
      </c>
      <c r="I2708" t="s">
        <v>5761</v>
      </c>
      <c r="J2708" t="s">
        <v>5769</v>
      </c>
      <c r="K2708">
        <v>458672.27</v>
      </c>
      <c r="L2708" t="s">
        <v>5773</v>
      </c>
      <c r="M2708">
        <v>6</v>
      </c>
    </row>
    <row r="2709" spans="1:13" x14ac:dyDescent="0.25">
      <c r="A2709">
        <v>2708</v>
      </c>
      <c r="B2709" t="s">
        <v>2720</v>
      </c>
      <c r="C2709">
        <v>86</v>
      </c>
      <c r="D2709" t="s">
        <v>2948</v>
      </c>
      <c r="E2709" t="s">
        <v>2951</v>
      </c>
      <c r="F2709" t="s">
        <v>5493</v>
      </c>
      <c r="G2709" s="2">
        <v>45626</v>
      </c>
      <c r="H2709" s="2">
        <v>45640</v>
      </c>
      <c r="I2709" t="s">
        <v>5767</v>
      </c>
      <c r="J2709" t="s">
        <v>5771</v>
      </c>
      <c r="K2709">
        <v>216755.94</v>
      </c>
      <c r="L2709" t="s">
        <v>5774</v>
      </c>
      <c r="M2709">
        <v>14</v>
      </c>
    </row>
    <row r="2710" spans="1:13" x14ac:dyDescent="0.25">
      <c r="A2710">
        <v>2709</v>
      </c>
      <c r="B2710" t="s">
        <v>2721</v>
      </c>
      <c r="C2710">
        <v>31</v>
      </c>
      <c r="D2710" t="s">
        <v>2948</v>
      </c>
      <c r="E2710" t="s">
        <v>2955</v>
      </c>
      <c r="F2710" t="s">
        <v>5494</v>
      </c>
      <c r="G2710" s="2">
        <v>45604</v>
      </c>
      <c r="H2710" s="2">
        <v>45617</v>
      </c>
      <c r="I2710" t="s">
        <v>5758</v>
      </c>
      <c r="J2710" t="s">
        <v>5768</v>
      </c>
      <c r="K2710">
        <v>481599.18</v>
      </c>
      <c r="L2710" t="s">
        <v>5774</v>
      </c>
      <c r="M2710">
        <v>13</v>
      </c>
    </row>
    <row r="2711" spans="1:13" x14ac:dyDescent="0.25">
      <c r="A2711">
        <v>2710</v>
      </c>
      <c r="B2711" t="s">
        <v>2722</v>
      </c>
      <c r="C2711">
        <v>59</v>
      </c>
      <c r="D2711" t="s">
        <v>2948</v>
      </c>
      <c r="E2711" t="s">
        <v>2951</v>
      </c>
      <c r="F2711" t="s">
        <v>5495</v>
      </c>
      <c r="G2711" s="2">
        <v>45781</v>
      </c>
      <c r="H2711" s="2">
        <v>45795</v>
      </c>
      <c r="I2711" t="s">
        <v>5764</v>
      </c>
      <c r="J2711" t="s">
        <v>5769</v>
      </c>
      <c r="K2711">
        <v>288747.84000000003</v>
      </c>
      <c r="L2711" t="s">
        <v>5775</v>
      </c>
      <c r="M2711">
        <v>14</v>
      </c>
    </row>
    <row r="2712" spans="1:13" x14ac:dyDescent="0.25">
      <c r="A2712">
        <v>2711</v>
      </c>
      <c r="B2712" t="s">
        <v>2723</v>
      </c>
      <c r="C2712">
        <v>37</v>
      </c>
      <c r="D2712" t="s">
        <v>2947</v>
      </c>
      <c r="E2712" t="s">
        <v>2950</v>
      </c>
      <c r="F2712" t="s">
        <v>5496</v>
      </c>
      <c r="G2712" s="2">
        <v>45583</v>
      </c>
      <c r="H2712" s="2">
        <v>45591</v>
      </c>
      <c r="I2712" t="s">
        <v>5766</v>
      </c>
      <c r="J2712" t="s">
        <v>5769</v>
      </c>
      <c r="K2712">
        <v>325184.46999999997</v>
      </c>
      <c r="L2712" t="s">
        <v>5773</v>
      </c>
      <c r="M2712">
        <v>8</v>
      </c>
    </row>
    <row r="2713" spans="1:13" x14ac:dyDescent="0.25">
      <c r="A2713">
        <v>2712</v>
      </c>
      <c r="B2713" t="s">
        <v>2724</v>
      </c>
      <c r="C2713">
        <v>4</v>
      </c>
      <c r="D2713" t="s">
        <v>2948</v>
      </c>
      <c r="E2713" t="s">
        <v>2951</v>
      </c>
      <c r="F2713" t="s">
        <v>800</v>
      </c>
      <c r="G2713" s="2">
        <v>45760</v>
      </c>
      <c r="H2713" s="2">
        <v>45771</v>
      </c>
      <c r="I2713" t="s">
        <v>5767</v>
      </c>
      <c r="J2713" t="s">
        <v>5772</v>
      </c>
      <c r="K2713">
        <v>455812.97</v>
      </c>
      <c r="L2713" t="s">
        <v>5775</v>
      </c>
      <c r="M2713">
        <v>11</v>
      </c>
    </row>
    <row r="2714" spans="1:13" x14ac:dyDescent="0.25">
      <c r="A2714">
        <v>2713</v>
      </c>
      <c r="B2714" t="s">
        <v>2725</v>
      </c>
      <c r="C2714">
        <v>60</v>
      </c>
      <c r="D2714" t="s">
        <v>2948</v>
      </c>
      <c r="E2714" t="s">
        <v>2954</v>
      </c>
      <c r="F2714" t="s">
        <v>5497</v>
      </c>
      <c r="G2714" s="2">
        <v>45729</v>
      </c>
      <c r="H2714" s="2">
        <v>45742</v>
      </c>
      <c r="I2714" t="s">
        <v>5760</v>
      </c>
      <c r="J2714" t="s">
        <v>5770</v>
      </c>
      <c r="K2714">
        <v>183887.94</v>
      </c>
      <c r="L2714" t="s">
        <v>5775</v>
      </c>
      <c r="M2714">
        <v>13</v>
      </c>
    </row>
    <row r="2715" spans="1:13" x14ac:dyDescent="0.25">
      <c r="A2715">
        <v>2714</v>
      </c>
      <c r="B2715" t="s">
        <v>2726</v>
      </c>
      <c r="C2715">
        <v>72</v>
      </c>
      <c r="D2715" t="s">
        <v>2948</v>
      </c>
      <c r="E2715" t="s">
        <v>2955</v>
      </c>
      <c r="F2715" t="s">
        <v>5498</v>
      </c>
      <c r="G2715" s="2">
        <v>45784</v>
      </c>
      <c r="H2715" s="2">
        <v>45796</v>
      </c>
      <c r="I2715" t="s">
        <v>5763</v>
      </c>
      <c r="J2715" t="s">
        <v>5768</v>
      </c>
      <c r="K2715">
        <v>313018.84000000003</v>
      </c>
      <c r="L2715" t="s">
        <v>5773</v>
      </c>
      <c r="M2715">
        <v>12</v>
      </c>
    </row>
    <row r="2716" spans="1:13" x14ac:dyDescent="0.25">
      <c r="A2716">
        <v>2715</v>
      </c>
      <c r="B2716" t="s">
        <v>2727</v>
      </c>
      <c r="C2716">
        <v>20</v>
      </c>
      <c r="D2716" t="s">
        <v>2948</v>
      </c>
      <c r="E2716" t="s">
        <v>2954</v>
      </c>
      <c r="F2716" t="s">
        <v>5499</v>
      </c>
      <c r="G2716" s="2">
        <v>45627</v>
      </c>
      <c r="H2716" s="2">
        <v>45634</v>
      </c>
      <c r="I2716" t="s">
        <v>5767</v>
      </c>
      <c r="J2716" t="s">
        <v>5769</v>
      </c>
      <c r="K2716">
        <v>251814.76</v>
      </c>
      <c r="L2716" t="s">
        <v>5774</v>
      </c>
      <c r="M2716">
        <v>7</v>
      </c>
    </row>
    <row r="2717" spans="1:13" x14ac:dyDescent="0.25">
      <c r="A2717">
        <v>2716</v>
      </c>
      <c r="B2717" t="s">
        <v>2728</v>
      </c>
      <c r="C2717">
        <v>1</v>
      </c>
      <c r="D2717" t="s">
        <v>2948</v>
      </c>
      <c r="E2717" t="s">
        <v>2953</v>
      </c>
      <c r="F2717" t="s">
        <v>5500</v>
      </c>
      <c r="G2717" s="2">
        <v>45730</v>
      </c>
      <c r="H2717" s="2">
        <v>45734</v>
      </c>
      <c r="I2717" t="s">
        <v>5767</v>
      </c>
      <c r="J2717" t="s">
        <v>5770</v>
      </c>
      <c r="K2717">
        <v>463543.87</v>
      </c>
      <c r="L2717" t="s">
        <v>5774</v>
      </c>
      <c r="M2717">
        <v>4</v>
      </c>
    </row>
    <row r="2718" spans="1:13" x14ac:dyDescent="0.25">
      <c r="A2718">
        <v>2717</v>
      </c>
      <c r="B2718" t="s">
        <v>2729</v>
      </c>
      <c r="C2718">
        <v>55</v>
      </c>
      <c r="D2718" t="s">
        <v>2947</v>
      </c>
      <c r="E2718" t="s">
        <v>2952</v>
      </c>
      <c r="F2718" t="s">
        <v>5501</v>
      </c>
      <c r="G2718" s="2">
        <v>45886</v>
      </c>
      <c r="H2718" s="2">
        <v>45897</v>
      </c>
      <c r="I2718" t="s">
        <v>5764</v>
      </c>
      <c r="J2718" t="s">
        <v>5771</v>
      </c>
      <c r="K2718">
        <v>260416.37</v>
      </c>
      <c r="L2718" t="s">
        <v>5775</v>
      </c>
      <c r="M2718">
        <v>11</v>
      </c>
    </row>
    <row r="2719" spans="1:13" x14ac:dyDescent="0.25">
      <c r="A2719">
        <v>2718</v>
      </c>
      <c r="B2719" t="s">
        <v>2730</v>
      </c>
      <c r="C2719">
        <v>43</v>
      </c>
      <c r="D2719" t="s">
        <v>2947</v>
      </c>
      <c r="E2719" t="s">
        <v>2954</v>
      </c>
      <c r="F2719" t="s">
        <v>5502</v>
      </c>
      <c r="G2719" s="2">
        <v>45854</v>
      </c>
      <c r="H2719" s="2">
        <v>45863</v>
      </c>
      <c r="I2719" t="s">
        <v>5760</v>
      </c>
      <c r="J2719" t="s">
        <v>5772</v>
      </c>
      <c r="K2719">
        <v>69860.509999999995</v>
      </c>
      <c r="L2719" t="s">
        <v>5773</v>
      </c>
      <c r="M2719">
        <v>9</v>
      </c>
    </row>
    <row r="2720" spans="1:13" x14ac:dyDescent="0.25">
      <c r="A2720">
        <v>2719</v>
      </c>
      <c r="B2720" t="s">
        <v>2731</v>
      </c>
      <c r="C2720">
        <v>18</v>
      </c>
      <c r="D2720" t="s">
        <v>2947</v>
      </c>
      <c r="E2720" t="s">
        <v>2949</v>
      </c>
      <c r="F2720" t="s">
        <v>5503</v>
      </c>
      <c r="G2720" s="2">
        <v>45764</v>
      </c>
      <c r="H2720" s="2">
        <v>45772</v>
      </c>
      <c r="I2720" t="s">
        <v>5761</v>
      </c>
      <c r="J2720" t="s">
        <v>5768</v>
      </c>
      <c r="K2720">
        <v>471054.79</v>
      </c>
      <c r="L2720" t="s">
        <v>5773</v>
      </c>
      <c r="M2720">
        <v>8</v>
      </c>
    </row>
    <row r="2721" spans="1:13" x14ac:dyDescent="0.25">
      <c r="A2721">
        <v>2720</v>
      </c>
      <c r="B2721" t="s">
        <v>2732</v>
      </c>
      <c r="C2721">
        <v>82</v>
      </c>
      <c r="D2721" t="s">
        <v>2947</v>
      </c>
      <c r="E2721" t="s">
        <v>2952</v>
      </c>
      <c r="F2721" t="s">
        <v>5504</v>
      </c>
      <c r="G2721" s="2">
        <v>45817</v>
      </c>
      <c r="H2721" s="2">
        <v>45821</v>
      </c>
      <c r="I2721" t="s">
        <v>5762</v>
      </c>
      <c r="J2721" t="s">
        <v>5769</v>
      </c>
      <c r="K2721">
        <v>413882.37</v>
      </c>
      <c r="L2721" t="s">
        <v>5774</v>
      </c>
      <c r="M2721">
        <v>4</v>
      </c>
    </row>
    <row r="2722" spans="1:13" x14ac:dyDescent="0.25">
      <c r="A2722">
        <v>2721</v>
      </c>
      <c r="B2722" t="s">
        <v>2733</v>
      </c>
      <c r="C2722">
        <v>5</v>
      </c>
      <c r="D2722" t="s">
        <v>2947</v>
      </c>
      <c r="E2722" t="s">
        <v>2953</v>
      </c>
      <c r="F2722" t="s">
        <v>5505</v>
      </c>
      <c r="G2722" s="2">
        <v>45794</v>
      </c>
      <c r="H2722" s="2">
        <v>45801</v>
      </c>
      <c r="I2722" t="s">
        <v>5763</v>
      </c>
      <c r="J2722" t="s">
        <v>5770</v>
      </c>
      <c r="K2722">
        <v>254881.13</v>
      </c>
      <c r="L2722" t="s">
        <v>5774</v>
      </c>
      <c r="M2722">
        <v>7</v>
      </c>
    </row>
    <row r="2723" spans="1:13" x14ac:dyDescent="0.25">
      <c r="A2723">
        <v>2722</v>
      </c>
      <c r="B2723" t="s">
        <v>2734</v>
      </c>
      <c r="C2723">
        <v>60</v>
      </c>
      <c r="D2723" t="s">
        <v>2947</v>
      </c>
      <c r="E2723" t="s">
        <v>2955</v>
      </c>
      <c r="F2723" t="s">
        <v>5506</v>
      </c>
      <c r="G2723" s="2">
        <v>45626</v>
      </c>
      <c r="H2723" s="2">
        <v>45639</v>
      </c>
      <c r="I2723" t="s">
        <v>5758</v>
      </c>
      <c r="J2723" t="s">
        <v>5769</v>
      </c>
      <c r="K2723">
        <v>253779.83</v>
      </c>
      <c r="L2723" t="s">
        <v>5773</v>
      </c>
      <c r="M2723">
        <v>13</v>
      </c>
    </row>
    <row r="2724" spans="1:13" x14ac:dyDescent="0.25">
      <c r="A2724">
        <v>2723</v>
      </c>
      <c r="B2724" t="s">
        <v>2735</v>
      </c>
      <c r="C2724">
        <v>4</v>
      </c>
      <c r="D2724" t="s">
        <v>2947</v>
      </c>
      <c r="E2724" t="s">
        <v>2952</v>
      </c>
      <c r="F2724" t="s">
        <v>5507</v>
      </c>
      <c r="G2724" s="2">
        <v>45716</v>
      </c>
      <c r="H2724" s="2">
        <v>45726</v>
      </c>
      <c r="I2724" t="s">
        <v>5764</v>
      </c>
      <c r="J2724" t="s">
        <v>5772</v>
      </c>
      <c r="K2724">
        <v>275217.48</v>
      </c>
      <c r="L2724" t="s">
        <v>5773</v>
      </c>
      <c r="M2724">
        <v>10</v>
      </c>
    </row>
    <row r="2725" spans="1:13" x14ac:dyDescent="0.25">
      <c r="A2725">
        <v>2724</v>
      </c>
      <c r="B2725" t="s">
        <v>2736</v>
      </c>
      <c r="C2725">
        <v>83</v>
      </c>
      <c r="D2725" t="s">
        <v>2948</v>
      </c>
      <c r="E2725" t="s">
        <v>2954</v>
      </c>
      <c r="F2725" t="s">
        <v>5508</v>
      </c>
      <c r="G2725" s="2">
        <v>45895</v>
      </c>
      <c r="H2725" s="2">
        <v>45906</v>
      </c>
      <c r="I2725" t="s">
        <v>5762</v>
      </c>
      <c r="J2725" t="s">
        <v>5772</v>
      </c>
      <c r="K2725">
        <v>302503.99</v>
      </c>
      <c r="L2725" t="s">
        <v>5774</v>
      </c>
      <c r="M2725">
        <v>11</v>
      </c>
    </row>
    <row r="2726" spans="1:13" x14ac:dyDescent="0.25">
      <c r="A2726">
        <v>2725</v>
      </c>
      <c r="B2726" t="s">
        <v>2737</v>
      </c>
      <c r="C2726">
        <v>39</v>
      </c>
      <c r="D2726" t="s">
        <v>2947</v>
      </c>
      <c r="E2726" t="s">
        <v>2954</v>
      </c>
      <c r="F2726" t="s">
        <v>5509</v>
      </c>
      <c r="G2726" s="2">
        <v>45557</v>
      </c>
      <c r="H2726" s="2">
        <v>45563</v>
      </c>
      <c r="I2726" t="s">
        <v>5765</v>
      </c>
      <c r="J2726" t="s">
        <v>5770</v>
      </c>
      <c r="K2726">
        <v>163310.48000000001</v>
      </c>
      <c r="L2726" t="s">
        <v>5774</v>
      </c>
      <c r="M2726">
        <v>6</v>
      </c>
    </row>
    <row r="2727" spans="1:13" x14ac:dyDescent="0.25">
      <c r="A2727">
        <v>2726</v>
      </c>
      <c r="B2727" t="s">
        <v>2738</v>
      </c>
      <c r="C2727">
        <v>42</v>
      </c>
      <c r="D2727" t="s">
        <v>2947</v>
      </c>
      <c r="E2727" t="s">
        <v>2953</v>
      </c>
      <c r="F2727" t="s">
        <v>5510</v>
      </c>
      <c r="G2727" s="2">
        <v>45873</v>
      </c>
      <c r="H2727" s="2">
        <v>45877</v>
      </c>
      <c r="I2727" t="s">
        <v>5758</v>
      </c>
      <c r="J2727" t="s">
        <v>5770</v>
      </c>
      <c r="K2727">
        <v>362429.96</v>
      </c>
      <c r="L2727" t="s">
        <v>5773</v>
      </c>
      <c r="M2727">
        <v>4</v>
      </c>
    </row>
    <row r="2728" spans="1:13" x14ac:dyDescent="0.25">
      <c r="A2728">
        <v>2727</v>
      </c>
      <c r="B2728" t="s">
        <v>2739</v>
      </c>
      <c r="C2728">
        <v>6</v>
      </c>
      <c r="D2728" t="s">
        <v>2947</v>
      </c>
      <c r="E2728" t="s">
        <v>2955</v>
      </c>
      <c r="F2728" t="s">
        <v>5511</v>
      </c>
      <c r="G2728" s="2">
        <v>45734</v>
      </c>
      <c r="H2728" s="2">
        <v>45735</v>
      </c>
      <c r="I2728" t="s">
        <v>5764</v>
      </c>
      <c r="J2728" t="s">
        <v>5772</v>
      </c>
      <c r="K2728">
        <v>165183.20000000001</v>
      </c>
      <c r="L2728" t="s">
        <v>5775</v>
      </c>
      <c r="M2728">
        <v>1</v>
      </c>
    </row>
    <row r="2729" spans="1:13" x14ac:dyDescent="0.25">
      <c r="A2729">
        <v>2728</v>
      </c>
      <c r="B2729" t="s">
        <v>2740</v>
      </c>
      <c r="C2729">
        <v>34</v>
      </c>
      <c r="D2729" t="s">
        <v>2947</v>
      </c>
      <c r="E2729" t="s">
        <v>2954</v>
      </c>
      <c r="F2729" t="s">
        <v>1162</v>
      </c>
      <c r="G2729" s="2">
        <v>45801</v>
      </c>
      <c r="H2729" s="2">
        <v>45802</v>
      </c>
      <c r="I2729" t="s">
        <v>5765</v>
      </c>
      <c r="J2729" t="s">
        <v>5769</v>
      </c>
      <c r="K2729">
        <v>232245.17</v>
      </c>
      <c r="L2729" t="s">
        <v>5775</v>
      </c>
      <c r="M2729">
        <v>1</v>
      </c>
    </row>
    <row r="2730" spans="1:13" x14ac:dyDescent="0.25">
      <c r="A2730">
        <v>2729</v>
      </c>
      <c r="B2730" t="s">
        <v>2741</v>
      </c>
      <c r="C2730">
        <v>46</v>
      </c>
      <c r="D2730" t="s">
        <v>2948</v>
      </c>
      <c r="E2730" t="s">
        <v>2951</v>
      </c>
      <c r="F2730" t="s">
        <v>5512</v>
      </c>
      <c r="G2730" s="2">
        <v>45644</v>
      </c>
      <c r="H2730" s="2">
        <v>45656</v>
      </c>
      <c r="I2730" t="s">
        <v>5760</v>
      </c>
      <c r="J2730" t="s">
        <v>5772</v>
      </c>
      <c r="K2730">
        <v>58267.45</v>
      </c>
      <c r="L2730" t="s">
        <v>5774</v>
      </c>
      <c r="M2730">
        <v>12</v>
      </c>
    </row>
    <row r="2731" spans="1:13" x14ac:dyDescent="0.25">
      <c r="A2731">
        <v>2730</v>
      </c>
      <c r="B2731" t="s">
        <v>2742</v>
      </c>
      <c r="C2731">
        <v>67</v>
      </c>
      <c r="D2731" t="s">
        <v>2947</v>
      </c>
      <c r="E2731" t="s">
        <v>2952</v>
      </c>
      <c r="F2731" t="s">
        <v>5513</v>
      </c>
      <c r="G2731" s="2">
        <v>45824</v>
      </c>
      <c r="H2731" s="2">
        <v>45825</v>
      </c>
      <c r="I2731" t="s">
        <v>5764</v>
      </c>
      <c r="J2731" t="s">
        <v>2949</v>
      </c>
      <c r="K2731">
        <v>307749.96999999997</v>
      </c>
      <c r="L2731" t="s">
        <v>5774</v>
      </c>
      <c r="M2731">
        <v>1</v>
      </c>
    </row>
    <row r="2732" spans="1:13" x14ac:dyDescent="0.25">
      <c r="A2732">
        <v>2731</v>
      </c>
      <c r="B2732" t="s">
        <v>2743</v>
      </c>
      <c r="C2732">
        <v>27</v>
      </c>
      <c r="D2732" t="s">
        <v>2947</v>
      </c>
      <c r="E2732" t="s">
        <v>2949</v>
      </c>
      <c r="F2732" t="s">
        <v>5514</v>
      </c>
      <c r="G2732" s="2">
        <v>45810</v>
      </c>
      <c r="H2732" s="2">
        <v>45823</v>
      </c>
      <c r="I2732" t="s">
        <v>5759</v>
      </c>
      <c r="J2732" t="s">
        <v>5770</v>
      </c>
      <c r="K2732">
        <v>224288.6</v>
      </c>
      <c r="L2732" t="s">
        <v>5774</v>
      </c>
      <c r="M2732">
        <v>13</v>
      </c>
    </row>
    <row r="2733" spans="1:13" x14ac:dyDescent="0.25">
      <c r="A2733">
        <v>2732</v>
      </c>
      <c r="B2733" t="s">
        <v>2744</v>
      </c>
      <c r="C2733">
        <v>18</v>
      </c>
      <c r="D2733" t="s">
        <v>2947</v>
      </c>
      <c r="E2733" t="s">
        <v>2953</v>
      </c>
      <c r="F2733" t="s">
        <v>5515</v>
      </c>
      <c r="G2733" s="2">
        <v>45889</v>
      </c>
      <c r="H2733" s="2">
        <v>45892</v>
      </c>
      <c r="I2733" t="s">
        <v>5760</v>
      </c>
      <c r="J2733" t="s">
        <v>5771</v>
      </c>
      <c r="K2733">
        <v>203806.37</v>
      </c>
      <c r="L2733" t="s">
        <v>5773</v>
      </c>
      <c r="M2733">
        <v>3</v>
      </c>
    </row>
    <row r="2734" spans="1:13" x14ac:dyDescent="0.25">
      <c r="A2734">
        <v>2733</v>
      </c>
      <c r="B2734" t="s">
        <v>2745</v>
      </c>
      <c r="C2734">
        <v>34</v>
      </c>
      <c r="D2734" t="s">
        <v>2948</v>
      </c>
      <c r="E2734" t="s">
        <v>2954</v>
      </c>
      <c r="F2734" t="s">
        <v>5516</v>
      </c>
      <c r="G2734" s="2">
        <v>45670</v>
      </c>
      <c r="H2734" s="2">
        <v>45672</v>
      </c>
      <c r="I2734" t="s">
        <v>5765</v>
      </c>
      <c r="J2734" t="s">
        <v>5772</v>
      </c>
      <c r="K2734">
        <v>461376.07</v>
      </c>
      <c r="L2734" t="s">
        <v>5773</v>
      </c>
      <c r="M2734">
        <v>2</v>
      </c>
    </row>
    <row r="2735" spans="1:13" x14ac:dyDescent="0.25">
      <c r="A2735">
        <v>2734</v>
      </c>
      <c r="B2735" t="s">
        <v>2746</v>
      </c>
      <c r="C2735">
        <v>12</v>
      </c>
      <c r="D2735" t="s">
        <v>2947</v>
      </c>
      <c r="E2735" t="s">
        <v>2953</v>
      </c>
      <c r="F2735" t="s">
        <v>5517</v>
      </c>
      <c r="G2735" s="2">
        <v>45759</v>
      </c>
      <c r="H2735" s="2">
        <v>45766</v>
      </c>
      <c r="I2735" t="s">
        <v>5761</v>
      </c>
      <c r="J2735" t="s">
        <v>5771</v>
      </c>
      <c r="K2735">
        <v>195289.07</v>
      </c>
      <c r="L2735" t="s">
        <v>5774</v>
      </c>
      <c r="M2735">
        <v>7</v>
      </c>
    </row>
    <row r="2736" spans="1:13" x14ac:dyDescent="0.25">
      <c r="A2736">
        <v>2735</v>
      </c>
      <c r="B2736" t="s">
        <v>2747</v>
      </c>
      <c r="C2736">
        <v>35</v>
      </c>
      <c r="D2736" t="s">
        <v>2947</v>
      </c>
      <c r="E2736" t="s">
        <v>2951</v>
      </c>
      <c r="F2736" t="s">
        <v>5518</v>
      </c>
      <c r="G2736" s="2">
        <v>45909</v>
      </c>
      <c r="H2736" s="2">
        <v>45910</v>
      </c>
      <c r="I2736" t="s">
        <v>5764</v>
      </c>
      <c r="J2736" t="s">
        <v>5768</v>
      </c>
      <c r="K2736">
        <v>240215.65</v>
      </c>
      <c r="L2736" t="s">
        <v>5775</v>
      </c>
      <c r="M2736">
        <v>1</v>
      </c>
    </row>
    <row r="2737" spans="1:13" x14ac:dyDescent="0.25">
      <c r="A2737">
        <v>2736</v>
      </c>
      <c r="B2737" t="s">
        <v>2748</v>
      </c>
      <c r="C2737">
        <v>24</v>
      </c>
      <c r="D2737" t="s">
        <v>2948</v>
      </c>
      <c r="E2737" t="s">
        <v>2949</v>
      </c>
      <c r="F2737" t="s">
        <v>5519</v>
      </c>
      <c r="G2737" s="2">
        <v>45673</v>
      </c>
      <c r="H2737" s="2">
        <v>45686</v>
      </c>
      <c r="I2737" t="s">
        <v>5765</v>
      </c>
      <c r="J2737" t="s">
        <v>5769</v>
      </c>
      <c r="K2737">
        <v>137387.57999999999</v>
      </c>
      <c r="L2737" t="s">
        <v>5775</v>
      </c>
      <c r="M2737">
        <v>13</v>
      </c>
    </row>
    <row r="2738" spans="1:13" x14ac:dyDescent="0.25">
      <c r="A2738">
        <v>2737</v>
      </c>
      <c r="B2738" t="s">
        <v>2749</v>
      </c>
      <c r="C2738">
        <v>29</v>
      </c>
      <c r="D2738" t="s">
        <v>2947</v>
      </c>
      <c r="E2738" t="s">
        <v>2955</v>
      </c>
      <c r="F2738" t="s">
        <v>1294</v>
      </c>
      <c r="G2738" s="2">
        <v>45793</v>
      </c>
      <c r="H2738" s="2">
        <v>45796</v>
      </c>
      <c r="I2738" t="s">
        <v>5758</v>
      </c>
      <c r="J2738" t="s">
        <v>5769</v>
      </c>
      <c r="K2738">
        <v>267879.73</v>
      </c>
      <c r="L2738" t="s">
        <v>5774</v>
      </c>
      <c r="M2738">
        <v>3</v>
      </c>
    </row>
    <row r="2739" spans="1:13" x14ac:dyDescent="0.25">
      <c r="A2739">
        <v>2738</v>
      </c>
      <c r="B2739" t="s">
        <v>2750</v>
      </c>
      <c r="C2739">
        <v>26</v>
      </c>
      <c r="D2739" t="s">
        <v>2947</v>
      </c>
      <c r="E2739" t="s">
        <v>2953</v>
      </c>
      <c r="F2739" t="s">
        <v>5520</v>
      </c>
      <c r="G2739" s="2">
        <v>45625</v>
      </c>
      <c r="H2739" s="2">
        <v>45637</v>
      </c>
      <c r="I2739" t="s">
        <v>5761</v>
      </c>
      <c r="J2739" t="s">
        <v>2949</v>
      </c>
      <c r="K2739">
        <v>479051.07</v>
      </c>
      <c r="L2739" t="s">
        <v>5773</v>
      </c>
      <c r="M2739">
        <v>12</v>
      </c>
    </row>
    <row r="2740" spans="1:13" x14ac:dyDescent="0.25">
      <c r="A2740">
        <v>2739</v>
      </c>
      <c r="B2740" t="s">
        <v>2751</v>
      </c>
      <c r="C2740">
        <v>68</v>
      </c>
      <c r="D2740" t="s">
        <v>2948</v>
      </c>
      <c r="E2740" t="s">
        <v>2953</v>
      </c>
      <c r="F2740" t="s">
        <v>5521</v>
      </c>
      <c r="G2740" s="2">
        <v>45899</v>
      </c>
      <c r="H2740" s="2">
        <v>45911</v>
      </c>
      <c r="I2740" t="s">
        <v>5764</v>
      </c>
      <c r="J2740" t="s">
        <v>5769</v>
      </c>
      <c r="K2740">
        <v>197411.54</v>
      </c>
      <c r="L2740" t="s">
        <v>5775</v>
      </c>
      <c r="M2740">
        <v>12</v>
      </c>
    </row>
    <row r="2741" spans="1:13" x14ac:dyDescent="0.25">
      <c r="A2741">
        <v>2740</v>
      </c>
      <c r="B2741" t="s">
        <v>2752</v>
      </c>
      <c r="C2741">
        <v>27</v>
      </c>
      <c r="D2741" t="s">
        <v>2948</v>
      </c>
      <c r="E2741" t="s">
        <v>2954</v>
      </c>
      <c r="F2741" t="s">
        <v>5522</v>
      </c>
      <c r="G2741" s="2">
        <v>45729</v>
      </c>
      <c r="H2741" s="2">
        <v>45742</v>
      </c>
      <c r="I2741" t="s">
        <v>5758</v>
      </c>
      <c r="J2741" t="s">
        <v>2949</v>
      </c>
      <c r="K2741">
        <v>257805.96</v>
      </c>
      <c r="L2741" t="s">
        <v>5775</v>
      </c>
      <c r="M2741">
        <v>13</v>
      </c>
    </row>
    <row r="2742" spans="1:13" x14ac:dyDescent="0.25">
      <c r="A2742">
        <v>2741</v>
      </c>
      <c r="B2742" t="s">
        <v>2753</v>
      </c>
      <c r="C2742">
        <v>12</v>
      </c>
      <c r="D2742" t="s">
        <v>2948</v>
      </c>
      <c r="E2742" t="s">
        <v>2951</v>
      </c>
      <c r="F2742" t="s">
        <v>2397</v>
      </c>
      <c r="G2742" s="2">
        <v>45786</v>
      </c>
      <c r="H2742" s="2">
        <v>45801</v>
      </c>
      <c r="I2742" t="s">
        <v>5762</v>
      </c>
      <c r="J2742" t="s">
        <v>5771</v>
      </c>
      <c r="K2742">
        <v>65478.09</v>
      </c>
      <c r="L2742" t="s">
        <v>5775</v>
      </c>
      <c r="M2742">
        <v>15</v>
      </c>
    </row>
    <row r="2743" spans="1:13" x14ac:dyDescent="0.25">
      <c r="A2743">
        <v>2742</v>
      </c>
      <c r="B2743" t="s">
        <v>2754</v>
      </c>
      <c r="C2743">
        <v>29</v>
      </c>
      <c r="D2743" t="s">
        <v>2947</v>
      </c>
      <c r="E2743" t="s">
        <v>2955</v>
      </c>
      <c r="F2743" t="s">
        <v>5523</v>
      </c>
      <c r="G2743" s="2">
        <v>45573</v>
      </c>
      <c r="H2743" s="2">
        <v>45577</v>
      </c>
      <c r="I2743" t="s">
        <v>5761</v>
      </c>
      <c r="J2743" t="s">
        <v>5771</v>
      </c>
      <c r="K2743">
        <v>307658.64</v>
      </c>
      <c r="L2743" t="s">
        <v>5773</v>
      </c>
      <c r="M2743">
        <v>4</v>
      </c>
    </row>
    <row r="2744" spans="1:13" x14ac:dyDescent="0.25">
      <c r="A2744">
        <v>2743</v>
      </c>
      <c r="B2744" t="s">
        <v>2755</v>
      </c>
      <c r="C2744">
        <v>68</v>
      </c>
      <c r="D2744" t="s">
        <v>2948</v>
      </c>
      <c r="E2744" t="s">
        <v>2952</v>
      </c>
      <c r="F2744" t="s">
        <v>5524</v>
      </c>
      <c r="G2744" s="2">
        <v>45722</v>
      </c>
      <c r="H2744" s="2">
        <v>45728</v>
      </c>
      <c r="I2744" t="s">
        <v>5761</v>
      </c>
      <c r="J2744" t="s">
        <v>5769</v>
      </c>
      <c r="K2744">
        <v>475287.12</v>
      </c>
      <c r="L2744" t="s">
        <v>5774</v>
      </c>
      <c r="M2744">
        <v>6</v>
      </c>
    </row>
    <row r="2745" spans="1:13" x14ac:dyDescent="0.25">
      <c r="A2745">
        <v>2744</v>
      </c>
      <c r="B2745" t="s">
        <v>2756</v>
      </c>
      <c r="C2745">
        <v>39</v>
      </c>
      <c r="D2745" t="s">
        <v>2948</v>
      </c>
      <c r="E2745" t="s">
        <v>2952</v>
      </c>
      <c r="F2745" t="s">
        <v>5525</v>
      </c>
      <c r="G2745" s="2">
        <v>45710</v>
      </c>
      <c r="H2745" s="2">
        <v>45719</v>
      </c>
      <c r="I2745" t="s">
        <v>5761</v>
      </c>
      <c r="J2745" t="s">
        <v>5771</v>
      </c>
      <c r="K2745">
        <v>303477.65000000002</v>
      </c>
      <c r="L2745" t="s">
        <v>5774</v>
      </c>
      <c r="M2745">
        <v>9</v>
      </c>
    </row>
    <row r="2746" spans="1:13" x14ac:dyDescent="0.25">
      <c r="A2746">
        <v>2745</v>
      </c>
      <c r="B2746" t="s">
        <v>2757</v>
      </c>
      <c r="C2746">
        <v>19</v>
      </c>
      <c r="D2746" t="s">
        <v>2948</v>
      </c>
      <c r="E2746" t="s">
        <v>2953</v>
      </c>
      <c r="F2746" t="s">
        <v>5526</v>
      </c>
      <c r="G2746" s="2">
        <v>45553</v>
      </c>
      <c r="H2746" s="2">
        <v>45568</v>
      </c>
      <c r="I2746" t="s">
        <v>5759</v>
      </c>
      <c r="J2746" t="s">
        <v>5769</v>
      </c>
      <c r="K2746">
        <v>358993.58</v>
      </c>
      <c r="L2746" t="s">
        <v>5773</v>
      </c>
      <c r="M2746">
        <v>15</v>
      </c>
    </row>
    <row r="2747" spans="1:13" x14ac:dyDescent="0.25">
      <c r="A2747">
        <v>2746</v>
      </c>
      <c r="B2747" t="s">
        <v>2758</v>
      </c>
      <c r="C2747">
        <v>19</v>
      </c>
      <c r="D2747" t="s">
        <v>2947</v>
      </c>
      <c r="E2747" t="s">
        <v>2954</v>
      </c>
      <c r="F2747" t="s">
        <v>5527</v>
      </c>
      <c r="G2747" s="2">
        <v>45826</v>
      </c>
      <c r="H2747" s="2">
        <v>45833</v>
      </c>
      <c r="I2747" t="s">
        <v>5762</v>
      </c>
      <c r="J2747" t="s">
        <v>5768</v>
      </c>
      <c r="K2747">
        <v>52304.19</v>
      </c>
      <c r="L2747" t="s">
        <v>5775</v>
      </c>
      <c r="M2747">
        <v>7</v>
      </c>
    </row>
    <row r="2748" spans="1:13" x14ac:dyDescent="0.25">
      <c r="A2748">
        <v>2747</v>
      </c>
      <c r="B2748" t="s">
        <v>2759</v>
      </c>
      <c r="C2748">
        <v>12</v>
      </c>
      <c r="D2748" t="s">
        <v>2947</v>
      </c>
      <c r="E2748" t="s">
        <v>2954</v>
      </c>
      <c r="F2748" t="s">
        <v>5528</v>
      </c>
      <c r="G2748" s="2">
        <v>45818</v>
      </c>
      <c r="H2748" s="2">
        <v>45819</v>
      </c>
      <c r="I2748" t="s">
        <v>5758</v>
      </c>
      <c r="J2748" t="s">
        <v>5769</v>
      </c>
      <c r="K2748">
        <v>342421.31</v>
      </c>
      <c r="L2748" t="s">
        <v>5773</v>
      </c>
      <c r="M2748">
        <v>1</v>
      </c>
    </row>
    <row r="2749" spans="1:13" x14ac:dyDescent="0.25">
      <c r="A2749">
        <v>2748</v>
      </c>
      <c r="B2749" t="s">
        <v>2760</v>
      </c>
      <c r="C2749">
        <v>15</v>
      </c>
      <c r="D2749" t="s">
        <v>2947</v>
      </c>
      <c r="E2749" t="s">
        <v>2951</v>
      </c>
      <c r="F2749" t="s">
        <v>5529</v>
      </c>
      <c r="G2749" s="2">
        <v>45839</v>
      </c>
      <c r="H2749" s="2">
        <v>45842</v>
      </c>
      <c r="I2749" t="s">
        <v>5759</v>
      </c>
      <c r="J2749" t="s">
        <v>5772</v>
      </c>
      <c r="K2749">
        <v>121484.65</v>
      </c>
      <c r="L2749" t="s">
        <v>5774</v>
      </c>
      <c r="M2749">
        <v>3</v>
      </c>
    </row>
    <row r="2750" spans="1:13" x14ac:dyDescent="0.25">
      <c r="A2750">
        <v>2749</v>
      </c>
      <c r="B2750" t="s">
        <v>2761</v>
      </c>
      <c r="C2750">
        <v>50</v>
      </c>
      <c r="D2750" t="s">
        <v>2947</v>
      </c>
      <c r="E2750" t="s">
        <v>2953</v>
      </c>
      <c r="F2750" t="s">
        <v>2408</v>
      </c>
      <c r="G2750" s="2">
        <v>45891</v>
      </c>
      <c r="H2750" s="2">
        <v>45902</v>
      </c>
      <c r="I2750" t="s">
        <v>5764</v>
      </c>
      <c r="J2750" t="s">
        <v>5770</v>
      </c>
      <c r="K2750">
        <v>483412.35</v>
      </c>
      <c r="L2750" t="s">
        <v>5775</v>
      </c>
      <c r="M2750">
        <v>11</v>
      </c>
    </row>
    <row r="2751" spans="1:13" x14ac:dyDescent="0.25">
      <c r="A2751">
        <v>2750</v>
      </c>
      <c r="B2751" t="s">
        <v>2762</v>
      </c>
      <c r="C2751">
        <v>1</v>
      </c>
      <c r="D2751" t="s">
        <v>2947</v>
      </c>
      <c r="E2751" t="s">
        <v>2951</v>
      </c>
      <c r="F2751" t="s">
        <v>5530</v>
      </c>
      <c r="G2751" s="2">
        <v>45551</v>
      </c>
      <c r="H2751" s="2">
        <v>45564</v>
      </c>
      <c r="I2751" t="s">
        <v>5764</v>
      </c>
      <c r="J2751" t="s">
        <v>5768</v>
      </c>
      <c r="K2751">
        <v>335154.34999999998</v>
      </c>
      <c r="L2751" t="s">
        <v>5775</v>
      </c>
      <c r="M2751">
        <v>13</v>
      </c>
    </row>
    <row r="2752" spans="1:13" x14ac:dyDescent="0.25">
      <c r="A2752">
        <v>2751</v>
      </c>
      <c r="B2752" t="s">
        <v>2763</v>
      </c>
      <c r="C2752">
        <v>13</v>
      </c>
      <c r="D2752" t="s">
        <v>2948</v>
      </c>
      <c r="E2752" t="s">
        <v>2951</v>
      </c>
      <c r="F2752" t="s">
        <v>5531</v>
      </c>
      <c r="G2752" s="2">
        <v>45893</v>
      </c>
      <c r="H2752" s="2">
        <v>45900</v>
      </c>
      <c r="I2752" t="s">
        <v>5760</v>
      </c>
      <c r="J2752" t="s">
        <v>5768</v>
      </c>
      <c r="K2752">
        <v>104345.65</v>
      </c>
      <c r="L2752" t="s">
        <v>5773</v>
      </c>
      <c r="M2752">
        <v>7</v>
      </c>
    </row>
    <row r="2753" spans="1:13" x14ac:dyDescent="0.25">
      <c r="A2753">
        <v>2752</v>
      </c>
      <c r="B2753" t="s">
        <v>2764</v>
      </c>
      <c r="C2753">
        <v>72</v>
      </c>
      <c r="D2753" t="s">
        <v>2948</v>
      </c>
      <c r="E2753" t="s">
        <v>2950</v>
      </c>
      <c r="F2753" t="s">
        <v>5532</v>
      </c>
      <c r="G2753" s="2">
        <v>45649</v>
      </c>
      <c r="H2753" s="2">
        <v>45658</v>
      </c>
      <c r="I2753" t="s">
        <v>5764</v>
      </c>
      <c r="J2753" t="s">
        <v>5771</v>
      </c>
      <c r="K2753">
        <v>66903.05</v>
      </c>
      <c r="L2753" t="s">
        <v>5774</v>
      </c>
      <c r="M2753">
        <v>9</v>
      </c>
    </row>
    <row r="2754" spans="1:13" x14ac:dyDescent="0.25">
      <c r="A2754">
        <v>2753</v>
      </c>
      <c r="B2754" t="s">
        <v>2765</v>
      </c>
      <c r="C2754">
        <v>80</v>
      </c>
      <c r="D2754" t="s">
        <v>2947</v>
      </c>
      <c r="E2754" t="s">
        <v>2955</v>
      </c>
      <c r="F2754" t="s">
        <v>4365</v>
      </c>
      <c r="G2754" s="2">
        <v>45830</v>
      </c>
      <c r="H2754" s="2">
        <v>45841</v>
      </c>
      <c r="I2754" t="s">
        <v>5762</v>
      </c>
      <c r="J2754" t="s">
        <v>5769</v>
      </c>
      <c r="K2754">
        <v>203328.1</v>
      </c>
      <c r="L2754" t="s">
        <v>5775</v>
      </c>
      <c r="M2754">
        <v>11</v>
      </c>
    </row>
    <row r="2755" spans="1:13" x14ac:dyDescent="0.25">
      <c r="A2755">
        <v>2754</v>
      </c>
      <c r="B2755" t="s">
        <v>2766</v>
      </c>
      <c r="C2755">
        <v>88</v>
      </c>
      <c r="D2755" t="s">
        <v>2947</v>
      </c>
      <c r="E2755" t="s">
        <v>2955</v>
      </c>
      <c r="F2755" t="s">
        <v>5533</v>
      </c>
      <c r="G2755" s="2">
        <v>45849</v>
      </c>
      <c r="H2755" s="2">
        <v>45861</v>
      </c>
      <c r="I2755" t="s">
        <v>5762</v>
      </c>
      <c r="J2755" t="s">
        <v>5769</v>
      </c>
      <c r="K2755">
        <v>120450.6</v>
      </c>
      <c r="L2755" t="s">
        <v>5775</v>
      </c>
      <c r="M2755">
        <v>12</v>
      </c>
    </row>
    <row r="2756" spans="1:13" x14ac:dyDescent="0.25">
      <c r="A2756">
        <v>2755</v>
      </c>
      <c r="B2756" t="s">
        <v>2767</v>
      </c>
      <c r="C2756">
        <v>52</v>
      </c>
      <c r="D2756" t="s">
        <v>2947</v>
      </c>
      <c r="E2756" t="s">
        <v>2951</v>
      </c>
      <c r="F2756" t="s">
        <v>5534</v>
      </c>
      <c r="G2756" s="2">
        <v>45608</v>
      </c>
      <c r="H2756" s="2">
        <v>45623</v>
      </c>
      <c r="I2756" t="s">
        <v>5760</v>
      </c>
      <c r="J2756" t="s">
        <v>5768</v>
      </c>
      <c r="K2756">
        <v>221339.72</v>
      </c>
      <c r="L2756" t="s">
        <v>5773</v>
      </c>
      <c r="M2756">
        <v>15</v>
      </c>
    </row>
    <row r="2757" spans="1:13" x14ac:dyDescent="0.25">
      <c r="A2757">
        <v>2756</v>
      </c>
      <c r="B2757" t="s">
        <v>2768</v>
      </c>
      <c r="C2757">
        <v>50</v>
      </c>
      <c r="D2757" t="s">
        <v>2947</v>
      </c>
      <c r="E2757" t="s">
        <v>2953</v>
      </c>
      <c r="F2757" t="s">
        <v>5535</v>
      </c>
      <c r="G2757" s="2">
        <v>45577</v>
      </c>
      <c r="H2757" s="2">
        <v>45590</v>
      </c>
      <c r="I2757" t="s">
        <v>5759</v>
      </c>
      <c r="J2757" t="s">
        <v>5772</v>
      </c>
      <c r="K2757">
        <v>383812.41</v>
      </c>
      <c r="L2757" t="s">
        <v>5774</v>
      </c>
      <c r="M2757">
        <v>13</v>
      </c>
    </row>
    <row r="2758" spans="1:13" x14ac:dyDescent="0.25">
      <c r="A2758">
        <v>2757</v>
      </c>
      <c r="B2758" t="s">
        <v>2769</v>
      </c>
      <c r="C2758">
        <v>36</v>
      </c>
      <c r="D2758" t="s">
        <v>2948</v>
      </c>
      <c r="E2758" t="s">
        <v>2950</v>
      </c>
      <c r="F2758" t="s">
        <v>5536</v>
      </c>
      <c r="G2758" s="2">
        <v>45913</v>
      </c>
      <c r="H2758" s="2">
        <v>45919</v>
      </c>
      <c r="I2758" t="s">
        <v>5766</v>
      </c>
      <c r="J2758" t="s">
        <v>5770</v>
      </c>
      <c r="K2758">
        <v>84497.01</v>
      </c>
      <c r="L2758" t="s">
        <v>5774</v>
      </c>
      <c r="M2758">
        <v>6</v>
      </c>
    </row>
    <row r="2759" spans="1:13" x14ac:dyDescent="0.25">
      <c r="A2759">
        <v>2758</v>
      </c>
      <c r="B2759" t="s">
        <v>2770</v>
      </c>
      <c r="C2759">
        <v>71</v>
      </c>
      <c r="D2759" t="s">
        <v>2947</v>
      </c>
      <c r="E2759" t="s">
        <v>2953</v>
      </c>
      <c r="F2759" t="s">
        <v>5537</v>
      </c>
      <c r="G2759" s="2">
        <v>45726</v>
      </c>
      <c r="H2759" s="2">
        <v>45734</v>
      </c>
      <c r="I2759" t="s">
        <v>5764</v>
      </c>
      <c r="J2759" t="s">
        <v>5772</v>
      </c>
      <c r="K2759">
        <v>149200.5</v>
      </c>
      <c r="L2759" t="s">
        <v>5775</v>
      </c>
      <c r="M2759">
        <v>8</v>
      </c>
    </row>
    <row r="2760" spans="1:13" x14ac:dyDescent="0.25">
      <c r="A2760">
        <v>2759</v>
      </c>
      <c r="B2760" t="s">
        <v>2771</v>
      </c>
      <c r="C2760">
        <v>90</v>
      </c>
      <c r="D2760" t="s">
        <v>2948</v>
      </c>
      <c r="E2760" t="s">
        <v>2951</v>
      </c>
      <c r="F2760" t="s">
        <v>5538</v>
      </c>
      <c r="G2760" s="2">
        <v>45904</v>
      </c>
      <c r="H2760" s="2">
        <v>45913</v>
      </c>
      <c r="I2760" t="s">
        <v>5759</v>
      </c>
      <c r="J2760" t="s">
        <v>5771</v>
      </c>
      <c r="K2760">
        <v>333700.24</v>
      </c>
      <c r="L2760" t="s">
        <v>5774</v>
      </c>
      <c r="M2760">
        <v>9</v>
      </c>
    </row>
    <row r="2761" spans="1:13" x14ac:dyDescent="0.25">
      <c r="A2761">
        <v>2760</v>
      </c>
      <c r="B2761" t="s">
        <v>2772</v>
      </c>
      <c r="C2761">
        <v>59</v>
      </c>
      <c r="D2761" t="s">
        <v>2947</v>
      </c>
      <c r="E2761" t="s">
        <v>2952</v>
      </c>
      <c r="F2761" t="s">
        <v>5539</v>
      </c>
      <c r="G2761" s="2">
        <v>45619</v>
      </c>
      <c r="H2761" s="2">
        <v>45622</v>
      </c>
      <c r="I2761" t="s">
        <v>5760</v>
      </c>
      <c r="J2761" t="s">
        <v>5770</v>
      </c>
      <c r="K2761">
        <v>317845.7</v>
      </c>
      <c r="L2761" t="s">
        <v>5774</v>
      </c>
      <c r="M2761">
        <v>3</v>
      </c>
    </row>
    <row r="2762" spans="1:13" x14ac:dyDescent="0.25">
      <c r="A2762">
        <v>2761</v>
      </c>
      <c r="B2762" t="s">
        <v>2773</v>
      </c>
      <c r="C2762">
        <v>36</v>
      </c>
      <c r="D2762" t="s">
        <v>2947</v>
      </c>
      <c r="E2762" t="s">
        <v>2949</v>
      </c>
      <c r="F2762" t="s">
        <v>5540</v>
      </c>
      <c r="G2762" s="2">
        <v>45909</v>
      </c>
      <c r="H2762" s="2">
        <v>45918</v>
      </c>
      <c r="I2762" t="s">
        <v>5763</v>
      </c>
      <c r="J2762" t="s">
        <v>5770</v>
      </c>
      <c r="K2762">
        <v>417732.68</v>
      </c>
      <c r="L2762" t="s">
        <v>5773</v>
      </c>
      <c r="M2762">
        <v>9</v>
      </c>
    </row>
    <row r="2763" spans="1:13" x14ac:dyDescent="0.25">
      <c r="A2763">
        <v>2762</v>
      </c>
      <c r="B2763" t="s">
        <v>2774</v>
      </c>
      <c r="C2763">
        <v>44</v>
      </c>
      <c r="D2763" t="s">
        <v>2948</v>
      </c>
      <c r="E2763" t="s">
        <v>2952</v>
      </c>
      <c r="F2763" t="s">
        <v>5541</v>
      </c>
      <c r="G2763" s="2">
        <v>45907</v>
      </c>
      <c r="H2763" s="2">
        <v>45912</v>
      </c>
      <c r="I2763" t="s">
        <v>5763</v>
      </c>
      <c r="J2763" t="s">
        <v>5768</v>
      </c>
      <c r="K2763">
        <v>24488.09</v>
      </c>
      <c r="L2763" t="s">
        <v>5775</v>
      </c>
      <c r="M2763">
        <v>5</v>
      </c>
    </row>
    <row r="2764" spans="1:13" x14ac:dyDescent="0.25">
      <c r="A2764">
        <v>2763</v>
      </c>
      <c r="B2764" t="s">
        <v>2775</v>
      </c>
      <c r="C2764">
        <v>39</v>
      </c>
      <c r="D2764" t="s">
        <v>2947</v>
      </c>
      <c r="E2764" t="s">
        <v>2951</v>
      </c>
      <c r="F2764" t="s">
        <v>5542</v>
      </c>
      <c r="G2764" s="2">
        <v>45778</v>
      </c>
      <c r="H2764" s="2">
        <v>45793</v>
      </c>
      <c r="I2764" t="s">
        <v>5759</v>
      </c>
      <c r="J2764" t="s">
        <v>5768</v>
      </c>
      <c r="K2764">
        <v>409684.19</v>
      </c>
      <c r="L2764" t="s">
        <v>5773</v>
      </c>
      <c r="M2764">
        <v>15</v>
      </c>
    </row>
    <row r="2765" spans="1:13" x14ac:dyDescent="0.25">
      <c r="A2765">
        <v>2764</v>
      </c>
      <c r="B2765" t="s">
        <v>2776</v>
      </c>
      <c r="C2765">
        <v>33</v>
      </c>
      <c r="D2765" t="s">
        <v>2947</v>
      </c>
      <c r="E2765" t="s">
        <v>2950</v>
      </c>
      <c r="F2765" t="s">
        <v>5543</v>
      </c>
      <c r="G2765" s="2">
        <v>45878</v>
      </c>
      <c r="H2765" s="2">
        <v>45887</v>
      </c>
      <c r="I2765" t="s">
        <v>5762</v>
      </c>
      <c r="J2765" t="s">
        <v>5770</v>
      </c>
      <c r="K2765">
        <v>459111.99</v>
      </c>
      <c r="L2765" t="s">
        <v>5773</v>
      </c>
      <c r="M2765">
        <v>9</v>
      </c>
    </row>
    <row r="2766" spans="1:13" x14ac:dyDescent="0.25">
      <c r="A2766">
        <v>2765</v>
      </c>
      <c r="B2766" t="s">
        <v>2777</v>
      </c>
      <c r="C2766">
        <v>7</v>
      </c>
      <c r="D2766" t="s">
        <v>2948</v>
      </c>
      <c r="E2766" t="s">
        <v>2949</v>
      </c>
      <c r="F2766" t="s">
        <v>5544</v>
      </c>
      <c r="G2766" s="2">
        <v>45746</v>
      </c>
      <c r="H2766" s="2">
        <v>45757</v>
      </c>
      <c r="I2766" t="s">
        <v>5766</v>
      </c>
      <c r="J2766" t="s">
        <v>5772</v>
      </c>
      <c r="K2766">
        <v>18351.330000000002</v>
      </c>
      <c r="L2766" t="s">
        <v>5775</v>
      </c>
      <c r="M2766">
        <v>11</v>
      </c>
    </row>
    <row r="2767" spans="1:13" x14ac:dyDescent="0.25">
      <c r="A2767">
        <v>2766</v>
      </c>
      <c r="B2767" t="s">
        <v>2778</v>
      </c>
      <c r="C2767">
        <v>89</v>
      </c>
      <c r="D2767" t="s">
        <v>2948</v>
      </c>
      <c r="E2767" t="s">
        <v>2953</v>
      </c>
      <c r="F2767" t="s">
        <v>5545</v>
      </c>
      <c r="G2767" s="2">
        <v>45718</v>
      </c>
      <c r="H2767" s="2">
        <v>45732</v>
      </c>
      <c r="I2767" t="s">
        <v>5761</v>
      </c>
      <c r="J2767" t="s">
        <v>5770</v>
      </c>
      <c r="K2767">
        <v>486955.9</v>
      </c>
      <c r="L2767" t="s">
        <v>5774</v>
      </c>
      <c r="M2767">
        <v>14</v>
      </c>
    </row>
    <row r="2768" spans="1:13" x14ac:dyDescent="0.25">
      <c r="A2768">
        <v>2767</v>
      </c>
      <c r="B2768" t="s">
        <v>2779</v>
      </c>
      <c r="C2768">
        <v>39</v>
      </c>
      <c r="D2768" t="s">
        <v>2948</v>
      </c>
      <c r="E2768" t="s">
        <v>2954</v>
      </c>
      <c r="F2768" t="s">
        <v>5546</v>
      </c>
      <c r="G2768" s="2">
        <v>45807</v>
      </c>
      <c r="H2768" s="2">
        <v>45816</v>
      </c>
      <c r="I2768" t="s">
        <v>5763</v>
      </c>
      <c r="J2768" t="s">
        <v>5771</v>
      </c>
      <c r="K2768">
        <v>6386.1</v>
      </c>
      <c r="L2768" t="s">
        <v>5775</v>
      </c>
      <c r="M2768">
        <v>9</v>
      </c>
    </row>
    <row r="2769" spans="1:13" x14ac:dyDescent="0.25">
      <c r="A2769">
        <v>2768</v>
      </c>
      <c r="B2769" t="s">
        <v>2780</v>
      </c>
      <c r="C2769">
        <v>69</v>
      </c>
      <c r="D2769" t="s">
        <v>2948</v>
      </c>
      <c r="E2769" t="s">
        <v>2952</v>
      </c>
      <c r="F2769" t="s">
        <v>5547</v>
      </c>
      <c r="G2769" s="2">
        <v>45733</v>
      </c>
      <c r="H2769" s="2">
        <v>45742</v>
      </c>
      <c r="I2769" t="s">
        <v>5766</v>
      </c>
      <c r="J2769" t="s">
        <v>5770</v>
      </c>
      <c r="K2769">
        <v>423362.35</v>
      </c>
      <c r="L2769" t="s">
        <v>5773</v>
      </c>
      <c r="M2769">
        <v>9</v>
      </c>
    </row>
    <row r="2770" spans="1:13" x14ac:dyDescent="0.25">
      <c r="A2770">
        <v>2769</v>
      </c>
      <c r="B2770" t="s">
        <v>2781</v>
      </c>
      <c r="C2770">
        <v>49</v>
      </c>
      <c r="D2770" t="s">
        <v>2948</v>
      </c>
      <c r="E2770" t="s">
        <v>2953</v>
      </c>
      <c r="F2770" t="s">
        <v>5548</v>
      </c>
      <c r="G2770" s="2">
        <v>45860</v>
      </c>
      <c r="H2770" s="2">
        <v>45863</v>
      </c>
      <c r="I2770" t="s">
        <v>5765</v>
      </c>
      <c r="J2770" t="s">
        <v>5771</v>
      </c>
      <c r="K2770">
        <v>187614.21</v>
      </c>
      <c r="L2770" t="s">
        <v>5773</v>
      </c>
      <c r="M2770">
        <v>3</v>
      </c>
    </row>
    <row r="2771" spans="1:13" x14ac:dyDescent="0.25">
      <c r="A2771">
        <v>2770</v>
      </c>
      <c r="B2771" t="s">
        <v>2782</v>
      </c>
      <c r="C2771">
        <v>40</v>
      </c>
      <c r="D2771" t="s">
        <v>2948</v>
      </c>
      <c r="E2771" t="s">
        <v>2951</v>
      </c>
      <c r="F2771" t="s">
        <v>5549</v>
      </c>
      <c r="G2771" s="2">
        <v>45765</v>
      </c>
      <c r="H2771" s="2">
        <v>45770</v>
      </c>
      <c r="I2771" t="s">
        <v>5758</v>
      </c>
      <c r="J2771" t="s">
        <v>5772</v>
      </c>
      <c r="K2771">
        <v>488326.03</v>
      </c>
      <c r="L2771" t="s">
        <v>5774</v>
      </c>
      <c r="M2771">
        <v>5</v>
      </c>
    </row>
    <row r="2772" spans="1:13" x14ac:dyDescent="0.25">
      <c r="A2772">
        <v>2771</v>
      </c>
      <c r="B2772" t="s">
        <v>2783</v>
      </c>
      <c r="C2772">
        <v>25</v>
      </c>
      <c r="D2772" t="s">
        <v>2947</v>
      </c>
      <c r="E2772" t="s">
        <v>2955</v>
      </c>
      <c r="F2772" t="s">
        <v>5550</v>
      </c>
      <c r="G2772" s="2">
        <v>45858</v>
      </c>
      <c r="H2772" s="2">
        <v>45870</v>
      </c>
      <c r="I2772" t="s">
        <v>5767</v>
      </c>
      <c r="J2772" t="s">
        <v>5769</v>
      </c>
      <c r="K2772">
        <v>146474.54999999999</v>
      </c>
      <c r="L2772" t="s">
        <v>5775</v>
      </c>
      <c r="M2772">
        <v>12</v>
      </c>
    </row>
    <row r="2773" spans="1:13" x14ac:dyDescent="0.25">
      <c r="A2773">
        <v>2772</v>
      </c>
      <c r="B2773" t="s">
        <v>2784</v>
      </c>
      <c r="C2773">
        <v>50</v>
      </c>
      <c r="D2773" t="s">
        <v>2948</v>
      </c>
      <c r="E2773" t="s">
        <v>2955</v>
      </c>
      <c r="F2773" t="s">
        <v>5551</v>
      </c>
      <c r="G2773" s="2">
        <v>45623</v>
      </c>
      <c r="H2773" s="2">
        <v>45637</v>
      </c>
      <c r="I2773" t="s">
        <v>5760</v>
      </c>
      <c r="J2773" t="s">
        <v>5770</v>
      </c>
      <c r="K2773">
        <v>453573.3</v>
      </c>
      <c r="L2773" t="s">
        <v>5774</v>
      </c>
      <c r="M2773">
        <v>14</v>
      </c>
    </row>
    <row r="2774" spans="1:13" x14ac:dyDescent="0.25">
      <c r="A2774">
        <v>2773</v>
      </c>
      <c r="B2774" t="s">
        <v>2785</v>
      </c>
      <c r="C2774">
        <v>64</v>
      </c>
      <c r="D2774" t="s">
        <v>2947</v>
      </c>
      <c r="E2774" t="s">
        <v>2951</v>
      </c>
      <c r="F2774" t="s">
        <v>3764</v>
      </c>
      <c r="G2774" s="2">
        <v>45679</v>
      </c>
      <c r="H2774" s="2">
        <v>45682</v>
      </c>
      <c r="I2774" t="s">
        <v>5759</v>
      </c>
      <c r="J2774" t="s">
        <v>2949</v>
      </c>
      <c r="K2774">
        <v>65041.440000000002</v>
      </c>
      <c r="L2774" t="s">
        <v>5775</v>
      </c>
      <c r="M2774">
        <v>3</v>
      </c>
    </row>
    <row r="2775" spans="1:13" x14ac:dyDescent="0.25">
      <c r="A2775">
        <v>2774</v>
      </c>
      <c r="B2775" t="s">
        <v>2786</v>
      </c>
      <c r="C2775">
        <v>66</v>
      </c>
      <c r="D2775" t="s">
        <v>2947</v>
      </c>
      <c r="E2775" t="s">
        <v>2954</v>
      </c>
      <c r="F2775" t="s">
        <v>5552</v>
      </c>
      <c r="G2775" s="2">
        <v>45657</v>
      </c>
      <c r="H2775" s="2">
        <v>45658</v>
      </c>
      <c r="I2775" t="s">
        <v>5762</v>
      </c>
      <c r="J2775" t="s">
        <v>2949</v>
      </c>
      <c r="K2775">
        <v>144827.29999999999</v>
      </c>
      <c r="L2775" t="s">
        <v>5775</v>
      </c>
      <c r="M2775">
        <v>1</v>
      </c>
    </row>
    <row r="2776" spans="1:13" x14ac:dyDescent="0.25">
      <c r="A2776">
        <v>2775</v>
      </c>
      <c r="B2776" t="s">
        <v>2787</v>
      </c>
      <c r="C2776">
        <v>69</v>
      </c>
      <c r="D2776" t="s">
        <v>2947</v>
      </c>
      <c r="E2776" t="s">
        <v>2955</v>
      </c>
      <c r="F2776" t="s">
        <v>5553</v>
      </c>
      <c r="G2776" s="2">
        <v>45897</v>
      </c>
      <c r="H2776" s="2">
        <v>45904</v>
      </c>
      <c r="I2776" t="s">
        <v>5766</v>
      </c>
      <c r="J2776" t="s">
        <v>5772</v>
      </c>
      <c r="K2776">
        <v>67299.33</v>
      </c>
      <c r="L2776" t="s">
        <v>5774</v>
      </c>
      <c r="M2776">
        <v>7</v>
      </c>
    </row>
    <row r="2777" spans="1:13" x14ac:dyDescent="0.25">
      <c r="A2777">
        <v>2776</v>
      </c>
      <c r="B2777" t="s">
        <v>2788</v>
      </c>
      <c r="C2777">
        <v>89</v>
      </c>
      <c r="D2777" t="s">
        <v>2947</v>
      </c>
      <c r="E2777" t="s">
        <v>2953</v>
      </c>
      <c r="F2777" t="s">
        <v>5554</v>
      </c>
      <c r="G2777" s="2">
        <v>45660</v>
      </c>
      <c r="H2777" s="2">
        <v>45675</v>
      </c>
      <c r="I2777" t="s">
        <v>5764</v>
      </c>
      <c r="J2777" t="s">
        <v>2949</v>
      </c>
      <c r="K2777">
        <v>175583.76</v>
      </c>
      <c r="L2777" t="s">
        <v>5773</v>
      </c>
      <c r="M2777">
        <v>15</v>
      </c>
    </row>
    <row r="2778" spans="1:13" x14ac:dyDescent="0.25">
      <c r="A2778">
        <v>2777</v>
      </c>
      <c r="B2778" t="s">
        <v>2789</v>
      </c>
      <c r="C2778">
        <v>1</v>
      </c>
      <c r="D2778" t="s">
        <v>2947</v>
      </c>
      <c r="E2778" t="s">
        <v>2949</v>
      </c>
      <c r="F2778" t="s">
        <v>5555</v>
      </c>
      <c r="G2778" s="2">
        <v>45903</v>
      </c>
      <c r="H2778" s="2">
        <v>45904</v>
      </c>
      <c r="I2778" t="s">
        <v>5766</v>
      </c>
      <c r="J2778" t="s">
        <v>5768</v>
      </c>
      <c r="K2778">
        <v>51928.5</v>
      </c>
      <c r="L2778" t="s">
        <v>5774</v>
      </c>
      <c r="M2778">
        <v>1</v>
      </c>
    </row>
    <row r="2779" spans="1:13" x14ac:dyDescent="0.25">
      <c r="A2779">
        <v>2778</v>
      </c>
      <c r="B2779" t="s">
        <v>2790</v>
      </c>
      <c r="C2779">
        <v>80</v>
      </c>
      <c r="D2779" t="s">
        <v>2947</v>
      </c>
      <c r="E2779" t="s">
        <v>2953</v>
      </c>
      <c r="F2779" t="s">
        <v>5556</v>
      </c>
      <c r="G2779" s="2">
        <v>45577</v>
      </c>
      <c r="H2779" s="2">
        <v>45589</v>
      </c>
      <c r="I2779" t="s">
        <v>5765</v>
      </c>
      <c r="J2779" t="s">
        <v>5770</v>
      </c>
      <c r="K2779">
        <v>140324.32999999999</v>
      </c>
      <c r="L2779" t="s">
        <v>5775</v>
      </c>
      <c r="M2779">
        <v>12</v>
      </c>
    </row>
    <row r="2780" spans="1:13" x14ac:dyDescent="0.25">
      <c r="A2780">
        <v>2779</v>
      </c>
      <c r="B2780" t="s">
        <v>2791</v>
      </c>
      <c r="C2780">
        <v>72</v>
      </c>
      <c r="D2780" t="s">
        <v>2947</v>
      </c>
      <c r="E2780" t="s">
        <v>2951</v>
      </c>
      <c r="F2780" t="s">
        <v>5557</v>
      </c>
      <c r="G2780" s="2">
        <v>45763</v>
      </c>
      <c r="H2780" s="2">
        <v>45772</v>
      </c>
      <c r="I2780" t="s">
        <v>5763</v>
      </c>
      <c r="J2780" t="s">
        <v>2949</v>
      </c>
      <c r="K2780">
        <v>319397.11</v>
      </c>
      <c r="L2780" t="s">
        <v>5773</v>
      </c>
      <c r="M2780">
        <v>9</v>
      </c>
    </row>
    <row r="2781" spans="1:13" x14ac:dyDescent="0.25">
      <c r="A2781">
        <v>2780</v>
      </c>
      <c r="B2781" t="s">
        <v>2792</v>
      </c>
      <c r="C2781">
        <v>57</v>
      </c>
      <c r="D2781" t="s">
        <v>2947</v>
      </c>
      <c r="E2781" t="s">
        <v>2954</v>
      </c>
      <c r="F2781" t="s">
        <v>5558</v>
      </c>
      <c r="G2781" s="2">
        <v>45567</v>
      </c>
      <c r="H2781" s="2">
        <v>45581</v>
      </c>
      <c r="I2781" t="s">
        <v>5760</v>
      </c>
      <c r="J2781" t="s">
        <v>5769</v>
      </c>
      <c r="K2781">
        <v>370973.88</v>
      </c>
      <c r="L2781" t="s">
        <v>5774</v>
      </c>
      <c r="M2781">
        <v>14</v>
      </c>
    </row>
    <row r="2782" spans="1:13" x14ac:dyDescent="0.25">
      <c r="A2782">
        <v>2781</v>
      </c>
      <c r="B2782" t="s">
        <v>2793</v>
      </c>
      <c r="C2782">
        <v>20</v>
      </c>
      <c r="D2782" t="s">
        <v>2948</v>
      </c>
      <c r="E2782" t="s">
        <v>2950</v>
      </c>
      <c r="F2782" t="s">
        <v>5559</v>
      </c>
      <c r="G2782" s="2">
        <v>45900</v>
      </c>
      <c r="H2782" s="2">
        <v>45908</v>
      </c>
      <c r="I2782" t="s">
        <v>5758</v>
      </c>
      <c r="J2782" t="s">
        <v>5768</v>
      </c>
      <c r="K2782">
        <v>141795.37</v>
      </c>
      <c r="L2782" t="s">
        <v>5774</v>
      </c>
      <c r="M2782">
        <v>8</v>
      </c>
    </row>
    <row r="2783" spans="1:13" x14ac:dyDescent="0.25">
      <c r="A2783">
        <v>2782</v>
      </c>
      <c r="B2783" t="s">
        <v>2794</v>
      </c>
      <c r="C2783">
        <v>26</v>
      </c>
      <c r="D2783" t="s">
        <v>2948</v>
      </c>
      <c r="E2783" t="s">
        <v>2949</v>
      </c>
      <c r="F2783" t="s">
        <v>5560</v>
      </c>
      <c r="G2783" s="2">
        <v>45743</v>
      </c>
      <c r="H2783" s="2">
        <v>45746</v>
      </c>
      <c r="I2783" t="s">
        <v>5758</v>
      </c>
      <c r="J2783" t="s">
        <v>5768</v>
      </c>
      <c r="K2783">
        <v>401487.88</v>
      </c>
      <c r="L2783" t="s">
        <v>5773</v>
      </c>
      <c r="M2783">
        <v>3</v>
      </c>
    </row>
    <row r="2784" spans="1:13" x14ac:dyDescent="0.25">
      <c r="A2784">
        <v>2783</v>
      </c>
      <c r="B2784" t="s">
        <v>2795</v>
      </c>
      <c r="C2784">
        <v>48</v>
      </c>
      <c r="D2784" t="s">
        <v>2947</v>
      </c>
      <c r="E2784" t="s">
        <v>2949</v>
      </c>
      <c r="F2784" t="s">
        <v>5561</v>
      </c>
      <c r="G2784" s="2">
        <v>45582</v>
      </c>
      <c r="H2784" s="2">
        <v>45594</v>
      </c>
      <c r="I2784" t="s">
        <v>5759</v>
      </c>
      <c r="J2784" t="s">
        <v>5771</v>
      </c>
      <c r="K2784">
        <v>388207.75</v>
      </c>
      <c r="L2784" t="s">
        <v>5773</v>
      </c>
      <c r="M2784">
        <v>12</v>
      </c>
    </row>
    <row r="2785" spans="1:13" x14ac:dyDescent="0.25">
      <c r="A2785">
        <v>2784</v>
      </c>
      <c r="B2785" t="s">
        <v>2796</v>
      </c>
      <c r="C2785">
        <v>80</v>
      </c>
      <c r="D2785" t="s">
        <v>2947</v>
      </c>
      <c r="E2785" t="s">
        <v>2955</v>
      </c>
      <c r="F2785" t="s">
        <v>5562</v>
      </c>
      <c r="G2785" s="2">
        <v>45801</v>
      </c>
      <c r="H2785" s="2">
        <v>45808</v>
      </c>
      <c r="I2785" t="s">
        <v>5758</v>
      </c>
      <c r="J2785" t="s">
        <v>5770</v>
      </c>
      <c r="K2785">
        <v>166964.79</v>
      </c>
      <c r="L2785" t="s">
        <v>5773</v>
      </c>
      <c r="M2785">
        <v>7</v>
      </c>
    </row>
    <row r="2786" spans="1:13" x14ac:dyDescent="0.25">
      <c r="A2786">
        <v>2785</v>
      </c>
      <c r="B2786" t="s">
        <v>2797</v>
      </c>
      <c r="C2786">
        <v>4</v>
      </c>
      <c r="D2786" t="s">
        <v>2948</v>
      </c>
      <c r="E2786" t="s">
        <v>2953</v>
      </c>
      <c r="F2786" t="s">
        <v>5563</v>
      </c>
      <c r="G2786" s="2">
        <v>45613</v>
      </c>
      <c r="H2786" s="2">
        <v>45624</v>
      </c>
      <c r="I2786" t="s">
        <v>5759</v>
      </c>
      <c r="J2786" t="s">
        <v>2949</v>
      </c>
      <c r="K2786">
        <v>181195.62</v>
      </c>
      <c r="L2786" t="s">
        <v>5774</v>
      </c>
      <c r="M2786">
        <v>11</v>
      </c>
    </row>
    <row r="2787" spans="1:13" x14ac:dyDescent="0.25">
      <c r="A2787">
        <v>2786</v>
      </c>
      <c r="B2787" t="s">
        <v>2798</v>
      </c>
      <c r="C2787">
        <v>55</v>
      </c>
      <c r="D2787" t="s">
        <v>2947</v>
      </c>
      <c r="E2787" t="s">
        <v>2952</v>
      </c>
      <c r="F2787" t="s">
        <v>5564</v>
      </c>
      <c r="G2787" s="2">
        <v>45828</v>
      </c>
      <c r="H2787" s="2">
        <v>45836</v>
      </c>
      <c r="I2787" t="s">
        <v>5764</v>
      </c>
      <c r="J2787" t="s">
        <v>5769</v>
      </c>
      <c r="K2787">
        <v>312328.46000000002</v>
      </c>
      <c r="L2787" t="s">
        <v>5774</v>
      </c>
      <c r="M2787">
        <v>8</v>
      </c>
    </row>
    <row r="2788" spans="1:13" x14ac:dyDescent="0.25">
      <c r="A2788">
        <v>2787</v>
      </c>
      <c r="B2788" t="s">
        <v>2799</v>
      </c>
      <c r="C2788">
        <v>79</v>
      </c>
      <c r="D2788" t="s">
        <v>2947</v>
      </c>
      <c r="E2788" t="s">
        <v>2955</v>
      </c>
      <c r="F2788" t="s">
        <v>5565</v>
      </c>
      <c r="G2788" s="2">
        <v>45870</v>
      </c>
      <c r="H2788" s="2">
        <v>45877</v>
      </c>
      <c r="I2788" t="s">
        <v>5760</v>
      </c>
      <c r="J2788" t="s">
        <v>5772</v>
      </c>
      <c r="K2788">
        <v>19819.59</v>
      </c>
      <c r="L2788" t="s">
        <v>5773</v>
      </c>
      <c r="M2788">
        <v>7</v>
      </c>
    </row>
    <row r="2789" spans="1:13" x14ac:dyDescent="0.25">
      <c r="A2789">
        <v>2788</v>
      </c>
      <c r="B2789" t="s">
        <v>2800</v>
      </c>
      <c r="C2789">
        <v>7</v>
      </c>
      <c r="D2789" t="s">
        <v>2947</v>
      </c>
      <c r="E2789" t="s">
        <v>2954</v>
      </c>
      <c r="F2789" t="s">
        <v>5566</v>
      </c>
      <c r="G2789" s="2">
        <v>45741</v>
      </c>
      <c r="H2789" s="2">
        <v>45755</v>
      </c>
      <c r="I2789" t="s">
        <v>5767</v>
      </c>
      <c r="J2789" t="s">
        <v>5768</v>
      </c>
      <c r="K2789">
        <v>417672.96000000002</v>
      </c>
      <c r="L2789" t="s">
        <v>5775</v>
      </c>
      <c r="M2789">
        <v>14</v>
      </c>
    </row>
    <row r="2790" spans="1:13" x14ac:dyDescent="0.25">
      <c r="A2790">
        <v>2789</v>
      </c>
      <c r="B2790" t="s">
        <v>2801</v>
      </c>
      <c r="C2790">
        <v>56</v>
      </c>
      <c r="D2790" t="s">
        <v>2947</v>
      </c>
      <c r="E2790" t="s">
        <v>2950</v>
      </c>
      <c r="F2790" t="s">
        <v>5452</v>
      </c>
      <c r="G2790" s="2">
        <v>45566</v>
      </c>
      <c r="H2790" s="2">
        <v>45577</v>
      </c>
      <c r="I2790" t="s">
        <v>5762</v>
      </c>
      <c r="J2790" t="s">
        <v>5772</v>
      </c>
      <c r="K2790">
        <v>248645.43</v>
      </c>
      <c r="L2790" t="s">
        <v>5775</v>
      </c>
      <c r="M2790">
        <v>11</v>
      </c>
    </row>
    <row r="2791" spans="1:13" x14ac:dyDescent="0.25">
      <c r="A2791">
        <v>2790</v>
      </c>
      <c r="B2791" t="s">
        <v>2802</v>
      </c>
      <c r="C2791">
        <v>68</v>
      </c>
      <c r="D2791" t="s">
        <v>2948</v>
      </c>
      <c r="E2791" t="s">
        <v>2951</v>
      </c>
      <c r="F2791" t="s">
        <v>5567</v>
      </c>
      <c r="G2791" s="2">
        <v>45575</v>
      </c>
      <c r="H2791" s="2">
        <v>45588</v>
      </c>
      <c r="I2791" t="s">
        <v>5764</v>
      </c>
      <c r="J2791" t="s">
        <v>2949</v>
      </c>
      <c r="K2791">
        <v>98783.29</v>
      </c>
      <c r="L2791" t="s">
        <v>5775</v>
      </c>
      <c r="M2791">
        <v>13</v>
      </c>
    </row>
    <row r="2792" spans="1:13" x14ac:dyDescent="0.25">
      <c r="A2792">
        <v>2791</v>
      </c>
      <c r="B2792" t="s">
        <v>2803</v>
      </c>
      <c r="C2792">
        <v>14</v>
      </c>
      <c r="D2792" t="s">
        <v>2948</v>
      </c>
      <c r="E2792" t="s">
        <v>2951</v>
      </c>
      <c r="F2792" t="s">
        <v>5568</v>
      </c>
      <c r="G2792" s="2">
        <v>45822</v>
      </c>
      <c r="H2792" s="2">
        <v>45837</v>
      </c>
      <c r="I2792" t="s">
        <v>5765</v>
      </c>
      <c r="J2792" t="s">
        <v>2949</v>
      </c>
      <c r="K2792">
        <v>414054.05</v>
      </c>
      <c r="L2792" t="s">
        <v>5774</v>
      </c>
      <c r="M2792">
        <v>15</v>
      </c>
    </row>
    <row r="2793" spans="1:13" x14ac:dyDescent="0.25">
      <c r="A2793">
        <v>2792</v>
      </c>
      <c r="B2793" t="s">
        <v>2804</v>
      </c>
      <c r="C2793">
        <v>26</v>
      </c>
      <c r="D2793" t="s">
        <v>2947</v>
      </c>
      <c r="E2793" t="s">
        <v>2951</v>
      </c>
      <c r="F2793" t="s">
        <v>5569</v>
      </c>
      <c r="G2793" s="2">
        <v>45552</v>
      </c>
      <c r="H2793" s="2">
        <v>45563</v>
      </c>
      <c r="I2793" t="s">
        <v>5765</v>
      </c>
      <c r="J2793" t="s">
        <v>5771</v>
      </c>
      <c r="K2793">
        <v>23478.12</v>
      </c>
      <c r="L2793" t="s">
        <v>5775</v>
      </c>
      <c r="M2793">
        <v>11</v>
      </c>
    </row>
    <row r="2794" spans="1:13" x14ac:dyDescent="0.25">
      <c r="A2794">
        <v>2793</v>
      </c>
      <c r="B2794" t="s">
        <v>2805</v>
      </c>
      <c r="C2794">
        <v>15</v>
      </c>
      <c r="D2794" t="s">
        <v>2947</v>
      </c>
      <c r="E2794" t="s">
        <v>2953</v>
      </c>
      <c r="F2794" t="s">
        <v>5570</v>
      </c>
      <c r="G2794" s="2">
        <v>45713</v>
      </c>
      <c r="H2794" s="2">
        <v>45727</v>
      </c>
      <c r="I2794" t="s">
        <v>5758</v>
      </c>
      <c r="J2794" t="s">
        <v>2949</v>
      </c>
      <c r="K2794">
        <v>231436.37</v>
      </c>
      <c r="L2794" t="s">
        <v>5774</v>
      </c>
      <c r="M2794">
        <v>14</v>
      </c>
    </row>
    <row r="2795" spans="1:13" x14ac:dyDescent="0.25">
      <c r="A2795">
        <v>2794</v>
      </c>
      <c r="B2795" t="s">
        <v>2806</v>
      </c>
      <c r="C2795">
        <v>49</v>
      </c>
      <c r="D2795" t="s">
        <v>2948</v>
      </c>
      <c r="E2795" t="s">
        <v>2949</v>
      </c>
      <c r="F2795" t="s">
        <v>5571</v>
      </c>
      <c r="G2795" s="2">
        <v>45608</v>
      </c>
      <c r="H2795" s="2">
        <v>45612</v>
      </c>
      <c r="I2795" t="s">
        <v>5763</v>
      </c>
      <c r="J2795" t="s">
        <v>5770</v>
      </c>
      <c r="K2795">
        <v>112063.25</v>
      </c>
      <c r="L2795" t="s">
        <v>5774</v>
      </c>
      <c r="M2795">
        <v>4</v>
      </c>
    </row>
    <row r="2796" spans="1:13" x14ac:dyDescent="0.25">
      <c r="A2796">
        <v>2795</v>
      </c>
      <c r="B2796" t="s">
        <v>2807</v>
      </c>
      <c r="C2796">
        <v>86</v>
      </c>
      <c r="D2796" t="s">
        <v>2947</v>
      </c>
      <c r="E2796" t="s">
        <v>2953</v>
      </c>
      <c r="F2796" t="s">
        <v>5572</v>
      </c>
      <c r="G2796" s="2">
        <v>45575</v>
      </c>
      <c r="H2796" s="2">
        <v>45588</v>
      </c>
      <c r="I2796" t="s">
        <v>5761</v>
      </c>
      <c r="J2796" t="s">
        <v>5768</v>
      </c>
      <c r="K2796">
        <v>335621.2</v>
      </c>
      <c r="L2796" t="s">
        <v>5774</v>
      </c>
      <c r="M2796">
        <v>13</v>
      </c>
    </row>
    <row r="2797" spans="1:13" x14ac:dyDescent="0.25">
      <c r="A2797">
        <v>2796</v>
      </c>
      <c r="B2797" t="s">
        <v>2808</v>
      </c>
      <c r="C2797">
        <v>77</v>
      </c>
      <c r="D2797" t="s">
        <v>2947</v>
      </c>
      <c r="E2797" t="s">
        <v>2951</v>
      </c>
      <c r="F2797" t="s">
        <v>5573</v>
      </c>
      <c r="G2797" s="2">
        <v>45788</v>
      </c>
      <c r="H2797" s="2">
        <v>45801</v>
      </c>
      <c r="I2797" t="s">
        <v>5767</v>
      </c>
      <c r="J2797" t="s">
        <v>5768</v>
      </c>
      <c r="K2797">
        <v>84592.960000000006</v>
      </c>
      <c r="L2797" t="s">
        <v>5775</v>
      </c>
      <c r="M2797">
        <v>13</v>
      </c>
    </row>
    <row r="2798" spans="1:13" x14ac:dyDescent="0.25">
      <c r="A2798">
        <v>2797</v>
      </c>
      <c r="B2798" t="s">
        <v>2809</v>
      </c>
      <c r="C2798">
        <v>21</v>
      </c>
      <c r="D2798" t="s">
        <v>2948</v>
      </c>
      <c r="E2798" t="s">
        <v>2949</v>
      </c>
      <c r="F2798" t="s">
        <v>5574</v>
      </c>
      <c r="G2798" s="2">
        <v>45774</v>
      </c>
      <c r="H2798" s="2">
        <v>45784</v>
      </c>
      <c r="I2798" t="s">
        <v>5763</v>
      </c>
      <c r="J2798" t="s">
        <v>5769</v>
      </c>
      <c r="K2798">
        <v>190791.98</v>
      </c>
      <c r="L2798" t="s">
        <v>5773</v>
      </c>
      <c r="M2798">
        <v>10</v>
      </c>
    </row>
    <row r="2799" spans="1:13" x14ac:dyDescent="0.25">
      <c r="A2799">
        <v>2798</v>
      </c>
      <c r="B2799" t="s">
        <v>2810</v>
      </c>
      <c r="C2799">
        <v>31</v>
      </c>
      <c r="D2799" t="s">
        <v>2948</v>
      </c>
      <c r="E2799" t="s">
        <v>2955</v>
      </c>
      <c r="F2799" t="s">
        <v>5575</v>
      </c>
      <c r="G2799" s="2">
        <v>45620</v>
      </c>
      <c r="H2799" s="2">
        <v>45625</v>
      </c>
      <c r="I2799" t="s">
        <v>5763</v>
      </c>
      <c r="J2799" t="s">
        <v>5768</v>
      </c>
      <c r="K2799">
        <v>160642.34</v>
      </c>
      <c r="L2799" t="s">
        <v>5773</v>
      </c>
      <c r="M2799">
        <v>5</v>
      </c>
    </row>
    <row r="2800" spans="1:13" x14ac:dyDescent="0.25">
      <c r="A2800">
        <v>2799</v>
      </c>
      <c r="B2800" t="s">
        <v>2811</v>
      </c>
      <c r="C2800">
        <v>47</v>
      </c>
      <c r="D2800" t="s">
        <v>2948</v>
      </c>
      <c r="E2800" t="s">
        <v>2949</v>
      </c>
      <c r="F2800" t="s">
        <v>5576</v>
      </c>
      <c r="G2800" s="2">
        <v>45813</v>
      </c>
      <c r="H2800" s="2">
        <v>45816</v>
      </c>
      <c r="I2800" t="s">
        <v>5760</v>
      </c>
      <c r="J2800" t="s">
        <v>5772</v>
      </c>
      <c r="K2800">
        <v>388282.86</v>
      </c>
      <c r="L2800" t="s">
        <v>5773</v>
      </c>
      <c r="M2800">
        <v>3</v>
      </c>
    </row>
    <row r="2801" spans="1:13" x14ac:dyDescent="0.25">
      <c r="A2801">
        <v>2800</v>
      </c>
      <c r="B2801" t="s">
        <v>2812</v>
      </c>
      <c r="C2801">
        <v>48</v>
      </c>
      <c r="D2801" t="s">
        <v>2948</v>
      </c>
      <c r="E2801" t="s">
        <v>2949</v>
      </c>
      <c r="F2801" t="s">
        <v>5577</v>
      </c>
      <c r="G2801" s="2">
        <v>45636</v>
      </c>
      <c r="H2801" s="2">
        <v>45645</v>
      </c>
      <c r="I2801" t="s">
        <v>5766</v>
      </c>
      <c r="J2801" t="s">
        <v>5769</v>
      </c>
      <c r="K2801">
        <v>125407.03</v>
      </c>
      <c r="L2801" t="s">
        <v>5775</v>
      </c>
      <c r="M2801">
        <v>9</v>
      </c>
    </row>
    <row r="2802" spans="1:13" x14ac:dyDescent="0.25">
      <c r="A2802">
        <v>2801</v>
      </c>
      <c r="B2802" t="s">
        <v>2813</v>
      </c>
      <c r="C2802">
        <v>84</v>
      </c>
      <c r="D2802" t="s">
        <v>2947</v>
      </c>
      <c r="E2802" t="s">
        <v>2950</v>
      </c>
      <c r="F2802" t="s">
        <v>5578</v>
      </c>
      <c r="G2802" s="2">
        <v>45894</v>
      </c>
      <c r="H2802" s="2">
        <v>45897</v>
      </c>
      <c r="I2802" t="s">
        <v>5759</v>
      </c>
      <c r="J2802" t="s">
        <v>5768</v>
      </c>
      <c r="K2802">
        <v>93511.29</v>
      </c>
      <c r="L2802" t="s">
        <v>5775</v>
      </c>
      <c r="M2802">
        <v>3</v>
      </c>
    </row>
    <row r="2803" spans="1:13" x14ac:dyDescent="0.25">
      <c r="A2803">
        <v>2802</v>
      </c>
      <c r="B2803" t="s">
        <v>2814</v>
      </c>
      <c r="C2803">
        <v>4</v>
      </c>
      <c r="D2803" t="s">
        <v>2948</v>
      </c>
      <c r="E2803" t="s">
        <v>2954</v>
      </c>
      <c r="F2803" t="s">
        <v>2168</v>
      </c>
      <c r="G2803" s="2">
        <v>45756</v>
      </c>
      <c r="H2803" s="2">
        <v>45767</v>
      </c>
      <c r="I2803" t="s">
        <v>5766</v>
      </c>
      <c r="J2803" t="s">
        <v>2949</v>
      </c>
      <c r="K2803">
        <v>120767.5</v>
      </c>
      <c r="L2803" t="s">
        <v>5775</v>
      </c>
      <c r="M2803">
        <v>11</v>
      </c>
    </row>
    <row r="2804" spans="1:13" x14ac:dyDescent="0.25">
      <c r="A2804">
        <v>2803</v>
      </c>
      <c r="B2804" t="s">
        <v>2815</v>
      </c>
      <c r="C2804">
        <v>7</v>
      </c>
      <c r="D2804" t="s">
        <v>2948</v>
      </c>
      <c r="E2804" t="s">
        <v>2950</v>
      </c>
      <c r="F2804" t="s">
        <v>5579</v>
      </c>
      <c r="G2804" s="2">
        <v>45805</v>
      </c>
      <c r="H2804" s="2">
        <v>45807</v>
      </c>
      <c r="I2804" t="s">
        <v>5761</v>
      </c>
      <c r="J2804" t="s">
        <v>5768</v>
      </c>
      <c r="K2804">
        <v>317452.26</v>
      </c>
      <c r="L2804" t="s">
        <v>5773</v>
      </c>
      <c r="M2804">
        <v>2</v>
      </c>
    </row>
    <row r="2805" spans="1:13" x14ac:dyDescent="0.25">
      <c r="A2805">
        <v>2804</v>
      </c>
      <c r="B2805" t="s">
        <v>2816</v>
      </c>
      <c r="C2805">
        <v>16</v>
      </c>
      <c r="D2805" t="s">
        <v>2948</v>
      </c>
      <c r="E2805" t="s">
        <v>2951</v>
      </c>
      <c r="F2805" t="s">
        <v>5580</v>
      </c>
      <c r="G2805" s="2">
        <v>45571</v>
      </c>
      <c r="H2805" s="2">
        <v>45579</v>
      </c>
      <c r="I2805" t="s">
        <v>5764</v>
      </c>
      <c r="J2805" t="s">
        <v>5770</v>
      </c>
      <c r="K2805">
        <v>343147.04</v>
      </c>
      <c r="L2805" t="s">
        <v>5775</v>
      </c>
      <c r="M2805">
        <v>8</v>
      </c>
    </row>
    <row r="2806" spans="1:13" x14ac:dyDescent="0.25">
      <c r="A2806">
        <v>2805</v>
      </c>
      <c r="B2806" t="s">
        <v>2817</v>
      </c>
      <c r="C2806">
        <v>86</v>
      </c>
      <c r="D2806" t="s">
        <v>2948</v>
      </c>
      <c r="E2806" t="s">
        <v>2951</v>
      </c>
      <c r="F2806" t="s">
        <v>5581</v>
      </c>
      <c r="G2806" s="2">
        <v>45730</v>
      </c>
      <c r="H2806" s="2">
        <v>45732</v>
      </c>
      <c r="I2806" t="s">
        <v>5760</v>
      </c>
      <c r="J2806" t="s">
        <v>5769</v>
      </c>
      <c r="K2806">
        <v>261477.59</v>
      </c>
      <c r="L2806" t="s">
        <v>5774</v>
      </c>
      <c r="M2806">
        <v>2</v>
      </c>
    </row>
    <row r="2807" spans="1:13" x14ac:dyDescent="0.25">
      <c r="A2807">
        <v>2806</v>
      </c>
      <c r="B2807" t="s">
        <v>2818</v>
      </c>
      <c r="C2807">
        <v>1</v>
      </c>
      <c r="D2807" t="s">
        <v>2947</v>
      </c>
      <c r="E2807" t="s">
        <v>2951</v>
      </c>
      <c r="F2807" t="s">
        <v>5463</v>
      </c>
      <c r="G2807" s="2">
        <v>45566</v>
      </c>
      <c r="H2807" s="2">
        <v>45575</v>
      </c>
      <c r="I2807" t="s">
        <v>5758</v>
      </c>
      <c r="J2807" t="s">
        <v>5768</v>
      </c>
      <c r="K2807">
        <v>179768.78</v>
      </c>
      <c r="L2807" t="s">
        <v>5775</v>
      </c>
      <c r="M2807">
        <v>9</v>
      </c>
    </row>
    <row r="2808" spans="1:13" x14ac:dyDescent="0.25">
      <c r="A2808">
        <v>2807</v>
      </c>
      <c r="B2808" t="s">
        <v>2819</v>
      </c>
      <c r="C2808">
        <v>30</v>
      </c>
      <c r="D2808" t="s">
        <v>2948</v>
      </c>
      <c r="E2808" t="s">
        <v>2951</v>
      </c>
      <c r="F2808" t="s">
        <v>5582</v>
      </c>
      <c r="G2808" s="2">
        <v>45688</v>
      </c>
      <c r="H2808" s="2">
        <v>45691</v>
      </c>
      <c r="I2808" t="s">
        <v>5767</v>
      </c>
      <c r="J2808" t="s">
        <v>2949</v>
      </c>
      <c r="K2808">
        <v>321748.63</v>
      </c>
      <c r="L2808" t="s">
        <v>5773</v>
      </c>
      <c r="M2808">
        <v>3</v>
      </c>
    </row>
    <row r="2809" spans="1:13" x14ac:dyDescent="0.25">
      <c r="A2809">
        <v>2808</v>
      </c>
      <c r="B2809" t="s">
        <v>2820</v>
      </c>
      <c r="C2809">
        <v>17</v>
      </c>
      <c r="D2809" t="s">
        <v>2947</v>
      </c>
      <c r="E2809" t="s">
        <v>2953</v>
      </c>
      <c r="F2809" t="s">
        <v>5583</v>
      </c>
      <c r="G2809" s="2">
        <v>45660</v>
      </c>
      <c r="H2809" s="2">
        <v>45671</v>
      </c>
      <c r="I2809" t="s">
        <v>5764</v>
      </c>
      <c r="J2809" t="s">
        <v>5769</v>
      </c>
      <c r="K2809">
        <v>338224.76</v>
      </c>
      <c r="L2809" t="s">
        <v>5775</v>
      </c>
      <c r="M2809">
        <v>11</v>
      </c>
    </row>
    <row r="2810" spans="1:13" x14ac:dyDescent="0.25">
      <c r="A2810">
        <v>2809</v>
      </c>
      <c r="B2810" t="s">
        <v>2821</v>
      </c>
      <c r="C2810">
        <v>44</v>
      </c>
      <c r="D2810" t="s">
        <v>2947</v>
      </c>
      <c r="E2810" t="s">
        <v>2952</v>
      </c>
      <c r="F2810" t="s">
        <v>5584</v>
      </c>
      <c r="G2810" s="2">
        <v>45786</v>
      </c>
      <c r="H2810" s="2">
        <v>45799</v>
      </c>
      <c r="I2810" t="s">
        <v>5767</v>
      </c>
      <c r="J2810" t="s">
        <v>5769</v>
      </c>
      <c r="K2810">
        <v>201240.53</v>
      </c>
      <c r="L2810" t="s">
        <v>5774</v>
      </c>
      <c r="M2810">
        <v>13</v>
      </c>
    </row>
    <row r="2811" spans="1:13" x14ac:dyDescent="0.25">
      <c r="A2811">
        <v>2810</v>
      </c>
      <c r="B2811" t="s">
        <v>2822</v>
      </c>
      <c r="C2811">
        <v>34</v>
      </c>
      <c r="D2811" t="s">
        <v>2947</v>
      </c>
      <c r="E2811" t="s">
        <v>2952</v>
      </c>
      <c r="F2811" t="s">
        <v>5585</v>
      </c>
      <c r="G2811" s="2">
        <v>45690</v>
      </c>
      <c r="H2811" s="2">
        <v>45697</v>
      </c>
      <c r="I2811" t="s">
        <v>5765</v>
      </c>
      <c r="J2811" t="s">
        <v>5771</v>
      </c>
      <c r="K2811">
        <v>141877.57999999999</v>
      </c>
      <c r="L2811" t="s">
        <v>5774</v>
      </c>
      <c r="M2811">
        <v>7</v>
      </c>
    </row>
    <row r="2812" spans="1:13" x14ac:dyDescent="0.25">
      <c r="A2812">
        <v>2811</v>
      </c>
      <c r="B2812" t="s">
        <v>2823</v>
      </c>
      <c r="C2812">
        <v>69</v>
      </c>
      <c r="D2812" t="s">
        <v>2948</v>
      </c>
      <c r="E2812" t="s">
        <v>2951</v>
      </c>
      <c r="F2812" t="s">
        <v>5586</v>
      </c>
      <c r="G2812" s="2">
        <v>45872</v>
      </c>
      <c r="H2812" s="2">
        <v>45885</v>
      </c>
      <c r="I2812" t="s">
        <v>5767</v>
      </c>
      <c r="J2812" t="s">
        <v>2949</v>
      </c>
      <c r="K2812">
        <v>465615.51</v>
      </c>
      <c r="L2812" t="s">
        <v>5775</v>
      </c>
      <c r="M2812">
        <v>13</v>
      </c>
    </row>
    <row r="2813" spans="1:13" x14ac:dyDescent="0.25">
      <c r="A2813">
        <v>2812</v>
      </c>
      <c r="B2813" t="s">
        <v>2824</v>
      </c>
      <c r="C2813">
        <v>10</v>
      </c>
      <c r="D2813" t="s">
        <v>2947</v>
      </c>
      <c r="E2813" t="s">
        <v>2950</v>
      </c>
      <c r="F2813" t="s">
        <v>5587</v>
      </c>
      <c r="G2813" s="2">
        <v>45882</v>
      </c>
      <c r="H2813" s="2">
        <v>45894</v>
      </c>
      <c r="I2813" t="s">
        <v>5758</v>
      </c>
      <c r="J2813" t="s">
        <v>5769</v>
      </c>
      <c r="K2813">
        <v>498577.87</v>
      </c>
      <c r="L2813" t="s">
        <v>5773</v>
      </c>
      <c r="M2813">
        <v>12</v>
      </c>
    </row>
    <row r="2814" spans="1:13" x14ac:dyDescent="0.25">
      <c r="A2814">
        <v>2813</v>
      </c>
      <c r="B2814" t="s">
        <v>2825</v>
      </c>
      <c r="C2814">
        <v>36</v>
      </c>
      <c r="D2814" t="s">
        <v>2948</v>
      </c>
      <c r="E2814" t="s">
        <v>2949</v>
      </c>
      <c r="F2814" t="s">
        <v>5588</v>
      </c>
      <c r="G2814" s="2">
        <v>45894</v>
      </c>
      <c r="H2814" s="2">
        <v>45900</v>
      </c>
      <c r="I2814" t="s">
        <v>5760</v>
      </c>
      <c r="J2814" t="s">
        <v>5771</v>
      </c>
      <c r="K2814">
        <v>357028.23</v>
      </c>
      <c r="L2814" t="s">
        <v>5774</v>
      </c>
      <c r="M2814">
        <v>6</v>
      </c>
    </row>
    <row r="2815" spans="1:13" x14ac:dyDescent="0.25">
      <c r="A2815">
        <v>2814</v>
      </c>
      <c r="B2815" t="s">
        <v>2826</v>
      </c>
      <c r="C2815">
        <v>44</v>
      </c>
      <c r="D2815" t="s">
        <v>2948</v>
      </c>
      <c r="E2815" t="s">
        <v>2950</v>
      </c>
      <c r="F2815" t="s">
        <v>5589</v>
      </c>
      <c r="G2815" s="2">
        <v>45565</v>
      </c>
      <c r="H2815" s="2">
        <v>45575</v>
      </c>
      <c r="I2815" t="s">
        <v>5759</v>
      </c>
      <c r="J2815" t="s">
        <v>5770</v>
      </c>
      <c r="K2815">
        <v>408567.61</v>
      </c>
      <c r="L2815" t="s">
        <v>5774</v>
      </c>
      <c r="M2815">
        <v>10</v>
      </c>
    </row>
    <row r="2816" spans="1:13" x14ac:dyDescent="0.25">
      <c r="A2816">
        <v>2815</v>
      </c>
      <c r="B2816" t="s">
        <v>2827</v>
      </c>
      <c r="C2816">
        <v>53</v>
      </c>
      <c r="D2816" t="s">
        <v>2947</v>
      </c>
      <c r="E2816" t="s">
        <v>2950</v>
      </c>
      <c r="F2816" t="s">
        <v>5590</v>
      </c>
      <c r="G2816" s="2">
        <v>45669</v>
      </c>
      <c r="H2816" s="2">
        <v>45683</v>
      </c>
      <c r="I2816" t="s">
        <v>5762</v>
      </c>
      <c r="J2816" t="s">
        <v>5768</v>
      </c>
      <c r="K2816">
        <v>359747.01</v>
      </c>
      <c r="L2816" t="s">
        <v>5775</v>
      </c>
      <c r="M2816">
        <v>14</v>
      </c>
    </row>
    <row r="2817" spans="1:13" x14ac:dyDescent="0.25">
      <c r="A2817">
        <v>2816</v>
      </c>
      <c r="B2817" t="s">
        <v>2828</v>
      </c>
      <c r="C2817">
        <v>57</v>
      </c>
      <c r="D2817" t="s">
        <v>2948</v>
      </c>
      <c r="E2817" t="s">
        <v>2954</v>
      </c>
      <c r="F2817" t="s">
        <v>5591</v>
      </c>
      <c r="G2817" s="2">
        <v>45560</v>
      </c>
      <c r="H2817" s="2">
        <v>45572</v>
      </c>
      <c r="I2817" t="s">
        <v>5767</v>
      </c>
      <c r="J2817" t="s">
        <v>5772</v>
      </c>
      <c r="K2817">
        <v>242920.87</v>
      </c>
      <c r="L2817" t="s">
        <v>5774</v>
      </c>
      <c r="M2817">
        <v>12</v>
      </c>
    </row>
    <row r="2818" spans="1:13" x14ac:dyDescent="0.25">
      <c r="A2818">
        <v>2817</v>
      </c>
      <c r="B2818" t="s">
        <v>2829</v>
      </c>
      <c r="C2818">
        <v>67</v>
      </c>
      <c r="D2818" t="s">
        <v>2947</v>
      </c>
      <c r="E2818" t="s">
        <v>2952</v>
      </c>
      <c r="F2818" t="s">
        <v>5592</v>
      </c>
      <c r="G2818" s="2">
        <v>45599</v>
      </c>
      <c r="H2818" s="2">
        <v>45601</v>
      </c>
      <c r="I2818" t="s">
        <v>5762</v>
      </c>
      <c r="J2818" t="s">
        <v>5768</v>
      </c>
      <c r="K2818">
        <v>311648.43</v>
      </c>
      <c r="L2818" t="s">
        <v>5774</v>
      </c>
      <c r="M2818">
        <v>2</v>
      </c>
    </row>
    <row r="2819" spans="1:13" x14ac:dyDescent="0.25">
      <c r="A2819">
        <v>2818</v>
      </c>
      <c r="B2819" t="s">
        <v>2830</v>
      </c>
      <c r="C2819">
        <v>65</v>
      </c>
      <c r="D2819" t="s">
        <v>2948</v>
      </c>
      <c r="E2819" t="s">
        <v>2949</v>
      </c>
      <c r="F2819" t="s">
        <v>5593</v>
      </c>
      <c r="G2819" s="2">
        <v>45600</v>
      </c>
      <c r="H2819" s="2">
        <v>45606</v>
      </c>
      <c r="I2819" t="s">
        <v>5762</v>
      </c>
      <c r="J2819" t="s">
        <v>5772</v>
      </c>
      <c r="K2819">
        <v>36579.120000000003</v>
      </c>
      <c r="L2819" t="s">
        <v>5775</v>
      </c>
      <c r="M2819">
        <v>6</v>
      </c>
    </row>
    <row r="2820" spans="1:13" x14ac:dyDescent="0.25">
      <c r="A2820">
        <v>2819</v>
      </c>
      <c r="B2820" t="s">
        <v>2831</v>
      </c>
      <c r="C2820">
        <v>60</v>
      </c>
      <c r="D2820" t="s">
        <v>2947</v>
      </c>
      <c r="E2820" t="s">
        <v>2949</v>
      </c>
      <c r="F2820" t="s">
        <v>5594</v>
      </c>
      <c r="G2820" s="2">
        <v>45914</v>
      </c>
      <c r="H2820" s="2">
        <v>45916</v>
      </c>
      <c r="I2820" t="s">
        <v>5761</v>
      </c>
      <c r="J2820" t="s">
        <v>5772</v>
      </c>
      <c r="K2820">
        <v>61427.43</v>
      </c>
      <c r="L2820" t="s">
        <v>5774</v>
      </c>
      <c r="M2820">
        <v>2</v>
      </c>
    </row>
    <row r="2821" spans="1:13" x14ac:dyDescent="0.25">
      <c r="A2821">
        <v>2820</v>
      </c>
      <c r="B2821" t="s">
        <v>2832</v>
      </c>
      <c r="C2821">
        <v>15</v>
      </c>
      <c r="D2821" t="s">
        <v>2947</v>
      </c>
      <c r="E2821" t="s">
        <v>2949</v>
      </c>
      <c r="F2821" t="s">
        <v>5595</v>
      </c>
      <c r="G2821" s="2">
        <v>45865</v>
      </c>
      <c r="H2821" s="2">
        <v>45874</v>
      </c>
      <c r="I2821" t="s">
        <v>5766</v>
      </c>
      <c r="J2821" t="s">
        <v>2949</v>
      </c>
      <c r="K2821">
        <v>321190.53999999998</v>
      </c>
      <c r="L2821" t="s">
        <v>5775</v>
      </c>
      <c r="M2821">
        <v>9</v>
      </c>
    </row>
    <row r="2822" spans="1:13" x14ac:dyDescent="0.25">
      <c r="A2822">
        <v>2821</v>
      </c>
      <c r="B2822" t="s">
        <v>2833</v>
      </c>
      <c r="C2822">
        <v>68</v>
      </c>
      <c r="D2822" t="s">
        <v>2948</v>
      </c>
      <c r="E2822" t="s">
        <v>2949</v>
      </c>
      <c r="F2822" t="s">
        <v>5596</v>
      </c>
      <c r="G2822" s="2">
        <v>45734</v>
      </c>
      <c r="H2822" s="2">
        <v>45743</v>
      </c>
      <c r="I2822" t="s">
        <v>5763</v>
      </c>
      <c r="J2822" t="s">
        <v>2949</v>
      </c>
      <c r="K2822">
        <v>496851.51</v>
      </c>
      <c r="L2822" t="s">
        <v>5773</v>
      </c>
      <c r="M2822">
        <v>9</v>
      </c>
    </row>
    <row r="2823" spans="1:13" x14ac:dyDescent="0.25">
      <c r="A2823">
        <v>2822</v>
      </c>
      <c r="B2823" t="s">
        <v>2834</v>
      </c>
      <c r="C2823">
        <v>45</v>
      </c>
      <c r="D2823" t="s">
        <v>2948</v>
      </c>
      <c r="E2823" t="s">
        <v>2955</v>
      </c>
      <c r="F2823" t="s">
        <v>5597</v>
      </c>
      <c r="G2823" s="2">
        <v>45553</v>
      </c>
      <c r="H2823" s="2">
        <v>45568</v>
      </c>
      <c r="I2823" t="s">
        <v>5760</v>
      </c>
      <c r="J2823" t="s">
        <v>5768</v>
      </c>
      <c r="K2823">
        <v>254627.22</v>
      </c>
      <c r="L2823" t="s">
        <v>5774</v>
      </c>
      <c r="M2823">
        <v>15</v>
      </c>
    </row>
    <row r="2824" spans="1:13" x14ac:dyDescent="0.25">
      <c r="A2824">
        <v>2823</v>
      </c>
      <c r="B2824" t="s">
        <v>2835</v>
      </c>
      <c r="C2824">
        <v>19</v>
      </c>
      <c r="D2824" t="s">
        <v>2948</v>
      </c>
      <c r="E2824" t="s">
        <v>2955</v>
      </c>
      <c r="F2824" t="s">
        <v>5598</v>
      </c>
      <c r="G2824" s="2">
        <v>45691</v>
      </c>
      <c r="H2824" s="2">
        <v>45698</v>
      </c>
      <c r="I2824" t="s">
        <v>5758</v>
      </c>
      <c r="J2824" t="s">
        <v>5771</v>
      </c>
      <c r="K2824">
        <v>64870.7</v>
      </c>
      <c r="L2824" t="s">
        <v>5775</v>
      </c>
      <c r="M2824">
        <v>7</v>
      </c>
    </row>
    <row r="2825" spans="1:13" x14ac:dyDescent="0.25">
      <c r="A2825">
        <v>2824</v>
      </c>
      <c r="B2825" t="s">
        <v>2836</v>
      </c>
      <c r="C2825">
        <v>54</v>
      </c>
      <c r="D2825" t="s">
        <v>2947</v>
      </c>
      <c r="E2825" t="s">
        <v>2955</v>
      </c>
      <c r="F2825" t="s">
        <v>5599</v>
      </c>
      <c r="G2825" s="2">
        <v>45764</v>
      </c>
      <c r="H2825" s="2">
        <v>45777</v>
      </c>
      <c r="I2825" t="s">
        <v>5767</v>
      </c>
      <c r="J2825" t="s">
        <v>5768</v>
      </c>
      <c r="K2825">
        <v>361624.55</v>
      </c>
      <c r="L2825" t="s">
        <v>5773</v>
      </c>
      <c r="M2825">
        <v>13</v>
      </c>
    </row>
    <row r="2826" spans="1:13" x14ac:dyDescent="0.25">
      <c r="A2826">
        <v>2825</v>
      </c>
      <c r="B2826" t="s">
        <v>2837</v>
      </c>
      <c r="C2826">
        <v>69</v>
      </c>
      <c r="D2826" t="s">
        <v>2947</v>
      </c>
      <c r="E2826" t="s">
        <v>2955</v>
      </c>
      <c r="F2826" t="s">
        <v>5600</v>
      </c>
      <c r="G2826" s="2">
        <v>45723</v>
      </c>
      <c r="H2826" s="2">
        <v>45724</v>
      </c>
      <c r="I2826" t="s">
        <v>5767</v>
      </c>
      <c r="J2826" t="s">
        <v>2949</v>
      </c>
      <c r="K2826">
        <v>55216.5</v>
      </c>
      <c r="L2826" t="s">
        <v>5773</v>
      </c>
      <c r="M2826">
        <v>1</v>
      </c>
    </row>
    <row r="2827" spans="1:13" x14ac:dyDescent="0.25">
      <c r="A2827">
        <v>2826</v>
      </c>
      <c r="B2827" t="s">
        <v>2838</v>
      </c>
      <c r="C2827">
        <v>13</v>
      </c>
      <c r="D2827" t="s">
        <v>2947</v>
      </c>
      <c r="E2827" t="s">
        <v>2954</v>
      </c>
      <c r="F2827" t="s">
        <v>5601</v>
      </c>
      <c r="G2827" s="2">
        <v>45842</v>
      </c>
      <c r="H2827" s="2">
        <v>45851</v>
      </c>
      <c r="I2827" t="s">
        <v>5760</v>
      </c>
      <c r="J2827" t="s">
        <v>5772</v>
      </c>
      <c r="K2827">
        <v>127670.89</v>
      </c>
      <c r="L2827" t="s">
        <v>5774</v>
      </c>
      <c r="M2827">
        <v>9</v>
      </c>
    </row>
    <row r="2828" spans="1:13" x14ac:dyDescent="0.25">
      <c r="A2828">
        <v>2827</v>
      </c>
      <c r="B2828" t="s">
        <v>2839</v>
      </c>
      <c r="C2828">
        <v>51</v>
      </c>
      <c r="D2828" t="s">
        <v>2948</v>
      </c>
      <c r="E2828" t="s">
        <v>2951</v>
      </c>
      <c r="F2828" t="s">
        <v>5602</v>
      </c>
      <c r="G2828" s="2">
        <v>45825</v>
      </c>
      <c r="H2828" s="2">
        <v>45837</v>
      </c>
      <c r="I2828" t="s">
        <v>5759</v>
      </c>
      <c r="J2828" t="s">
        <v>5768</v>
      </c>
      <c r="K2828">
        <v>143819</v>
      </c>
      <c r="L2828" t="s">
        <v>5773</v>
      </c>
      <c r="M2828">
        <v>12</v>
      </c>
    </row>
    <row r="2829" spans="1:13" x14ac:dyDescent="0.25">
      <c r="A2829">
        <v>2828</v>
      </c>
      <c r="B2829" t="s">
        <v>2840</v>
      </c>
      <c r="C2829">
        <v>74</v>
      </c>
      <c r="D2829" t="s">
        <v>2948</v>
      </c>
      <c r="E2829" t="s">
        <v>2952</v>
      </c>
      <c r="F2829" t="s">
        <v>5603</v>
      </c>
      <c r="G2829" s="2">
        <v>45728</v>
      </c>
      <c r="H2829" s="2">
        <v>45729</v>
      </c>
      <c r="I2829" t="s">
        <v>5763</v>
      </c>
      <c r="J2829" t="s">
        <v>5772</v>
      </c>
      <c r="K2829">
        <v>164251.81</v>
      </c>
      <c r="L2829" t="s">
        <v>5774</v>
      </c>
      <c r="M2829">
        <v>1</v>
      </c>
    </row>
    <row r="2830" spans="1:13" x14ac:dyDescent="0.25">
      <c r="A2830">
        <v>2829</v>
      </c>
      <c r="B2830" t="s">
        <v>2841</v>
      </c>
      <c r="C2830">
        <v>83</v>
      </c>
      <c r="D2830" t="s">
        <v>2948</v>
      </c>
      <c r="E2830" t="s">
        <v>2952</v>
      </c>
      <c r="F2830" t="s">
        <v>5604</v>
      </c>
      <c r="G2830" s="2">
        <v>45832</v>
      </c>
      <c r="H2830" s="2">
        <v>45847</v>
      </c>
      <c r="I2830" t="s">
        <v>5762</v>
      </c>
      <c r="J2830" t="s">
        <v>5772</v>
      </c>
      <c r="K2830">
        <v>131155.17000000001</v>
      </c>
      <c r="L2830" t="s">
        <v>5775</v>
      </c>
      <c r="M2830">
        <v>15</v>
      </c>
    </row>
    <row r="2831" spans="1:13" x14ac:dyDescent="0.25">
      <c r="A2831">
        <v>2830</v>
      </c>
      <c r="B2831" t="s">
        <v>2842</v>
      </c>
      <c r="C2831">
        <v>11</v>
      </c>
      <c r="D2831" t="s">
        <v>2948</v>
      </c>
      <c r="E2831" t="s">
        <v>2954</v>
      </c>
      <c r="F2831" t="s">
        <v>5605</v>
      </c>
      <c r="G2831" s="2">
        <v>45693</v>
      </c>
      <c r="H2831" s="2">
        <v>45697</v>
      </c>
      <c r="I2831" t="s">
        <v>5767</v>
      </c>
      <c r="J2831" t="s">
        <v>2949</v>
      </c>
      <c r="K2831">
        <v>125382.14</v>
      </c>
      <c r="L2831" t="s">
        <v>5774</v>
      </c>
      <c r="M2831">
        <v>4</v>
      </c>
    </row>
    <row r="2832" spans="1:13" x14ac:dyDescent="0.25">
      <c r="A2832">
        <v>2831</v>
      </c>
      <c r="B2832" t="s">
        <v>2843</v>
      </c>
      <c r="C2832">
        <v>40</v>
      </c>
      <c r="D2832" t="s">
        <v>2947</v>
      </c>
      <c r="E2832" t="s">
        <v>2953</v>
      </c>
      <c r="F2832" t="s">
        <v>5606</v>
      </c>
      <c r="G2832" s="2">
        <v>45619</v>
      </c>
      <c r="H2832" s="2">
        <v>45626</v>
      </c>
      <c r="I2832" t="s">
        <v>5761</v>
      </c>
      <c r="J2832" t="s">
        <v>5768</v>
      </c>
      <c r="K2832">
        <v>234977.32</v>
      </c>
      <c r="L2832" t="s">
        <v>5775</v>
      </c>
      <c r="M2832">
        <v>7</v>
      </c>
    </row>
    <row r="2833" spans="1:13" x14ac:dyDescent="0.25">
      <c r="A2833">
        <v>2832</v>
      </c>
      <c r="B2833" t="s">
        <v>2844</v>
      </c>
      <c r="C2833">
        <v>47</v>
      </c>
      <c r="D2833" t="s">
        <v>2947</v>
      </c>
      <c r="E2833" t="s">
        <v>2952</v>
      </c>
      <c r="F2833" t="s">
        <v>5607</v>
      </c>
      <c r="G2833" s="2">
        <v>45640</v>
      </c>
      <c r="H2833" s="2">
        <v>45649</v>
      </c>
      <c r="I2833" t="s">
        <v>5767</v>
      </c>
      <c r="J2833" t="s">
        <v>5769</v>
      </c>
      <c r="K2833">
        <v>392172.48</v>
      </c>
      <c r="L2833" t="s">
        <v>5775</v>
      </c>
      <c r="M2833">
        <v>9</v>
      </c>
    </row>
    <row r="2834" spans="1:13" x14ac:dyDescent="0.25">
      <c r="A2834">
        <v>2833</v>
      </c>
      <c r="B2834" t="s">
        <v>2845</v>
      </c>
      <c r="C2834">
        <v>85</v>
      </c>
      <c r="D2834" t="s">
        <v>2947</v>
      </c>
      <c r="E2834" t="s">
        <v>2951</v>
      </c>
      <c r="F2834" t="s">
        <v>5608</v>
      </c>
      <c r="G2834" s="2">
        <v>45606</v>
      </c>
      <c r="H2834" s="2">
        <v>45618</v>
      </c>
      <c r="I2834" t="s">
        <v>5763</v>
      </c>
      <c r="J2834" t="s">
        <v>2949</v>
      </c>
      <c r="K2834">
        <v>463201.87</v>
      </c>
      <c r="L2834" t="s">
        <v>5775</v>
      </c>
      <c r="M2834">
        <v>12</v>
      </c>
    </row>
    <row r="2835" spans="1:13" x14ac:dyDescent="0.25">
      <c r="A2835">
        <v>2834</v>
      </c>
      <c r="B2835" t="s">
        <v>2846</v>
      </c>
      <c r="C2835">
        <v>27</v>
      </c>
      <c r="D2835" t="s">
        <v>2948</v>
      </c>
      <c r="E2835" t="s">
        <v>2950</v>
      </c>
      <c r="F2835" t="s">
        <v>5609</v>
      </c>
      <c r="G2835" s="2">
        <v>45555</v>
      </c>
      <c r="H2835" s="2">
        <v>45558</v>
      </c>
      <c r="I2835" t="s">
        <v>5765</v>
      </c>
      <c r="J2835" t="s">
        <v>5769</v>
      </c>
      <c r="K2835">
        <v>474668.55</v>
      </c>
      <c r="L2835" t="s">
        <v>5773</v>
      </c>
      <c r="M2835">
        <v>3</v>
      </c>
    </row>
    <row r="2836" spans="1:13" x14ac:dyDescent="0.25">
      <c r="A2836">
        <v>2835</v>
      </c>
      <c r="B2836" t="s">
        <v>2847</v>
      </c>
      <c r="C2836">
        <v>26</v>
      </c>
      <c r="D2836" t="s">
        <v>2947</v>
      </c>
      <c r="E2836" t="s">
        <v>2951</v>
      </c>
      <c r="F2836" t="s">
        <v>5610</v>
      </c>
      <c r="G2836" s="2">
        <v>45597</v>
      </c>
      <c r="H2836" s="2">
        <v>45608</v>
      </c>
      <c r="I2836" t="s">
        <v>5762</v>
      </c>
      <c r="J2836" t="s">
        <v>5772</v>
      </c>
      <c r="K2836">
        <v>312379.11</v>
      </c>
      <c r="L2836" t="s">
        <v>5773</v>
      </c>
      <c r="M2836">
        <v>11</v>
      </c>
    </row>
    <row r="2837" spans="1:13" x14ac:dyDescent="0.25">
      <c r="A2837">
        <v>2836</v>
      </c>
      <c r="B2837" t="s">
        <v>2848</v>
      </c>
      <c r="C2837">
        <v>86</v>
      </c>
      <c r="D2837" t="s">
        <v>2948</v>
      </c>
      <c r="E2837" t="s">
        <v>2953</v>
      </c>
      <c r="F2837" t="s">
        <v>5611</v>
      </c>
      <c r="G2837" s="2">
        <v>45588</v>
      </c>
      <c r="H2837" s="2">
        <v>45592</v>
      </c>
      <c r="I2837" t="s">
        <v>5763</v>
      </c>
      <c r="J2837" t="s">
        <v>5771</v>
      </c>
      <c r="K2837">
        <v>398791.51</v>
      </c>
      <c r="L2837" t="s">
        <v>5774</v>
      </c>
      <c r="M2837">
        <v>4</v>
      </c>
    </row>
    <row r="2838" spans="1:13" x14ac:dyDescent="0.25">
      <c r="A2838">
        <v>2837</v>
      </c>
      <c r="B2838" t="s">
        <v>2849</v>
      </c>
      <c r="C2838">
        <v>59</v>
      </c>
      <c r="D2838" t="s">
        <v>2948</v>
      </c>
      <c r="E2838" t="s">
        <v>2954</v>
      </c>
      <c r="F2838" t="s">
        <v>5612</v>
      </c>
      <c r="G2838" s="2">
        <v>45678</v>
      </c>
      <c r="H2838" s="2">
        <v>45687</v>
      </c>
      <c r="I2838" t="s">
        <v>5760</v>
      </c>
      <c r="J2838" t="s">
        <v>5768</v>
      </c>
      <c r="K2838">
        <v>163728.92000000001</v>
      </c>
      <c r="L2838" t="s">
        <v>5774</v>
      </c>
      <c r="M2838">
        <v>9</v>
      </c>
    </row>
    <row r="2839" spans="1:13" x14ac:dyDescent="0.25">
      <c r="A2839">
        <v>2838</v>
      </c>
      <c r="B2839" t="s">
        <v>2850</v>
      </c>
      <c r="C2839">
        <v>76</v>
      </c>
      <c r="D2839" t="s">
        <v>2948</v>
      </c>
      <c r="E2839" t="s">
        <v>2949</v>
      </c>
      <c r="F2839" t="s">
        <v>5613</v>
      </c>
      <c r="G2839" s="2">
        <v>45626</v>
      </c>
      <c r="H2839" s="2">
        <v>45631</v>
      </c>
      <c r="I2839" t="s">
        <v>5767</v>
      </c>
      <c r="J2839" t="s">
        <v>2949</v>
      </c>
      <c r="K2839">
        <v>243315.98</v>
      </c>
      <c r="L2839" t="s">
        <v>5774</v>
      </c>
      <c r="M2839">
        <v>5</v>
      </c>
    </row>
    <row r="2840" spans="1:13" x14ac:dyDescent="0.25">
      <c r="A2840">
        <v>2839</v>
      </c>
      <c r="B2840" t="s">
        <v>2851</v>
      </c>
      <c r="C2840">
        <v>38</v>
      </c>
      <c r="D2840" t="s">
        <v>2948</v>
      </c>
      <c r="E2840" t="s">
        <v>2954</v>
      </c>
      <c r="F2840" t="s">
        <v>5614</v>
      </c>
      <c r="G2840" s="2">
        <v>45829</v>
      </c>
      <c r="H2840" s="2">
        <v>45833</v>
      </c>
      <c r="I2840" t="s">
        <v>5760</v>
      </c>
      <c r="J2840" t="s">
        <v>2949</v>
      </c>
      <c r="K2840">
        <v>483857.1</v>
      </c>
      <c r="L2840" t="s">
        <v>5774</v>
      </c>
      <c r="M2840">
        <v>4</v>
      </c>
    </row>
    <row r="2841" spans="1:13" x14ac:dyDescent="0.25">
      <c r="A2841">
        <v>2840</v>
      </c>
      <c r="B2841" t="s">
        <v>2852</v>
      </c>
      <c r="C2841">
        <v>44</v>
      </c>
      <c r="D2841" t="s">
        <v>2948</v>
      </c>
      <c r="E2841" t="s">
        <v>2952</v>
      </c>
      <c r="F2841" t="s">
        <v>5615</v>
      </c>
      <c r="G2841" s="2">
        <v>45645</v>
      </c>
      <c r="H2841" s="2">
        <v>45658</v>
      </c>
      <c r="I2841" t="s">
        <v>5763</v>
      </c>
      <c r="J2841" t="s">
        <v>5770</v>
      </c>
      <c r="K2841">
        <v>391274.18</v>
      </c>
      <c r="L2841" t="s">
        <v>5774</v>
      </c>
      <c r="M2841">
        <v>13</v>
      </c>
    </row>
    <row r="2842" spans="1:13" x14ac:dyDescent="0.25">
      <c r="A2842">
        <v>2841</v>
      </c>
      <c r="B2842" t="s">
        <v>2853</v>
      </c>
      <c r="C2842">
        <v>25</v>
      </c>
      <c r="D2842" t="s">
        <v>2947</v>
      </c>
      <c r="E2842" t="s">
        <v>2954</v>
      </c>
      <c r="F2842" t="s">
        <v>5616</v>
      </c>
      <c r="G2842" s="2">
        <v>45849</v>
      </c>
      <c r="H2842" s="2">
        <v>45864</v>
      </c>
      <c r="I2842" t="s">
        <v>5759</v>
      </c>
      <c r="J2842" t="s">
        <v>5770</v>
      </c>
      <c r="K2842">
        <v>348085.92</v>
      </c>
      <c r="L2842" t="s">
        <v>5773</v>
      </c>
      <c r="M2842">
        <v>15</v>
      </c>
    </row>
    <row r="2843" spans="1:13" x14ac:dyDescent="0.25">
      <c r="A2843">
        <v>2842</v>
      </c>
      <c r="B2843" t="s">
        <v>2854</v>
      </c>
      <c r="C2843">
        <v>14</v>
      </c>
      <c r="D2843" t="s">
        <v>2947</v>
      </c>
      <c r="E2843" t="s">
        <v>2952</v>
      </c>
      <c r="F2843" t="s">
        <v>5617</v>
      </c>
      <c r="G2843" s="2">
        <v>45720</v>
      </c>
      <c r="H2843" s="2">
        <v>45721</v>
      </c>
      <c r="I2843" t="s">
        <v>5763</v>
      </c>
      <c r="J2843" t="s">
        <v>5772</v>
      </c>
      <c r="K2843">
        <v>416059.12</v>
      </c>
      <c r="L2843" t="s">
        <v>5775</v>
      </c>
      <c r="M2843">
        <v>1</v>
      </c>
    </row>
    <row r="2844" spans="1:13" x14ac:dyDescent="0.25">
      <c r="A2844">
        <v>2843</v>
      </c>
      <c r="B2844" t="s">
        <v>2855</v>
      </c>
      <c r="C2844">
        <v>56</v>
      </c>
      <c r="D2844" t="s">
        <v>2948</v>
      </c>
      <c r="E2844" t="s">
        <v>2949</v>
      </c>
      <c r="F2844" t="s">
        <v>5618</v>
      </c>
      <c r="G2844" s="2">
        <v>45876</v>
      </c>
      <c r="H2844" s="2">
        <v>45885</v>
      </c>
      <c r="I2844" t="s">
        <v>5763</v>
      </c>
      <c r="J2844" t="s">
        <v>5770</v>
      </c>
      <c r="K2844">
        <v>425186.43</v>
      </c>
      <c r="L2844" t="s">
        <v>5773</v>
      </c>
      <c r="M2844">
        <v>9</v>
      </c>
    </row>
    <row r="2845" spans="1:13" x14ac:dyDescent="0.25">
      <c r="A2845">
        <v>2844</v>
      </c>
      <c r="B2845" t="s">
        <v>2856</v>
      </c>
      <c r="C2845">
        <v>1</v>
      </c>
      <c r="D2845" t="s">
        <v>2947</v>
      </c>
      <c r="E2845" t="s">
        <v>2955</v>
      </c>
      <c r="F2845" t="s">
        <v>5619</v>
      </c>
      <c r="G2845" s="2">
        <v>45786</v>
      </c>
      <c r="H2845" s="2">
        <v>45792</v>
      </c>
      <c r="I2845" t="s">
        <v>5758</v>
      </c>
      <c r="J2845" t="s">
        <v>5771</v>
      </c>
      <c r="K2845">
        <v>248035.37</v>
      </c>
      <c r="L2845" t="s">
        <v>5774</v>
      </c>
      <c r="M2845">
        <v>6</v>
      </c>
    </row>
    <row r="2846" spans="1:13" x14ac:dyDescent="0.25">
      <c r="A2846">
        <v>2845</v>
      </c>
      <c r="B2846" t="s">
        <v>2857</v>
      </c>
      <c r="C2846">
        <v>23</v>
      </c>
      <c r="D2846" t="s">
        <v>2947</v>
      </c>
      <c r="E2846" t="s">
        <v>2955</v>
      </c>
      <c r="F2846" t="s">
        <v>5620</v>
      </c>
      <c r="G2846" s="2">
        <v>45585</v>
      </c>
      <c r="H2846" s="2">
        <v>45596</v>
      </c>
      <c r="I2846" t="s">
        <v>5760</v>
      </c>
      <c r="J2846" t="s">
        <v>5770</v>
      </c>
      <c r="K2846">
        <v>213609.98</v>
      </c>
      <c r="L2846" t="s">
        <v>5774</v>
      </c>
      <c r="M2846">
        <v>11</v>
      </c>
    </row>
    <row r="2847" spans="1:13" x14ac:dyDescent="0.25">
      <c r="A2847">
        <v>2846</v>
      </c>
      <c r="B2847" t="s">
        <v>2858</v>
      </c>
      <c r="C2847">
        <v>2</v>
      </c>
      <c r="D2847" t="s">
        <v>2947</v>
      </c>
      <c r="E2847" t="s">
        <v>2951</v>
      </c>
      <c r="F2847" t="s">
        <v>5621</v>
      </c>
      <c r="G2847" s="2">
        <v>45893</v>
      </c>
      <c r="H2847" s="2">
        <v>45896</v>
      </c>
      <c r="I2847" t="s">
        <v>5760</v>
      </c>
      <c r="J2847" t="s">
        <v>2949</v>
      </c>
      <c r="K2847">
        <v>207590.7</v>
      </c>
      <c r="L2847" t="s">
        <v>5775</v>
      </c>
      <c r="M2847">
        <v>3</v>
      </c>
    </row>
    <row r="2848" spans="1:13" x14ac:dyDescent="0.25">
      <c r="A2848">
        <v>2847</v>
      </c>
      <c r="B2848" t="s">
        <v>2859</v>
      </c>
      <c r="C2848">
        <v>18</v>
      </c>
      <c r="D2848" t="s">
        <v>2948</v>
      </c>
      <c r="E2848" t="s">
        <v>2953</v>
      </c>
      <c r="F2848" t="s">
        <v>5622</v>
      </c>
      <c r="G2848" s="2">
        <v>45641</v>
      </c>
      <c r="H2848" s="2">
        <v>45645</v>
      </c>
      <c r="I2848" t="s">
        <v>5761</v>
      </c>
      <c r="J2848" t="s">
        <v>5771</v>
      </c>
      <c r="K2848">
        <v>387385.13</v>
      </c>
      <c r="L2848" t="s">
        <v>5774</v>
      </c>
      <c r="M2848">
        <v>4</v>
      </c>
    </row>
    <row r="2849" spans="1:13" x14ac:dyDescent="0.25">
      <c r="A2849">
        <v>2848</v>
      </c>
      <c r="B2849" t="s">
        <v>2860</v>
      </c>
      <c r="C2849">
        <v>52</v>
      </c>
      <c r="D2849" t="s">
        <v>2947</v>
      </c>
      <c r="E2849" t="s">
        <v>2955</v>
      </c>
      <c r="F2849" t="s">
        <v>95</v>
      </c>
      <c r="G2849" s="2">
        <v>45823</v>
      </c>
      <c r="H2849" s="2">
        <v>45832</v>
      </c>
      <c r="I2849" t="s">
        <v>5762</v>
      </c>
      <c r="J2849" t="s">
        <v>5769</v>
      </c>
      <c r="K2849">
        <v>493618.14</v>
      </c>
      <c r="L2849" t="s">
        <v>5775</v>
      </c>
      <c r="M2849">
        <v>9</v>
      </c>
    </row>
    <row r="2850" spans="1:13" x14ac:dyDescent="0.25">
      <c r="A2850">
        <v>2849</v>
      </c>
      <c r="B2850" t="s">
        <v>2861</v>
      </c>
      <c r="C2850">
        <v>88</v>
      </c>
      <c r="D2850" t="s">
        <v>2948</v>
      </c>
      <c r="E2850" t="s">
        <v>2955</v>
      </c>
      <c r="F2850" t="s">
        <v>5623</v>
      </c>
      <c r="G2850" s="2">
        <v>45771</v>
      </c>
      <c r="H2850" s="2">
        <v>45784</v>
      </c>
      <c r="I2850" t="s">
        <v>5762</v>
      </c>
      <c r="J2850" t="s">
        <v>5771</v>
      </c>
      <c r="K2850">
        <v>118693.21</v>
      </c>
      <c r="L2850" t="s">
        <v>5775</v>
      </c>
      <c r="M2850">
        <v>13</v>
      </c>
    </row>
    <row r="2851" spans="1:13" x14ac:dyDescent="0.25">
      <c r="A2851">
        <v>2850</v>
      </c>
      <c r="B2851" t="s">
        <v>2862</v>
      </c>
      <c r="C2851">
        <v>14</v>
      </c>
      <c r="D2851" t="s">
        <v>2947</v>
      </c>
      <c r="E2851" t="s">
        <v>2952</v>
      </c>
      <c r="F2851" t="s">
        <v>2471</v>
      </c>
      <c r="G2851" s="2">
        <v>45730</v>
      </c>
      <c r="H2851" s="2">
        <v>45734</v>
      </c>
      <c r="I2851" t="s">
        <v>5761</v>
      </c>
      <c r="J2851" t="s">
        <v>5768</v>
      </c>
      <c r="K2851">
        <v>422719.08</v>
      </c>
      <c r="L2851" t="s">
        <v>5774</v>
      </c>
      <c r="M2851">
        <v>4</v>
      </c>
    </row>
    <row r="2852" spans="1:13" x14ac:dyDescent="0.25">
      <c r="A2852">
        <v>2851</v>
      </c>
      <c r="B2852" t="s">
        <v>2863</v>
      </c>
      <c r="C2852">
        <v>90</v>
      </c>
      <c r="D2852" t="s">
        <v>2948</v>
      </c>
      <c r="E2852" t="s">
        <v>2952</v>
      </c>
      <c r="F2852" t="s">
        <v>5624</v>
      </c>
      <c r="G2852" s="2">
        <v>45695</v>
      </c>
      <c r="H2852" s="2">
        <v>45710</v>
      </c>
      <c r="I2852" t="s">
        <v>5760</v>
      </c>
      <c r="J2852" t="s">
        <v>5771</v>
      </c>
      <c r="K2852">
        <v>310029.03999999998</v>
      </c>
      <c r="L2852" t="s">
        <v>5774</v>
      </c>
      <c r="M2852">
        <v>15</v>
      </c>
    </row>
    <row r="2853" spans="1:13" x14ac:dyDescent="0.25">
      <c r="A2853">
        <v>2852</v>
      </c>
      <c r="B2853" t="s">
        <v>2864</v>
      </c>
      <c r="C2853">
        <v>37</v>
      </c>
      <c r="D2853" t="s">
        <v>2948</v>
      </c>
      <c r="E2853" t="s">
        <v>2952</v>
      </c>
      <c r="F2853" t="s">
        <v>5625</v>
      </c>
      <c r="G2853" s="2">
        <v>45895</v>
      </c>
      <c r="H2853" s="2">
        <v>45898</v>
      </c>
      <c r="I2853" t="s">
        <v>5759</v>
      </c>
      <c r="J2853" t="s">
        <v>5770</v>
      </c>
      <c r="K2853">
        <v>322981.03000000003</v>
      </c>
      <c r="L2853" t="s">
        <v>5775</v>
      </c>
      <c r="M2853">
        <v>3</v>
      </c>
    </row>
    <row r="2854" spans="1:13" x14ac:dyDescent="0.25">
      <c r="A2854">
        <v>2853</v>
      </c>
      <c r="B2854" t="s">
        <v>2865</v>
      </c>
      <c r="C2854">
        <v>77</v>
      </c>
      <c r="D2854" t="s">
        <v>2947</v>
      </c>
      <c r="E2854" t="s">
        <v>2955</v>
      </c>
      <c r="F2854" t="s">
        <v>5626</v>
      </c>
      <c r="G2854" s="2">
        <v>45606</v>
      </c>
      <c r="H2854" s="2">
        <v>45619</v>
      </c>
      <c r="I2854" t="s">
        <v>5761</v>
      </c>
      <c r="J2854" t="s">
        <v>5771</v>
      </c>
      <c r="K2854">
        <v>258410.97</v>
      </c>
      <c r="L2854" t="s">
        <v>5775</v>
      </c>
      <c r="M2854">
        <v>13</v>
      </c>
    </row>
    <row r="2855" spans="1:13" x14ac:dyDescent="0.25">
      <c r="A2855">
        <v>2854</v>
      </c>
      <c r="B2855" t="s">
        <v>2866</v>
      </c>
      <c r="C2855">
        <v>88</v>
      </c>
      <c r="D2855" t="s">
        <v>2948</v>
      </c>
      <c r="E2855" t="s">
        <v>2951</v>
      </c>
      <c r="F2855" t="s">
        <v>5627</v>
      </c>
      <c r="G2855" s="2">
        <v>45696</v>
      </c>
      <c r="H2855" s="2">
        <v>45705</v>
      </c>
      <c r="I2855" t="s">
        <v>5765</v>
      </c>
      <c r="J2855" t="s">
        <v>5769</v>
      </c>
      <c r="K2855">
        <v>184004.72</v>
      </c>
      <c r="L2855" t="s">
        <v>5775</v>
      </c>
      <c r="M2855">
        <v>9</v>
      </c>
    </row>
    <row r="2856" spans="1:13" x14ac:dyDescent="0.25">
      <c r="A2856">
        <v>2855</v>
      </c>
      <c r="B2856" t="s">
        <v>2867</v>
      </c>
      <c r="C2856">
        <v>22</v>
      </c>
      <c r="D2856" t="s">
        <v>2947</v>
      </c>
      <c r="E2856" t="s">
        <v>2951</v>
      </c>
      <c r="F2856" t="s">
        <v>5628</v>
      </c>
      <c r="G2856" s="2">
        <v>45816</v>
      </c>
      <c r="H2856" s="2">
        <v>45824</v>
      </c>
      <c r="I2856" t="s">
        <v>5759</v>
      </c>
      <c r="J2856" t="s">
        <v>5769</v>
      </c>
      <c r="K2856">
        <v>330293.5</v>
      </c>
      <c r="L2856" t="s">
        <v>5774</v>
      </c>
      <c r="M2856">
        <v>8</v>
      </c>
    </row>
    <row r="2857" spans="1:13" x14ac:dyDescent="0.25">
      <c r="A2857">
        <v>2856</v>
      </c>
      <c r="B2857" t="s">
        <v>2868</v>
      </c>
      <c r="C2857">
        <v>11</v>
      </c>
      <c r="D2857" t="s">
        <v>2947</v>
      </c>
      <c r="E2857" t="s">
        <v>2949</v>
      </c>
      <c r="F2857" t="s">
        <v>1926</v>
      </c>
      <c r="G2857" s="2">
        <v>45785</v>
      </c>
      <c r="H2857" s="2">
        <v>45798</v>
      </c>
      <c r="I2857" t="s">
        <v>5758</v>
      </c>
      <c r="J2857" t="s">
        <v>5770</v>
      </c>
      <c r="K2857">
        <v>168834.22</v>
      </c>
      <c r="L2857" t="s">
        <v>5773</v>
      </c>
      <c r="M2857">
        <v>13</v>
      </c>
    </row>
    <row r="2858" spans="1:13" x14ac:dyDescent="0.25">
      <c r="A2858">
        <v>2857</v>
      </c>
      <c r="B2858" t="s">
        <v>2869</v>
      </c>
      <c r="C2858">
        <v>44</v>
      </c>
      <c r="D2858" t="s">
        <v>2947</v>
      </c>
      <c r="E2858" t="s">
        <v>2954</v>
      </c>
      <c r="F2858" t="s">
        <v>5629</v>
      </c>
      <c r="G2858" s="2">
        <v>45612</v>
      </c>
      <c r="H2858" s="2">
        <v>45623</v>
      </c>
      <c r="I2858" t="s">
        <v>5764</v>
      </c>
      <c r="J2858" t="s">
        <v>5770</v>
      </c>
      <c r="K2858">
        <v>263084.3</v>
      </c>
      <c r="L2858" t="s">
        <v>5775</v>
      </c>
      <c r="M2858">
        <v>11</v>
      </c>
    </row>
    <row r="2859" spans="1:13" x14ac:dyDescent="0.25">
      <c r="A2859">
        <v>2858</v>
      </c>
      <c r="B2859" t="s">
        <v>2870</v>
      </c>
      <c r="C2859">
        <v>46</v>
      </c>
      <c r="D2859" t="s">
        <v>2947</v>
      </c>
      <c r="E2859" t="s">
        <v>2955</v>
      </c>
      <c r="F2859" t="s">
        <v>5630</v>
      </c>
      <c r="G2859" s="2">
        <v>45700</v>
      </c>
      <c r="H2859" s="2">
        <v>45715</v>
      </c>
      <c r="I2859" t="s">
        <v>5765</v>
      </c>
      <c r="J2859" t="s">
        <v>5769</v>
      </c>
      <c r="K2859">
        <v>445875.61</v>
      </c>
      <c r="L2859" t="s">
        <v>5773</v>
      </c>
      <c r="M2859">
        <v>15</v>
      </c>
    </row>
    <row r="2860" spans="1:13" x14ac:dyDescent="0.25">
      <c r="A2860">
        <v>2859</v>
      </c>
      <c r="B2860" t="s">
        <v>2871</v>
      </c>
      <c r="C2860">
        <v>80</v>
      </c>
      <c r="D2860" t="s">
        <v>2947</v>
      </c>
      <c r="E2860" t="s">
        <v>2954</v>
      </c>
      <c r="F2860" t="s">
        <v>5631</v>
      </c>
      <c r="G2860" s="2">
        <v>45639</v>
      </c>
      <c r="H2860" s="2">
        <v>45641</v>
      </c>
      <c r="I2860" t="s">
        <v>5762</v>
      </c>
      <c r="J2860" t="s">
        <v>5771</v>
      </c>
      <c r="K2860">
        <v>325826.25</v>
      </c>
      <c r="L2860" t="s">
        <v>5773</v>
      </c>
      <c r="M2860">
        <v>2</v>
      </c>
    </row>
    <row r="2861" spans="1:13" x14ac:dyDescent="0.25">
      <c r="A2861">
        <v>2860</v>
      </c>
      <c r="B2861" t="s">
        <v>2872</v>
      </c>
      <c r="C2861">
        <v>67</v>
      </c>
      <c r="D2861" t="s">
        <v>2948</v>
      </c>
      <c r="E2861" t="s">
        <v>2955</v>
      </c>
      <c r="F2861" t="s">
        <v>5632</v>
      </c>
      <c r="G2861" s="2">
        <v>45712</v>
      </c>
      <c r="H2861" s="2">
        <v>45715</v>
      </c>
      <c r="I2861" t="s">
        <v>5765</v>
      </c>
      <c r="J2861" t="s">
        <v>5769</v>
      </c>
      <c r="K2861">
        <v>179224.01</v>
      </c>
      <c r="L2861" t="s">
        <v>5774</v>
      </c>
      <c r="M2861">
        <v>3</v>
      </c>
    </row>
    <row r="2862" spans="1:13" x14ac:dyDescent="0.25">
      <c r="A2862">
        <v>2861</v>
      </c>
      <c r="B2862" t="s">
        <v>2873</v>
      </c>
      <c r="C2862">
        <v>46</v>
      </c>
      <c r="D2862" t="s">
        <v>2947</v>
      </c>
      <c r="E2862" t="s">
        <v>2949</v>
      </c>
      <c r="F2862" t="s">
        <v>5633</v>
      </c>
      <c r="G2862" s="2">
        <v>45887</v>
      </c>
      <c r="H2862" s="2">
        <v>45893</v>
      </c>
      <c r="I2862" t="s">
        <v>5762</v>
      </c>
      <c r="J2862" t="s">
        <v>5772</v>
      </c>
      <c r="K2862">
        <v>375336.48</v>
      </c>
      <c r="L2862" t="s">
        <v>5775</v>
      </c>
      <c r="M2862">
        <v>6</v>
      </c>
    </row>
    <row r="2863" spans="1:13" x14ac:dyDescent="0.25">
      <c r="A2863">
        <v>2862</v>
      </c>
      <c r="B2863" t="s">
        <v>2874</v>
      </c>
      <c r="C2863">
        <v>56</v>
      </c>
      <c r="D2863" t="s">
        <v>2947</v>
      </c>
      <c r="E2863" t="s">
        <v>2952</v>
      </c>
      <c r="F2863" t="s">
        <v>5634</v>
      </c>
      <c r="G2863" s="2">
        <v>45748</v>
      </c>
      <c r="H2863" s="2">
        <v>45757</v>
      </c>
      <c r="I2863" t="s">
        <v>5760</v>
      </c>
      <c r="J2863" t="s">
        <v>5772</v>
      </c>
      <c r="K2863">
        <v>285163.84999999998</v>
      </c>
      <c r="L2863" t="s">
        <v>5773</v>
      </c>
      <c r="M2863">
        <v>9</v>
      </c>
    </row>
    <row r="2864" spans="1:13" x14ac:dyDescent="0.25">
      <c r="A2864">
        <v>2863</v>
      </c>
      <c r="B2864" t="s">
        <v>2875</v>
      </c>
      <c r="C2864">
        <v>42</v>
      </c>
      <c r="D2864" t="s">
        <v>2947</v>
      </c>
      <c r="E2864" t="s">
        <v>2955</v>
      </c>
      <c r="F2864" t="s">
        <v>5635</v>
      </c>
      <c r="G2864" s="2">
        <v>45749</v>
      </c>
      <c r="H2864" s="2">
        <v>45753</v>
      </c>
      <c r="I2864" t="s">
        <v>5767</v>
      </c>
      <c r="J2864" t="s">
        <v>5771</v>
      </c>
      <c r="K2864">
        <v>116588.79</v>
      </c>
      <c r="L2864" t="s">
        <v>5773</v>
      </c>
      <c r="M2864">
        <v>4</v>
      </c>
    </row>
    <row r="2865" spans="1:13" x14ac:dyDescent="0.25">
      <c r="A2865">
        <v>2864</v>
      </c>
      <c r="B2865" t="s">
        <v>2876</v>
      </c>
      <c r="C2865">
        <v>66</v>
      </c>
      <c r="D2865" t="s">
        <v>2948</v>
      </c>
      <c r="E2865" t="s">
        <v>2954</v>
      </c>
      <c r="F2865" t="s">
        <v>5636</v>
      </c>
      <c r="G2865" s="2">
        <v>45781</v>
      </c>
      <c r="H2865" s="2">
        <v>45784</v>
      </c>
      <c r="I2865" t="s">
        <v>5758</v>
      </c>
      <c r="J2865" t="s">
        <v>5768</v>
      </c>
      <c r="K2865">
        <v>201961.3</v>
      </c>
      <c r="L2865" t="s">
        <v>5773</v>
      </c>
      <c r="M2865">
        <v>3</v>
      </c>
    </row>
    <row r="2866" spans="1:13" x14ac:dyDescent="0.25">
      <c r="A2866">
        <v>2865</v>
      </c>
      <c r="B2866" t="s">
        <v>2877</v>
      </c>
      <c r="C2866">
        <v>12</v>
      </c>
      <c r="D2866" t="s">
        <v>2947</v>
      </c>
      <c r="E2866" t="s">
        <v>2949</v>
      </c>
      <c r="F2866" t="s">
        <v>461</v>
      </c>
      <c r="G2866" s="2">
        <v>45911</v>
      </c>
      <c r="H2866" s="2">
        <v>45917</v>
      </c>
      <c r="I2866" t="s">
        <v>5764</v>
      </c>
      <c r="J2866" t="s">
        <v>5768</v>
      </c>
      <c r="K2866">
        <v>332574.18</v>
      </c>
      <c r="L2866" t="s">
        <v>5775</v>
      </c>
      <c r="M2866">
        <v>6</v>
      </c>
    </row>
    <row r="2867" spans="1:13" x14ac:dyDescent="0.25">
      <c r="A2867">
        <v>2866</v>
      </c>
      <c r="B2867" t="s">
        <v>2878</v>
      </c>
      <c r="C2867">
        <v>70</v>
      </c>
      <c r="D2867" t="s">
        <v>2948</v>
      </c>
      <c r="E2867" t="s">
        <v>2954</v>
      </c>
      <c r="F2867" t="s">
        <v>5637</v>
      </c>
      <c r="G2867" s="2">
        <v>45656</v>
      </c>
      <c r="H2867" s="2">
        <v>45662</v>
      </c>
      <c r="I2867" t="s">
        <v>5759</v>
      </c>
      <c r="J2867" t="s">
        <v>5772</v>
      </c>
      <c r="K2867">
        <v>174906.97</v>
      </c>
      <c r="L2867" t="s">
        <v>5775</v>
      </c>
      <c r="M2867">
        <v>6</v>
      </c>
    </row>
    <row r="2868" spans="1:13" x14ac:dyDescent="0.25">
      <c r="A2868">
        <v>2867</v>
      </c>
      <c r="B2868" t="s">
        <v>2879</v>
      </c>
      <c r="C2868">
        <v>17</v>
      </c>
      <c r="D2868" t="s">
        <v>2947</v>
      </c>
      <c r="E2868" t="s">
        <v>2950</v>
      </c>
      <c r="F2868" t="s">
        <v>5638</v>
      </c>
      <c r="G2868" s="2">
        <v>45843</v>
      </c>
      <c r="H2868" s="2">
        <v>45855</v>
      </c>
      <c r="I2868" t="s">
        <v>5762</v>
      </c>
      <c r="J2868" t="s">
        <v>2949</v>
      </c>
      <c r="K2868">
        <v>86651.15</v>
      </c>
      <c r="L2868" t="s">
        <v>5775</v>
      </c>
      <c r="M2868">
        <v>12</v>
      </c>
    </row>
    <row r="2869" spans="1:13" x14ac:dyDescent="0.25">
      <c r="A2869">
        <v>2868</v>
      </c>
      <c r="B2869" t="s">
        <v>2880</v>
      </c>
      <c r="C2869">
        <v>12</v>
      </c>
      <c r="D2869" t="s">
        <v>2947</v>
      </c>
      <c r="E2869" t="s">
        <v>2955</v>
      </c>
      <c r="F2869" t="s">
        <v>5639</v>
      </c>
      <c r="G2869" s="2">
        <v>45670</v>
      </c>
      <c r="H2869" s="2">
        <v>45678</v>
      </c>
      <c r="I2869" t="s">
        <v>5763</v>
      </c>
      <c r="J2869" t="s">
        <v>5771</v>
      </c>
      <c r="K2869">
        <v>330550.21999999997</v>
      </c>
      <c r="L2869" t="s">
        <v>5775</v>
      </c>
      <c r="M2869">
        <v>8</v>
      </c>
    </row>
    <row r="2870" spans="1:13" x14ac:dyDescent="0.25">
      <c r="A2870">
        <v>2869</v>
      </c>
      <c r="B2870" t="s">
        <v>2881</v>
      </c>
      <c r="C2870">
        <v>11</v>
      </c>
      <c r="D2870" t="s">
        <v>2948</v>
      </c>
      <c r="E2870" t="s">
        <v>2954</v>
      </c>
      <c r="F2870" t="s">
        <v>5640</v>
      </c>
      <c r="G2870" s="2">
        <v>45716</v>
      </c>
      <c r="H2870" s="2">
        <v>45725</v>
      </c>
      <c r="I2870" t="s">
        <v>5762</v>
      </c>
      <c r="J2870" t="s">
        <v>5768</v>
      </c>
      <c r="K2870">
        <v>353143.76</v>
      </c>
      <c r="L2870" t="s">
        <v>5774</v>
      </c>
      <c r="M2870">
        <v>9</v>
      </c>
    </row>
    <row r="2871" spans="1:13" x14ac:dyDescent="0.25">
      <c r="A2871">
        <v>2870</v>
      </c>
      <c r="B2871" t="s">
        <v>2882</v>
      </c>
      <c r="C2871">
        <v>74</v>
      </c>
      <c r="D2871" t="s">
        <v>2948</v>
      </c>
      <c r="E2871" t="s">
        <v>2953</v>
      </c>
      <c r="F2871" t="s">
        <v>1024</v>
      </c>
      <c r="G2871" s="2">
        <v>45773</v>
      </c>
      <c r="H2871" s="2">
        <v>45775</v>
      </c>
      <c r="I2871" t="s">
        <v>5762</v>
      </c>
      <c r="J2871" t="s">
        <v>5770</v>
      </c>
      <c r="K2871">
        <v>171814.32</v>
      </c>
      <c r="L2871" t="s">
        <v>5775</v>
      </c>
      <c r="M2871">
        <v>2</v>
      </c>
    </row>
    <row r="2872" spans="1:13" x14ac:dyDescent="0.25">
      <c r="A2872">
        <v>2871</v>
      </c>
      <c r="B2872" t="s">
        <v>2883</v>
      </c>
      <c r="C2872">
        <v>64</v>
      </c>
      <c r="D2872" t="s">
        <v>2947</v>
      </c>
      <c r="E2872" t="s">
        <v>2953</v>
      </c>
      <c r="F2872" t="s">
        <v>5641</v>
      </c>
      <c r="G2872" s="2">
        <v>45859</v>
      </c>
      <c r="H2872" s="2">
        <v>45873</v>
      </c>
      <c r="I2872" t="s">
        <v>5761</v>
      </c>
      <c r="J2872" t="s">
        <v>5768</v>
      </c>
      <c r="K2872">
        <v>398120</v>
      </c>
      <c r="L2872" t="s">
        <v>5774</v>
      </c>
      <c r="M2872">
        <v>14</v>
      </c>
    </row>
    <row r="2873" spans="1:13" x14ac:dyDescent="0.25">
      <c r="A2873">
        <v>2872</v>
      </c>
      <c r="B2873" t="s">
        <v>2884</v>
      </c>
      <c r="C2873">
        <v>62</v>
      </c>
      <c r="D2873" t="s">
        <v>2947</v>
      </c>
      <c r="E2873" t="s">
        <v>2954</v>
      </c>
      <c r="F2873" t="s">
        <v>5642</v>
      </c>
      <c r="G2873" s="2">
        <v>45867</v>
      </c>
      <c r="H2873" s="2">
        <v>45869</v>
      </c>
      <c r="I2873" t="s">
        <v>5767</v>
      </c>
      <c r="J2873" t="s">
        <v>5772</v>
      </c>
      <c r="K2873">
        <v>51980.83</v>
      </c>
      <c r="L2873" t="s">
        <v>5775</v>
      </c>
      <c r="M2873">
        <v>2</v>
      </c>
    </row>
    <row r="2874" spans="1:13" x14ac:dyDescent="0.25">
      <c r="A2874">
        <v>2873</v>
      </c>
      <c r="B2874" t="s">
        <v>2885</v>
      </c>
      <c r="C2874">
        <v>16</v>
      </c>
      <c r="D2874" t="s">
        <v>2948</v>
      </c>
      <c r="E2874" t="s">
        <v>2952</v>
      </c>
      <c r="F2874" t="s">
        <v>5643</v>
      </c>
      <c r="G2874" s="2">
        <v>45721</v>
      </c>
      <c r="H2874" s="2">
        <v>45722</v>
      </c>
      <c r="I2874" t="s">
        <v>5762</v>
      </c>
      <c r="J2874" t="s">
        <v>5769</v>
      </c>
      <c r="K2874">
        <v>199893.32</v>
      </c>
      <c r="L2874" t="s">
        <v>5775</v>
      </c>
      <c r="M2874">
        <v>1</v>
      </c>
    </row>
    <row r="2875" spans="1:13" x14ac:dyDescent="0.25">
      <c r="A2875">
        <v>2874</v>
      </c>
      <c r="B2875" t="s">
        <v>2886</v>
      </c>
      <c r="C2875">
        <v>20</v>
      </c>
      <c r="D2875" t="s">
        <v>2948</v>
      </c>
      <c r="E2875" t="s">
        <v>2953</v>
      </c>
      <c r="F2875" t="s">
        <v>5644</v>
      </c>
      <c r="G2875" s="2">
        <v>45908</v>
      </c>
      <c r="H2875" s="2">
        <v>45917</v>
      </c>
      <c r="I2875" t="s">
        <v>5764</v>
      </c>
      <c r="J2875" t="s">
        <v>5770</v>
      </c>
      <c r="K2875">
        <v>273545.34000000003</v>
      </c>
      <c r="L2875" t="s">
        <v>5773</v>
      </c>
      <c r="M2875">
        <v>9</v>
      </c>
    </row>
    <row r="2876" spans="1:13" x14ac:dyDescent="0.25">
      <c r="A2876">
        <v>2875</v>
      </c>
      <c r="B2876" t="s">
        <v>2887</v>
      </c>
      <c r="C2876">
        <v>23</v>
      </c>
      <c r="D2876" t="s">
        <v>2948</v>
      </c>
      <c r="E2876" t="s">
        <v>2953</v>
      </c>
      <c r="F2876" t="s">
        <v>5645</v>
      </c>
      <c r="G2876" s="2">
        <v>45786</v>
      </c>
      <c r="H2876" s="2">
        <v>45791</v>
      </c>
      <c r="I2876" t="s">
        <v>5759</v>
      </c>
      <c r="J2876" t="s">
        <v>5769</v>
      </c>
      <c r="K2876">
        <v>436778.23999999999</v>
      </c>
      <c r="L2876" t="s">
        <v>5774</v>
      </c>
      <c r="M2876">
        <v>5</v>
      </c>
    </row>
    <row r="2877" spans="1:13" x14ac:dyDescent="0.25">
      <c r="A2877">
        <v>2876</v>
      </c>
      <c r="B2877" t="s">
        <v>2888</v>
      </c>
      <c r="C2877">
        <v>66</v>
      </c>
      <c r="D2877" t="s">
        <v>2948</v>
      </c>
      <c r="E2877" t="s">
        <v>2952</v>
      </c>
      <c r="F2877" t="s">
        <v>5646</v>
      </c>
      <c r="G2877" s="2">
        <v>45785</v>
      </c>
      <c r="H2877" s="2">
        <v>45795</v>
      </c>
      <c r="I2877" t="s">
        <v>5766</v>
      </c>
      <c r="J2877" t="s">
        <v>5770</v>
      </c>
      <c r="K2877">
        <v>275355.34000000003</v>
      </c>
      <c r="L2877" t="s">
        <v>5773</v>
      </c>
      <c r="M2877">
        <v>10</v>
      </c>
    </row>
    <row r="2878" spans="1:13" x14ac:dyDescent="0.25">
      <c r="A2878">
        <v>2877</v>
      </c>
      <c r="B2878" t="s">
        <v>2889</v>
      </c>
      <c r="C2878">
        <v>67</v>
      </c>
      <c r="D2878" t="s">
        <v>2947</v>
      </c>
      <c r="E2878" t="s">
        <v>2952</v>
      </c>
      <c r="F2878" t="s">
        <v>922</v>
      </c>
      <c r="G2878" s="2">
        <v>45567</v>
      </c>
      <c r="H2878" s="2">
        <v>45578</v>
      </c>
      <c r="I2878" t="s">
        <v>5758</v>
      </c>
      <c r="J2878" t="s">
        <v>5772</v>
      </c>
      <c r="K2878">
        <v>319419.25</v>
      </c>
      <c r="L2878" t="s">
        <v>5774</v>
      </c>
      <c r="M2878">
        <v>11</v>
      </c>
    </row>
    <row r="2879" spans="1:13" x14ac:dyDescent="0.25">
      <c r="A2879">
        <v>2878</v>
      </c>
      <c r="B2879" t="s">
        <v>2890</v>
      </c>
      <c r="C2879">
        <v>47</v>
      </c>
      <c r="D2879" t="s">
        <v>2948</v>
      </c>
      <c r="E2879" t="s">
        <v>2949</v>
      </c>
      <c r="F2879" t="s">
        <v>5647</v>
      </c>
      <c r="G2879" s="2">
        <v>45564</v>
      </c>
      <c r="H2879" s="2">
        <v>45567</v>
      </c>
      <c r="I2879" t="s">
        <v>5765</v>
      </c>
      <c r="J2879" t="s">
        <v>5768</v>
      </c>
      <c r="K2879">
        <v>148518.31</v>
      </c>
      <c r="L2879" t="s">
        <v>5775</v>
      </c>
      <c r="M2879">
        <v>3</v>
      </c>
    </row>
    <row r="2880" spans="1:13" x14ac:dyDescent="0.25">
      <c r="A2880">
        <v>2879</v>
      </c>
      <c r="B2880" t="s">
        <v>2891</v>
      </c>
      <c r="C2880">
        <v>1</v>
      </c>
      <c r="D2880" t="s">
        <v>2947</v>
      </c>
      <c r="E2880" t="s">
        <v>2955</v>
      </c>
      <c r="F2880" t="s">
        <v>5648</v>
      </c>
      <c r="G2880" s="2">
        <v>45585</v>
      </c>
      <c r="H2880" s="2">
        <v>45591</v>
      </c>
      <c r="I2880" t="s">
        <v>5758</v>
      </c>
      <c r="J2880" t="s">
        <v>5772</v>
      </c>
      <c r="K2880">
        <v>199508.99</v>
      </c>
      <c r="L2880" t="s">
        <v>5775</v>
      </c>
      <c r="M2880">
        <v>6</v>
      </c>
    </row>
    <row r="2881" spans="1:13" x14ac:dyDescent="0.25">
      <c r="A2881">
        <v>2880</v>
      </c>
      <c r="B2881" t="s">
        <v>2892</v>
      </c>
      <c r="C2881">
        <v>63</v>
      </c>
      <c r="D2881" t="s">
        <v>2948</v>
      </c>
      <c r="E2881" t="s">
        <v>2954</v>
      </c>
      <c r="F2881" t="s">
        <v>5649</v>
      </c>
      <c r="G2881" s="2">
        <v>45647</v>
      </c>
      <c r="H2881" s="2">
        <v>45648</v>
      </c>
      <c r="I2881" t="s">
        <v>5767</v>
      </c>
      <c r="J2881" t="s">
        <v>5772</v>
      </c>
      <c r="K2881">
        <v>86341.440000000002</v>
      </c>
      <c r="L2881" t="s">
        <v>5775</v>
      </c>
      <c r="M2881">
        <v>1</v>
      </c>
    </row>
    <row r="2882" spans="1:13" x14ac:dyDescent="0.25">
      <c r="A2882">
        <v>2881</v>
      </c>
      <c r="B2882" t="s">
        <v>2893</v>
      </c>
      <c r="C2882">
        <v>1</v>
      </c>
      <c r="D2882" t="s">
        <v>2947</v>
      </c>
      <c r="E2882" t="s">
        <v>2950</v>
      </c>
      <c r="F2882" t="s">
        <v>4739</v>
      </c>
      <c r="G2882" s="2">
        <v>45807</v>
      </c>
      <c r="H2882" s="2">
        <v>45809</v>
      </c>
      <c r="I2882" t="s">
        <v>5759</v>
      </c>
      <c r="J2882" t="s">
        <v>5769</v>
      </c>
      <c r="K2882">
        <v>434523.03</v>
      </c>
      <c r="L2882" t="s">
        <v>5773</v>
      </c>
      <c r="M2882">
        <v>2</v>
      </c>
    </row>
    <row r="2883" spans="1:13" x14ac:dyDescent="0.25">
      <c r="A2883">
        <v>2882</v>
      </c>
      <c r="B2883" t="s">
        <v>2894</v>
      </c>
      <c r="C2883">
        <v>40</v>
      </c>
      <c r="D2883" t="s">
        <v>2947</v>
      </c>
      <c r="E2883" t="s">
        <v>2949</v>
      </c>
      <c r="F2883" t="s">
        <v>5650</v>
      </c>
      <c r="G2883" s="2">
        <v>45748</v>
      </c>
      <c r="H2883" s="2">
        <v>45753</v>
      </c>
      <c r="I2883" t="s">
        <v>5767</v>
      </c>
      <c r="J2883" t="s">
        <v>5769</v>
      </c>
      <c r="K2883">
        <v>292634.17</v>
      </c>
      <c r="L2883" t="s">
        <v>5775</v>
      </c>
      <c r="M2883">
        <v>5</v>
      </c>
    </row>
    <row r="2884" spans="1:13" x14ac:dyDescent="0.25">
      <c r="A2884">
        <v>2883</v>
      </c>
      <c r="B2884" t="s">
        <v>2895</v>
      </c>
      <c r="C2884">
        <v>85</v>
      </c>
      <c r="D2884" t="s">
        <v>2948</v>
      </c>
      <c r="E2884" t="s">
        <v>2952</v>
      </c>
      <c r="F2884" t="s">
        <v>5651</v>
      </c>
      <c r="G2884" s="2">
        <v>45886</v>
      </c>
      <c r="H2884" s="2">
        <v>45894</v>
      </c>
      <c r="I2884" t="s">
        <v>5759</v>
      </c>
      <c r="J2884" t="s">
        <v>5771</v>
      </c>
      <c r="K2884">
        <v>13304.79</v>
      </c>
      <c r="L2884" t="s">
        <v>5775</v>
      </c>
      <c r="M2884">
        <v>8</v>
      </c>
    </row>
    <row r="2885" spans="1:13" x14ac:dyDescent="0.25">
      <c r="A2885">
        <v>2884</v>
      </c>
      <c r="B2885" t="s">
        <v>2896</v>
      </c>
      <c r="C2885">
        <v>55</v>
      </c>
      <c r="D2885" t="s">
        <v>2948</v>
      </c>
      <c r="E2885" t="s">
        <v>2950</v>
      </c>
      <c r="F2885" t="s">
        <v>5652</v>
      </c>
      <c r="G2885" s="2">
        <v>45798</v>
      </c>
      <c r="H2885" s="2">
        <v>45807</v>
      </c>
      <c r="I2885" t="s">
        <v>5759</v>
      </c>
      <c r="J2885" t="s">
        <v>5769</v>
      </c>
      <c r="K2885">
        <v>196105.82</v>
      </c>
      <c r="L2885" t="s">
        <v>5773</v>
      </c>
      <c r="M2885">
        <v>9</v>
      </c>
    </row>
    <row r="2886" spans="1:13" x14ac:dyDescent="0.25">
      <c r="A2886">
        <v>2885</v>
      </c>
      <c r="B2886" t="s">
        <v>2897</v>
      </c>
      <c r="C2886">
        <v>38</v>
      </c>
      <c r="D2886" t="s">
        <v>2948</v>
      </c>
      <c r="E2886" t="s">
        <v>2952</v>
      </c>
      <c r="F2886" t="s">
        <v>5653</v>
      </c>
      <c r="G2886" s="2">
        <v>45566</v>
      </c>
      <c r="H2886" s="2">
        <v>45581</v>
      </c>
      <c r="I2886" t="s">
        <v>5760</v>
      </c>
      <c r="J2886" t="s">
        <v>5770</v>
      </c>
      <c r="K2886">
        <v>293956.03999999998</v>
      </c>
      <c r="L2886" t="s">
        <v>5774</v>
      </c>
      <c r="M2886">
        <v>15</v>
      </c>
    </row>
    <row r="2887" spans="1:13" x14ac:dyDescent="0.25">
      <c r="A2887">
        <v>2886</v>
      </c>
      <c r="B2887" t="s">
        <v>2898</v>
      </c>
      <c r="C2887">
        <v>2</v>
      </c>
      <c r="D2887" t="s">
        <v>2948</v>
      </c>
      <c r="E2887" t="s">
        <v>2954</v>
      </c>
      <c r="F2887" t="s">
        <v>5654</v>
      </c>
      <c r="G2887" s="2">
        <v>45555</v>
      </c>
      <c r="H2887" s="2">
        <v>45558</v>
      </c>
      <c r="I2887" t="s">
        <v>5760</v>
      </c>
      <c r="J2887" t="s">
        <v>5772</v>
      </c>
      <c r="K2887">
        <v>309849.19</v>
      </c>
      <c r="L2887" t="s">
        <v>5775</v>
      </c>
      <c r="M2887">
        <v>3</v>
      </c>
    </row>
    <row r="2888" spans="1:13" x14ac:dyDescent="0.25">
      <c r="A2888">
        <v>2887</v>
      </c>
      <c r="B2888" t="s">
        <v>2899</v>
      </c>
      <c r="C2888">
        <v>25</v>
      </c>
      <c r="D2888" t="s">
        <v>2947</v>
      </c>
      <c r="E2888" t="s">
        <v>2955</v>
      </c>
      <c r="F2888" t="s">
        <v>5655</v>
      </c>
      <c r="G2888" s="2">
        <v>45848</v>
      </c>
      <c r="H2888" s="2">
        <v>45861</v>
      </c>
      <c r="I2888" t="s">
        <v>5762</v>
      </c>
      <c r="J2888" t="s">
        <v>5768</v>
      </c>
      <c r="K2888">
        <v>490760.65</v>
      </c>
      <c r="L2888" t="s">
        <v>5775</v>
      </c>
      <c r="M2888">
        <v>13</v>
      </c>
    </row>
    <row r="2889" spans="1:13" x14ac:dyDescent="0.25">
      <c r="A2889">
        <v>2888</v>
      </c>
      <c r="B2889" t="s">
        <v>2900</v>
      </c>
      <c r="C2889">
        <v>82</v>
      </c>
      <c r="D2889" t="s">
        <v>2947</v>
      </c>
      <c r="E2889" t="s">
        <v>2954</v>
      </c>
      <c r="F2889" t="s">
        <v>5656</v>
      </c>
      <c r="G2889" s="2">
        <v>45566</v>
      </c>
      <c r="H2889" s="2">
        <v>45572</v>
      </c>
      <c r="I2889" t="s">
        <v>5766</v>
      </c>
      <c r="J2889" t="s">
        <v>5768</v>
      </c>
      <c r="K2889">
        <v>43404.77</v>
      </c>
      <c r="L2889" t="s">
        <v>5775</v>
      </c>
      <c r="M2889">
        <v>6</v>
      </c>
    </row>
    <row r="2890" spans="1:13" x14ac:dyDescent="0.25">
      <c r="A2890">
        <v>2889</v>
      </c>
      <c r="B2890" t="s">
        <v>2901</v>
      </c>
      <c r="C2890">
        <v>53</v>
      </c>
      <c r="D2890" t="s">
        <v>2947</v>
      </c>
      <c r="E2890" t="s">
        <v>2952</v>
      </c>
      <c r="F2890" t="s">
        <v>5657</v>
      </c>
      <c r="G2890" s="2">
        <v>45749</v>
      </c>
      <c r="H2890" s="2">
        <v>45750</v>
      </c>
      <c r="I2890" t="s">
        <v>5762</v>
      </c>
      <c r="J2890" t="s">
        <v>5772</v>
      </c>
      <c r="K2890">
        <v>192700.56</v>
      </c>
      <c r="L2890" t="s">
        <v>5774</v>
      </c>
      <c r="M2890">
        <v>1</v>
      </c>
    </row>
    <row r="2891" spans="1:13" x14ac:dyDescent="0.25">
      <c r="A2891">
        <v>2890</v>
      </c>
      <c r="B2891" t="s">
        <v>2902</v>
      </c>
      <c r="C2891">
        <v>59</v>
      </c>
      <c r="D2891" t="s">
        <v>2948</v>
      </c>
      <c r="E2891" t="s">
        <v>2949</v>
      </c>
      <c r="F2891" t="s">
        <v>5658</v>
      </c>
      <c r="G2891" s="2">
        <v>45812</v>
      </c>
      <c r="H2891" s="2">
        <v>45823</v>
      </c>
      <c r="I2891" t="s">
        <v>5759</v>
      </c>
      <c r="J2891" t="s">
        <v>5769</v>
      </c>
      <c r="K2891">
        <v>93220.32</v>
      </c>
      <c r="L2891" t="s">
        <v>5773</v>
      </c>
      <c r="M2891">
        <v>11</v>
      </c>
    </row>
    <row r="2892" spans="1:13" x14ac:dyDescent="0.25">
      <c r="A2892">
        <v>2891</v>
      </c>
      <c r="B2892" t="s">
        <v>2903</v>
      </c>
      <c r="C2892">
        <v>60</v>
      </c>
      <c r="D2892" t="s">
        <v>2947</v>
      </c>
      <c r="E2892" t="s">
        <v>2950</v>
      </c>
      <c r="F2892" t="s">
        <v>5659</v>
      </c>
      <c r="G2892" s="2">
        <v>45728</v>
      </c>
      <c r="H2892" s="2">
        <v>45729</v>
      </c>
      <c r="I2892" t="s">
        <v>5762</v>
      </c>
      <c r="J2892" t="s">
        <v>5771</v>
      </c>
      <c r="K2892">
        <v>449973.95</v>
      </c>
      <c r="L2892" t="s">
        <v>5774</v>
      </c>
      <c r="M2892">
        <v>1</v>
      </c>
    </row>
    <row r="2893" spans="1:13" x14ac:dyDescent="0.25">
      <c r="A2893">
        <v>2892</v>
      </c>
      <c r="B2893" t="s">
        <v>2904</v>
      </c>
      <c r="C2893">
        <v>80</v>
      </c>
      <c r="D2893" t="s">
        <v>2948</v>
      </c>
      <c r="E2893" t="s">
        <v>2950</v>
      </c>
      <c r="F2893" t="s">
        <v>5660</v>
      </c>
      <c r="G2893" s="2">
        <v>45779</v>
      </c>
      <c r="H2893" s="2">
        <v>45792</v>
      </c>
      <c r="I2893" t="s">
        <v>5765</v>
      </c>
      <c r="J2893" t="s">
        <v>5772</v>
      </c>
      <c r="K2893">
        <v>237039.18</v>
      </c>
      <c r="L2893" t="s">
        <v>5775</v>
      </c>
      <c r="M2893">
        <v>13</v>
      </c>
    </row>
    <row r="2894" spans="1:13" x14ac:dyDescent="0.25">
      <c r="A2894">
        <v>2893</v>
      </c>
      <c r="B2894" t="s">
        <v>2905</v>
      </c>
      <c r="C2894">
        <v>82</v>
      </c>
      <c r="D2894" t="s">
        <v>2948</v>
      </c>
      <c r="E2894" t="s">
        <v>2950</v>
      </c>
      <c r="F2894" t="s">
        <v>5661</v>
      </c>
      <c r="G2894" s="2">
        <v>45681</v>
      </c>
      <c r="H2894" s="2">
        <v>45696</v>
      </c>
      <c r="I2894" t="s">
        <v>5765</v>
      </c>
      <c r="J2894" t="s">
        <v>5770</v>
      </c>
      <c r="K2894">
        <v>347502.69</v>
      </c>
      <c r="L2894" t="s">
        <v>5775</v>
      </c>
      <c r="M2894">
        <v>15</v>
      </c>
    </row>
    <row r="2895" spans="1:13" x14ac:dyDescent="0.25">
      <c r="A2895">
        <v>2894</v>
      </c>
      <c r="B2895" t="s">
        <v>2906</v>
      </c>
      <c r="C2895">
        <v>35</v>
      </c>
      <c r="D2895" t="s">
        <v>2947</v>
      </c>
      <c r="E2895" t="s">
        <v>2950</v>
      </c>
      <c r="F2895" t="s">
        <v>5662</v>
      </c>
      <c r="G2895" s="2">
        <v>45573</v>
      </c>
      <c r="H2895" s="2">
        <v>45581</v>
      </c>
      <c r="I2895" t="s">
        <v>5760</v>
      </c>
      <c r="J2895" t="s">
        <v>5770</v>
      </c>
      <c r="K2895">
        <v>376113.93</v>
      </c>
      <c r="L2895" t="s">
        <v>5774</v>
      </c>
      <c r="M2895">
        <v>8</v>
      </c>
    </row>
    <row r="2896" spans="1:13" x14ac:dyDescent="0.25">
      <c r="A2896">
        <v>2895</v>
      </c>
      <c r="B2896" t="s">
        <v>2907</v>
      </c>
      <c r="C2896">
        <v>13</v>
      </c>
      <c r="D2896" t="s">
        <v>2947</v>
      </c>
      <c r="E2896" t="s">
        <v>2953</v>
      </c>
      <c r="F2896" t="s">
        <v>5663</v>
      </c>
      <c r="G2896" s="2">
        <v>45750</v>
      </c>
      <c r="H2896" s="2">
        <v>45762</v>
      </c>
      <c r="I2896" t="s">
        <v>5762</v>
      </c>
      <c r="J2896" t="s">
        <v>5772</v>
      </c>
      <c r="K2896">
        <v>30052.59</v>
      </c>
      <c r="L2896" t="s">
        <v>5775</v>
      </c>
      <c r="M2896">
        <v>12</v>
      </c>
    </row>
    <row r="2897" spans="1:13" x14ac:dyDescent="0.25">
      <c r="A2897">
        <v>2896</v>
      </c>
      <c r="B2897" t="s">
        <v>2908</v>
      </c>
      <c r="C2897">
        <v>76</v>
      </c>
      <c r="D2897" t="s">
        <v>2947</v>
      </c>
      <c r="E2897" t="s">
        <v>2954</v>
      </c>
      <c r="F2897" t="s">
        <v>5664</v>
      </c>
      <c r="G2897" s="2">
        <v>45817</v>
      </c>
      <c r="H2897" s="2">
        <v>45822</v>
      </c>
      <c r="I2897" t="s">
        <v>5767</v>
      </c>
      <c r="J2897" t="s">
        <v>5772</v>
      </c>
      <c r="K2897">
        <v>245028.32</v>
      </c>
      <c r="L2897" t="s">
        <v>5773</v>
      </c>
      <c r="M2897">
        <v>5</v>
      </c>
    </row>
    <row r="2898" spans="1:13" x14ac:dyDescent="0.25">
      <c r="A2898">
        <v>2897</v>
      </c>
      <c r="B2898" t="s">
        <v>2909</v>
      </c>
      <c r="C2898">
        <v>18</v>
      </c>
      <c r="D2898" t="s">
        <v>2947</v>
      </c>
      <c r="E2898" t="s">
        <v>2952</v>
      </c>
      <c r="F2898" t="s">
        <v>945</v>
      </c>
      <c r="G2898" s="2">
        <v>45865</v>
      </c>
      <c r="H2898" s="2">
        <v>45873</v>
      </c>
      <c r="I2898" t="s">
        <v>5759</v>
      </c>
      <c r="J2898" t="s">
        <v>2949</v>
      </c>
      <c r="K2898">
        <v>310633.02</v>
      </c>
      <c r="L2898" t="s">
        <v>5774</v>
      </c>
      <c r="M2898">
        <v>8</v>
      </c>
    </row>
    <row r="2899" spans="1:13" x14ac:dyDescent="0.25">
      <c r="A2899">
        <v>2898</v>
      </c>
      <c r="B2899" t="s">
        <v>2910</v>
      </c>
      <c r="C2899">
        <v>24</v>
      </c>
      <c r="D2899" t="s">
        <v>2947</v>
      </c>
      <c r="E2899" t="s">
        <v>2955</v>
      </c>
      <c r="F2899" t="s">
        <v>5665</v>
      </c>
      <c r="G2899" s="2">
        <v>45838</v>
      </c>
      <c r="H2899" s="2">
        <v>45845</v>
      </c>
      <c r="I2899" t="s">
        <v>5759</v>
      </c>
      <c r="J2899" t="s">
        <v>5770</v>
      </c>
      <c r="K2899">
        <v>415247.44</v>
      </c>
      <c r="L2899" t="s">
        <v>5775</v>
      </c>
      <c r="M2899">
        <v>7</v>
      </c>
    </row>
    <row r="2900" spans="1:13" x14ac:dyDescent="0.25">
      <c r="A2900">
        <v>2899</v>
      </c>
      <c r="B2900" t="s">
        <v>2911</v>
      </c>
      <c r="C2900">
        <v>79</v>
      </c>
      <c r="D2900" t="s">
        <v>2947</v>
      </c>
      <c r="E2900" t="s">
        <v>2954</v>
      </c>
      <c r="F2900" t="s">
        <v>5666</v>
      </c>
      <c r="G2900" s="2">
        <v>45571</v>
      </c>
      <c r="H2900" s="2">
        <v>45585</v>
      </c>
      <c r="I2900" t="s">
        <v>5766</v>
      </c>
      <c r="J2900" t="s">
        <v>5769</v>
      </c>
      <c r="K2900">
        <v>339204.69</v>
      </c>
      <c r="L2900" t="s">
        <v>5775</v>
      </c>
      <c r="M2900">
        <v>14</v>
      </c>
    </row>
    <row r="2901" spans="1:13" x14ac:dyDescent="0.25">
      <c r="A2901">
        <v>2900</v>
      </c>
      <c r="B2901" t="s">
        <v>2912</v>
      </c>
      <c r="C2901">
        <v>84</v>
      </c>
      <c r="D2901" t="s">
        <v>2947</v>
      </c>
      <c r="E2901" t="s">
        <v>2950</v>
      </c>
      <c r="F2901" t="s">
        <v>5667</v>
      </c>
      <c r="G2901" s="2">
        <v>45566</v>
      </c>
      <c r="H2901" s="2">
        <v>45575</v>
      </c>
      <c r="I2901" t="s">
        <v>5762</v>
      </c>
      <c r="J2901" t="s">
        <v>5771</v>
      </c>
      <c r="K2901">
        <v>45136.36</v>
      </c>
      <c r="L2901" t="s">
        <v>5773</v>
      </c>
      <c r="M2901">
        <v>9</v>
      </c>
    </row>
    <row r="2902" spans="1:13" x14ac:dyDescent="0.25">
      <c r="A2902">
        <v>2901</v>
      </c>
      <c r="B2902" t="s">
        <v>2913</v>
      </c>
      <c r="C2902">
        <v>4</v>
      </c>
      <c r="D2902" t="s">
        <v>2948</v>
      </c>
      <c r="E2902" t="s">
        <v>2953</v>
      </c>
      <c r="F2902" t="s">
        <v>5668</v>
      </c>
      <c r="G2902" s="2">
        <v>45701</v>
      </c>
      <c r="H2902" s="2">
        <v>45702</v>
      </c>
      <c r="I2902" t="s">
        <v>5766</v>
      </c>
      <c r="J2902" t="s">
        <v>5770</v>
      </c>
      <c r="K2902">
        <v>371093.14</v>
      </c>
      <c r="L2902" t="s">
        <v>5775</v>
      </c>
      <c r="M2902">
        <v>1</v>
      </c>
    </row>
    <row r="2903" spans="1:13" x14ac:dyDescent="0.25">
      <c r="A2903">
        <v>2902</v>
      </c>
      <c r="B2903" t="s">
        <v>2914</v>
      </c>
      <c r="C2903">
        <v>45</v>
      </c>
      <c r="D2903" t="s">
        <v>2947</v>
      </c>
      <c r="E2903" t="s">
        <v>2953</v>
      </c>
      <c r="F2903" t="s">
        <v>5669</v>
      </c>
      <c r="G2903" s="2">
        <v>45612</v>
      </c>
      <c r="H2903" s="2">
        <v>45619</v>
      </c>
      <c r="I2903" t="s">
        <v>5766</v>
      </c>
      <c r="J2903" t="s">
        <v>5771</v>
      </c>
      <c r="K2903">
        <v>8208.1299999999992</v>
      </c>
      <c r="L2903" t="s">
        <v>5774</v>
      </c>
      <c r="M2903">
        <v>7</v>
      </c>
    </row>
    <row r="2904" spans="1:13" x14ac:dyDescent="0.25">
      <c r="A2904">
        <v>2903</v>
      </c>
      <c r="B2904" t="s">
        <v>2915</v>
      </c>
      <c r="C2904">
        <v>39</v>
      </c>
      <c r="D2904" t="s">
        <v>2948</v>
      </c>
      <c r="E2904" t="s">
        <v>2951</v>
      </c>
      <c r="F2904" t="s">
        <v>5670</v>
      </c>
      <c r="G2904" s="2">
        <v>45712</v>
      </c>
      <c r="H2904" s="2">
        <v>45722</v>
      </c>
      <c r="I2904" t="s">
        <v>5758</v>
      </c>
      <c r="J2904" t="s">
        <v>5770</v>
      </c>
      <c r="K2904">
        <v>63335.62</v>
      </c>
      <c r="L2904" t="s">
        <v>5774</v>
      </c>
      <c r="M2904">
        <v>10</v>
      </c>
    </row>
    <row r="2905" spans="1:13" x14ac:dyDescent="0.25">
      <c r="A2905">
        <v>2904</v>
      </c>
      <c r="B2905" t="s">
        <v>2916</v>
      </c>
      <c r="C2905">
        <v>81</v>
      </c>
      <c r="D2905" t="s">
        <v>2947</v>
      </c>
      <c r="E2905" t="s">
        <v>2953</v>
      </c>
      <c r="F2905" t="s">
        <v>5671</v>
      </c>
      <c r="G2905" s="2">
        <v>45635</v>
      </c>
      <c r="H2905" s="2">
        <v>45645</v>
      </c>
      <c r="I2905" t="s">
        <v>5759</v>
      </c>
      <c r="J2905" t="s">
        <v>5771</v>
      </c>
      <c r="K2905">
        <v>270006.40999999997</v>
      </c>
      <c r="L2905" t="s">
        <v>5775</v>
      </c>
      <c r="M2905">
        <v>10</v>
      </c>
    </row>
    <row r="2906" spans="1:13" x14ac:dyDescent="0.25">
      <c r="A2906">
        <v>2905</v>
      </c>
      <c r="B2906" t="s">
        <v>2917</v>
      </c>
      <c r="C2906">
        <v>88</v>
      </c>
      <c r="D2906" t="s">
        <v>2948</v>
      </c>
      <c r="E2906" t="s">
        <v>2954</v>
      </c>
      <c r="F2906" t="s">
        <v>4819</v>
      </c>
      <c r="G2906" s="2">
        <v>45708</v>
      </c>
      <c r="H2906" s="2">
        <v>45710</v>
      </c>
      <c r="I2906" t="s">
        <v>5761</v>
      </c>
      <c r="J2906" t="s">
        <v>5771</v>
      </c>
      <c r="K2906">
        <v>60120.76</v>
      </c>
      <c r="L2906" t="s">
        <v>5775</v>
      </c>
      <c r="M2906">
        <v>2</v>
      </c>
    </row>
    <row r="2907" spans="1:13" x14ac:dyDescent="0.25">
      <c r="A2907">
        <v>2906</v>
      </c>
      <c r="B2907" t="s">
        <v>2918</v>
      </c>
      <c r="C2907">
        <v>20</v>
      </c>
      <c r="D2907" t="s">
        <v>2948</v>
      </c>
      <c r="E2907" t="s">
        <v>2955</v>
      </c>
      <c r="F2907" t="s">
        <v>5672</v>
      </c>
      <c r="G2907" s="2">
        <v>45845</v>
      </c>
      <c r="H2907" s="2">
        <v>45850</v>
      </c>
      <c r="I2907" t="s">
        <v>5760</v>
      </c>
      <c r="J2907" t="s">
        <v>5769</v>
      </c>
      <c r="K2907">
        <v>486536.25</v>
      </c>
      <c r="L2907" t="s">
        <v>5775</v>
      </c>
      <c r="M2907">
        <v>5</v>
      </c>
    </row>
    <row r="2908" spans="1:13" x14ac:dyDescent="0.25">
      <c r="A2908">
        <v>2907</v>
      </c>
      <c r="B2908" t="s">
        <v>2919</v>
      </c>
      <c r="C2908">
        <v>27</v>
      </c>
      <c r="D2908" t="s">
        <v>2948</v>
      </c>
      <c r="E2908" t="s">
        <v>2954</v>
      </c>
      <c r="F2908" t="s">
        <v>5673</v>
      </c>
      <c r="G2908" s="2">
        <v>45639</v>
      </c>
      <c r="H2908" s="2">
        <v>45645</v>
      </c>
      <c r="I2908" t="s">
        <v>5759</v>
      </c>
      <c r="J2908" t="s">
        <v>5770</v>
      </c>
      <c r="K2908">
        <v>105912.23</v>
      </c>
      <c r="L2908" t="s">
        <v>5773</v>
      </c>
      <c r="M2908">
        <v>6</v>
      </c>
    </row>
    <row r="2909" spans="1:13" x14ac:dyDescent="0.25">
      <c r="A2909">
        <v>2908</v>
      </c>
      <c r="B2909" t="s">
        <v>2920</v>
      </c>
      <c r="C2909">
        <v>81</v>
      </c>
      <c r="D2909" t="s">
        <v>2947</v>
      </c>
      <c r="E2909" t="s">
        <v>2951</v>
      </c>
      <c r="F2909" t="s">
        <v>5674</v>
      </c>
      <c r="G2909" s="2">
        <v>45567</v>
      </c>
      <c r="H2909" s="2">
        <v>45582</v>
      </c>
      <c r="I2909" t="s">
        <v>5766</v>
      </c>
      <c r="J2909" t="s">
        <v>5772</v>
      </c>
      <c r="K2909">
        <v>9755.0300000000007</v>
      </c>
      <c r="L2909" t="s">
        <v>5774</v>
      </c>
      <c r="M2909">
        <v>15</v>
      </c>
    </row>
    <row r="2910" spans="1:13" x14ac:dyDescent="0.25">
      <c r="A2910">
        <v>2909</v>
      </c>
      <c r="B2910" t="s">
        <v>2921</v>
      </c>
      <c r="C2910">
        <v>33</v>
      </c>
      <c r="D2910" t="s">
        <v>2948</v>
      </c>
      <c r="E2910" t="s">
        <v>2952</v>
      </c>
      <c r="F2910" t="s">
        <v>5675</v>
      </c>
      <c r="G2910" s="2">
        <v>45829</v>
      </c>
      <c r="H2910" s="2">
        <v>45844</v>
      </c>
      <c r="I2910" t="s">
        <v>5758</v>
      </c>
      <c r="J2910" t="s">
        <v>5772</v>
      </c>
      <c r="K2910">
        <v>272806.65999999997</v>
      </c>
      <c r="L2910" t="s">
        <v>5775</v>
      </c>
      <c r="M2910">
        <v>15</v>
      </c>
    </row>
    <row r="2911" spans="1:13" x14ac:dyDescent="0.25">
      <c r="A2911">
        <v>2910</v>
      </c>
      <c r="B2911" t="s">
        <v>2922</v>
      </c>
      <c r="C2911">
        <v>3</v>
      </c>
      <c r="D2911" t="s">
        <v>2948</v>
      </c>
      <c r="E2911" t="s">
        <v>2953</v>
      </c>
      <c r="F2911" t="s">
        <v>5676</v>
      </c>
      <c r="G2911" s="2">
        <v>45619</v>
      </c>
      <c r="H2911" s="2">
        <v>45620</v>
      </c>
      <c r="I2911" t="s">
        <v>5764</v>
      </c>
      <c r="J2911" t="s">
        <v>5772</v>
      </c>
      <c r="K2911">
        <v>135874.6</v>
      </c>
      <c r="L2911" t="s">
        <v>5774</v>
      </c>
      <c r="M2911">
        <v>1</v>
      </c>
    </row>
    <row r="2912" spans="1:13" x14ac:dyDescent="0.25">
      <c r="A2912">
        <v>2911</v>
      </c>
      <c r="B2912" t="s">
        <v>2923</v>
      </c>
      <c r="C2912">
        <v>6</v>
      </c>
      <c r="D2912" t="s">
        <v>2947</v>
      </c>
      <c r="E2912" t="s">
        <v>2952</v>
      </c>
      <c r="F2912" t="s">
        <v>5677</v>
      </c>
      <c r="G2912" s="2">
        <v>45880</v>
      </c>
      <c r="H2912" s="2">
        <v>45882</v>
      </c>
      <c r="I2912" t="s">
        <v>5767</v>
      </c>
      <c r="J2912" t="s">
        <v>2949</v>
      </c>
      <c r="K2912">
        <v>331251.44</v>
      </c>
      <c r="L2912" t="s">
        <v>5774</v>
      </c>
      <c r="M2912">
        <v>2</v>
      </c>
    </row>
    <row r="2913" spans="1:13" x14ac:dyDescent="0.25">
      <c r="A2913">
        <v>2912</v>
      </c>
      <c r="B2913" t="s">
        <v>2924</v>
      </c>
      <c r="C2913">
        <v>20</v>
      </c>
      <c r="D2913" t="s">
        <v>2948</v>
      </c>
      <c r="E2913" t="s">
        <v>2951</v>
      </c>
      <c r="F2913" t="s">
        <v>5678</v>
      </c>
      <c r="G2913" s="2">
        <v>45701</v>
      </c>
      <c r="H2913" s="2">
        <v>45703</v>
      </c>
      <c r="I2913" t="s">
        <v>5760</v>
      </c>
      <c r="J2913" t="s">
        <v>5769</v>
      </c>
      <c r="K2913">
        <v>48843.22</v>
      </c>
      <c r="L2913" t="s">
        <v>5774</v>
      </c>
      <c r="M2913">
        <v>2</v>
      </c>
    </row>
    <row r="2914" spans="1:13" x14ac:dyDescent="0.25">
      <c r="A2914">
        <v>2913</v>
      </c>
      <c r="B2914" t="s">
        <v>2925</v>
      </c>
      <c r="C2914">
        <v>33</v>
      </c>
      <c r="D2914" t="s">
        <v>2947</v>
      </c>
      <c r="E2914" t="s">
        <v>2954</v>
      </c>
      <c r="F2914" t="s">
        <v>5679</v>
      </c>
      <c r="G2914" s="2">
        <v>45738</v>
      </c>
      <c r="H2914" s="2">
        <v>45747</v>
      </c>
      <c r="I2914" t="s">
        <v>5763</v>
      </c>
      <c r="J2914" t="s">
        <v>2949</v>
      </c>
      <c r="K2914">
        <v>45800.81</v>
      </c>
      <c r="L2914" t="s">
        <v>5774</v>
      </c>
      <c r="M2914">
        <v>9</v>
      </c>
    </row>
    <row r="2915" spans="1:13" x14ac:dyDescent="0.25">
      <c r="A2915">
        <v>2914</v>
      </c>
      <c r="B2915" t="s">
        <v>2926</v>
      </c>
      <c r="C2915">
        <v>90</v>
      </c>
      <c r="D2915" t="s">
        <v>2948</v>
      </c>
      <c r="E2915" t="s">
        <v>2952</v>
      </c>
      <c r="F2915" t="s">
        <v>5680</v>
      </c>
      <c r="G2915" s="2">
        <v>45894</v>
      </c>
      <c r="H2915" s="2">
        <v>45895</v>
      </c>
      <c r="I2915" t="s">
        <v>5760</v>
      </c>
      <c r="J2915" t="s">
        <v>5770</v>
      </c>
      <c r="K2915">
        <v>374420.3</v>
      </c>
      <c r="L2915" t="s">
        <v>5774</v>
      </c>
      <c r="M2915">
        <v>1</v>
      </c>
    </row>
    <row r="2916" spans="1:13" x14ac:dyDescent="0.25">
      <c r="A2916">
        <v>2915</v>
      </c>
      <c r="B2916" t="s">
        <v>2927</v>
      </c>
      <c r="C2916">
        <v>87</v>
      </c>
      <c r="D2916" t="s">
        <v>2948</v>
      </c>
      <c r="E2916" t="s">
        <v>2950</v>
      </c>
      <c r="F2916" t="s">
        <v>5681</v>
      </c>
      <c r="G2916" s="2">
        <v>45813</v>
      </c>
      <c r="H2916" s="2">
        <v>45814</v>
      </c>
      <c r="I2916" t="s">
        <v>5767</v>
      </c>
      <c r="J2916" t="s">
        <v>5772</v>
      </c>
      <c r="K2916">
        <v>133153.93</v>
      </c>
      <c r="L2916" t="s">
        <v>5773</v>
      </c>
      <c r="M2916">
        <v>1</v>
      </c>
    </row>
    <row r="2917" spans="1:13" x14ac:dyDescent="0.25">
      <c r="A2917">
        <v>2916</v>
      </c>
      <c r="B2917" t="s">
        <v>2928</v>
      </c>
      <c r="C2917">
        <v>25</v>
      </c>
      <c r="D2917" t="s">
        <v>2948</v>
      </c>
      <c r="E2917" t="s">
        <v>2955</v>
      </c>
      <c r="F2917" t="s">
        <v>5682</v>
      </c>
      <c r="G2917" s="2">
        <v>45608</v>
      </c>
      <c r="H2917" s="2">
        <v>45621</v>
      </c>
      <c r="I2917" t="s">
        <v>5758</v>
      </c>
      <c r="J2917" t="s">
        <v>2949</v>
      </c>
      <c r="K2917">
        <v>238029.11</v>
      </c>
      <c r="L2917" t="s">
        <v>5773</v>
      </c>
      <c r="M2917">
        <v>13</v>
      </c>
    </row>
    <row r="2918" spans="1:13" x14ac:dyDescent="0.25">
      <c r="A2918">
        <v>2917</v>
      </c>
      <c r="B2918" t="s">
        <v>2929</v>
      </c>
      <c r="C2918">
        <v>34</v>
      </c>
      <c r="D2918" t="s">
        <v>2948</v>
      </c>
      <c r="E2918" t="s">
        <v>2951</v>
      </c>
      <c r="F2918" t="s">
        <v>5683</v>
      </c>
      <c r="G2918" s="2">
        <v>45777</v>
      </c>
      <c r="H2918" s="2">
        <v>45792</v>
      </c>
      <c r="I2918" t="s">
        <v>5765</v>
      </c>
      <c r="J2918" t="s">
        <v>5770</v>
      </c>
      <c r="K2918">
        <v>340956.04</v>
      </c>
      <c r="L2918" t="s">
        <v>5773</v>
      </c>
      <c r="M2918">
        <v>15</v>
      </c>
    </row>
    <row r="2919" spans="1:13" x14ac:dyDescent="0.25">
      <c r="A2919">
        <v>2918</v>
      </c>
      <c r="B2919" t="s">
        <v>2930</v>
      </c>
      <c r="C2919">
        <v>75</v>
      </c>
      <c r="D2919" t="s">
        <v>2948</v>
      </c>
      <c r="E2919" t="s">
        <v>2954</v>
      </c>
      <c r="F2919" t="s">
        <v>5684</v>
      </c>
      <c r="G2919" s="2">
        <v>45570</v>
      </c>
      <c r="H2919" s="2">
        <v>45584</v>
      </c>
      <c r="I2919" t="s">
        <v>5762</v>
      </c>
      <c r="J2919" t="s">
        <v>5770</v>
      </c>
      <c r="K2919">
        <v>205231.53</v>
      </c>
      <c r="L2919" t="s">
        <v>5775</v>
      </c>
      <c r="M2919">
        <v>14</v>
      </c>
    </row>
    <row r="2920" spans="1:13" x14ac:dyDescent="0.25">
      <c r="A2920">
        <v>2919</v>
      </c>
      <c r="B2920" t="s">
        <v>2931</v>
      </c>
      <c r="C2920">
        <v>44</v>
      </c>
      <c r="D2920" t="s">
        <v>2948</v>
      </c>
      <c r="E2920" t="s">
        <v>2951</v>
      </c>
      <c r="F2920" t="s">
        <v>5685</v>
      </c>
      <c r="G2920" s="2">
        <v>45643</v>
      </c>
      <c r="H2920" s="2">
        <v>45654</v>
      </c>
      <c r="I2920" t="s">
        <v>5766</v>
      </c>
      <c r="J2920" t="s">
        <v>5769</v>
      </c>
      <c r="K2920">
        <v>283583.83</v>
      </c>
      <c r="L2920" t="s">
        <v>5774</v>
      </c>
      <c r="M2920">
        <v>11</v>
      </c>
    </row>
    <row r="2921" spans="1:13" x14ac:dyDescent="0.25">
      <c r="A2921">
        <v>2920</v>
      </c>
      <c r="B2921" t="s">
        <v>2932</v>
      </c>
      <c r="C2921">
        <v>1</v>
      </c>
      <c r="D2921" t="s">
        <v>2948</v>
      </c>
      <c r="E2921" t="s">
        <v>2950</v>
      </c>
      <c r="F2921" t="s">
        <v>5686</v>
      </c>
      <c r="G2921" s="2">
        <v>45662</v>
      </c>
      <c r="H2921" s="2">
        <v>45671</v>
      </c>
      <c r="I2921" t="s">
        <v>5766</v>
      </c>
      <c r="J2921" t="s">
        <v>5770</v>
      </c>
      <c r="K2921">
        <v>240070.84</v>
      </c>
      <c r="L2921" t="s">
        <v>5773</v>
      </c>
      <c r="M2921">
        <v>9</v>
      </c>
    </row>
    <row r="2922" spans="1:13" x14ac:dyDescent="0.25">
      <c r="A2922">
        <v>2921</v>
      </c>
      <c r="B2922" t="s">
        <v>2933</v>
      </c>
      <c r="C2922">
        <v>1</v>
      </c>
      <c r="D2922" t="s">
        <v>2947</v>
      </c>
      <c r="E2922" t="s">
        <v>2955</v>
      </c>
      <c r="F2922" t="s">
        <v>5687</v>
      </c>
      <c r="G2922" s="2">
        <v>45626</v>
      </c>
      <c r="H2922" s="2">
        <v>45632</v>
      </c>
      <c r="I2922" t="s">
        <v>5763</v>
      </c>
      <c r="J2922" t="s">
        <v>2949</v>
      </c>
      <c r="K2922">
        <v>462705.08</v>
      </c>
      <c r="L2922" t="s">
        <v>5774</v>
      </c>
      <c r="M2922">
        <v>6</v>
      </c>
    </row>
    <row r="2923" spans="1:13" x14ac:dyDescent="0.25">
      <c r="A2923">
        <v>2922</v>
      </c>
      <c r="B2923" t="s">
        <v>2934</v>
      </c>
      <c r="C2923">
        <v>59</v>
      </c>
      <c r="D2923" t="s">
        <v>2947</v>
      </c>
      <c r="E2923" t="s">
        <v>2949</v>
      </c>
      <c r="F2923" t="s">
        <v>5688</v>
      </c>
      <c r="G2923" s="2">
        <v>45720</v>
      </c>
      <c r="H2923" s="2">
        <v>45726</v>
      </c>
      <c r="I2923" t="s">
        <v>5762</v>
      </c>
      <c r="J2923" t="s">
        <v>5771</v>
      </c>
      <c r="K2923">
        <v>187681.3</v>
      </c>
      <c r="L2923" t="s">
        <v>5774</v>
      </c>
      <c r="M2923">
        <v>6</v>
      </c>
    </row>
    <row r="2924" spans="1:13" x14ac:dyDescent="0.25">
      <c r="A2924">
        <v>2923</v>
      </c>
      <c r="B2924" t="s">
        <v>2935</v>
      </c>
      <c r="C2924">
        <v>5</v>
      </c>
      <c r="D2924" t="s">
        <v>2948</v>
      </c>
      <c r="E2924" t="s">
        <v>2951</v>
      </c>
      <c r="F2924" t="s">
        <v>5689</v>
      </c>
      <c r="G2924" s="2">
        <v>45832</v>
      </c>
      <c r="H2924" s="2">
        <v>45844</v>
      </c>
      <c r="I2924" t="s">
        <v>5758</v>
      </c>
      <c r="J2924" t="s">
        <v>5769</v>
      </c>
      <c r="K2924">
        <v>402482.13</v>
      </c>
      <c r="L2924" t="s">
        <v>5773</v>
      </c>
      <c r="M2924">
        <v>12</v>
      </c>
    </row>
    <row r="2925" spans="1:13" x14ac:dyDescent="0.25">
      <c r="A2925">
        <v>2924</v>
      </c>
      <c r="B2925" t="s">
        <v>2936</v>
      </c>
      <c r="C2925">
        <v>73</v>
      </c>
      <c r="D2925" t="s">
        <v>2948</v>
      </c>
      <c r="E2925" t="s">
        <v>2954</v>
      </c>
      <c r="F2925" t="s">
        <v>5690</v>
      </c>
      <c r="G2925" s="2">
        <v>45717</v>
      </c>
      <c r="H2925" s="2">
        <v>45730</v>
      </c>
      <c r="I2925" t="s">
        <v>5761</v>
      </c>
      <c r="J2925" t="s">
        <v>5769</v>
      </c>
      <c r="K2925">
        <v>349550.27</v>
      </c>
      <c r="L2925" t="s">
        <v>5775</v>
      </c>
      <c r="M2925">
        <v>13</v>
      </c>
    </row>
    <row r="2926" spans="1:13" x14ac:dyDescent="0.25">
      <c r="A2926">
        <v>2925</v>
      </c>
      <c r="B2926" t="s">
        <v>2937</v>
      </c>
      <c r="C2926">
        <v>8</v>
      </c>
      <c r="D2926" t="s">
        <v>2947</v>
      </c>
      <c r="E2926" t="s">
        <v>2952</v>
      </c>
      <c r="F2926" t="s">
        <v>5691</v>
      </c>
      <c r="G2926" s="2">
        <v>45755</v>
      </c>
      <c r="H2926" s="2">
        <v>45763</v>
      </c>
      <c r="I2926" t="s">
        <v>5761</v>
      </c>
      <c r="J2926" t="s">
        <v>5771</v>
      </c>
      <c r="K2926">
        <v>334337.75</v>
      </c>
      <c r="L2926" t="s">
        <v>5775</v>
      </c>
      <c r="M2926">
        <v>8</v>
      </c>
    </row>
    <row r="2927" spans="1:13" x14ac:dyDescent="0.25">
      <c r="A2927">
        <v>2926</v>
      </c>
      <c r="B2927" t="s">
        <v>2938</v>
      </c>
      <c r="C2927">
        <v>3</v>
      </c>
      <c r="D2927" t="s">
        <v>2948</v>
      </c>
      <c r="E2927" t="s">
        <v>2954</v>
      </c>
      <c r="F2927" t="s">
        <v>5692</v>
      </c>
      <c r="G2927" s="2">
        <v>45697</v>
      </c>
      <c r="H2927" s="2">
        <v>45712</v>
      </c>
      <c r="I2927" t="s">
        <v>5765</v>
      </c>
      <c r="J2927" t="s">
        <v>5770</v>
      </c>
      <c r="K2927">
        <v>158528.65</v>
      </c>
      <c r="L2927" t="s">
        <v>5773</v>
      </c>
      <c r="M2927">
        <v>15</v>
      </c>
    </row>
    <row r="2928" spans="1:13" x14ac:dyDescent="0.25">
      <c r="A2928">
        <v>2927</v>
      </c>
      <c r="B2928" t="s">
        <v>2939</v>
      </c>
      <c r="C2928">
        <v>17</v>
      </c>
      <c r="D2928" t="s">
        <v>2948</v>
      </c>
      <c r="E2928" t="s">
        <v>2954</v>
      </c>
      <c r="F2928" t="s">
        <v>419</v>
      </c>
      <c r="G2928" s="2">
        <v>45728</v>
      </c>
      <c r="H2928" s="2">
        <v>45733</v>
      </c>
      <c r="I2928" t="s">
        <v>5760</v>
      </c>
      <c r="J2928" t="s">
        <v>5768</v>
      </c>
      <c r="K2928">
        <v>445306.12</v>
      </c>
      <c r="L2928" t="s">
        <v>5774</v>
      </c>
      <c r="M2928">
        <v>5</v>
      </c>
    </row>
    <row r="2929" spans="1:13" x14ac:dyDescent="0.25">
      <c r="A2929">
        <v>2928</v>
      </c>
      <c r="B2929" t="s">
        <v>2940</v>
      </c>
      <c r="C2929">
        <v>14</v>
      </c>
      <c r="D2929" t="s">
        <v>2948</v>
      </c>
      <c r="E2929" t="s">
        <v>2949</v>
      </c>
      <c r="F2929" t="s">
        <v>5693</v>
      </c>
      <c r="G2929" s="2">
        <v>45823</v>
      </c>
      <c r="H2929" s="2">
        <v>45837</v>
      </c>
      <c r="I2929" t="s">
        <v>5760</v>
      </c>
      <c r="J2929" t="s">
        <v>5770</v>
      </c>
      <c r="K2929">
        <v>277865.65999999997</v>
      </c>
      <c r="L2929" t="s">
        <v>5774</v>
      </c>
      <c r="M2929">
        <v>14</v>
      </c>
    </row>
    <row r="2930" spans="1:13" x14ac:dyDescent="0.25">
      <c r="A2930">
        <v>2929</v>
      </c>
      <c r="B2930" t="s">
        <v>2941</v>
      </c>
      <c r="C2930">
        <v>52</v>
      </c>
      <c r="D2930" t="s">
        <v>2947</v>
      </c>
      <c r="E2930" t="s">
        <v>2955</v>
      </c>
      <c r="F2930" t="s">
        <v>5694</v>
      </c>
      <c r="G2930" s="2">
        <v>45680</v>
      </c>
      <c r="H2930" s="2">
        <v>45686</v>
      </c>
      <c r="I2930" t="s">
        <v>5767</v>
      </c>
      <c r="J2930" t="s">
        <v>5771</v>
      </c>
      <c r="K2930">
        <v>496333.97</v>
      </c>
      <c r="L2930" t="s">
        <v>5773</v>
      </c>
      <c r="M2930">
        <v>6</v>
      </c>
    </row>
    <row r="2931" spans="1:13" x14ac:dyDescent="0.25">
      <c r="A2931">
        <v>2930</v>
      </c>
      <c r="B2931" t="s">
        <v>2942</v>
      </c>
      <c r="C2931">
        <v>54</v>
      </c>
      <c r="D2931" t="s">
        <v>2948</v>
      </c>
      <c r="E2931" t="s">
        <v>2952</v>
      </c>
      <c r="F2931" t="s">
        <v>5695</v>
      </c>
      <c r="G2931" s="2">
        <v>45588</v>
      </c>
      <c r="H2931" s="2">
        <v>45602</v>
      </c>
      <c r="I2931" t="s">
        <v>5758</v>
      </c>
      <c r="J2931" t="s">
        <v>5771</v>
      </c>
      <c r="K2931">
        <v>356599.94</v>
      </c>
      <c r="L2931" t="s">
        <v>5773</v>
      </c>
      <c r="M2931">
        <v>14</v>
      </c>
    </row>
    <row r="2932" spans="1:13" x14ac:dyDescent="0.25">
      <c r="A2932">
        <v>2931</v>
      </c>
      <c r="B2932" t="s">
        <v>2943</v>
      </c>
      <c r="C2932">
        <v>72</v>
      </c>
      <c r="D2932" t="s">
        <v>2948</v>
      </c>
      <c r="E2932" t="s">
        <v>2949</v>
      </c>
      <c r="F2932" t="s">
        <v>5696</v>
      </c>
      <c r="G2932" s="2">
        <v>45553</v>
      </c>
      <c r="H2932" s="2">
        <v>45555</v>
      </c>
      <c r="I2932" t="s">
        <v>5767</v>
      </c>
      <c r="J2932" t="s">
        <v>5770</v>
      </c>
      <c r="K2932">
        <v>470806.09</v>
      </c>
      <c r="L2932" t="s">
        <v>5775</v>
      </c>
      <c r="M2932">
        <v>2</v>
      </c>
    </row>
    <row r="2933" spans="1:13" x14ac:dyDescent="0.25">
      <c r="A2933">
        <v>2932</v>
      </c>
      <c r="B2933" t="s">
        <v>2944</v>
      </c>
      <c r="C2933">
        <v>54</v>
      </c>
      <c r="D2933" t="s">
        <v>2948</v>
      </c>
      <c r="E2933" t="s">
        <v>2953</v>
      </c>
      <c r="F2933" t="s">
        <v>5697</v>
      </c>
      <c r="G2933" s="2">
        <v>45570</v>
      </c>
      <c r="H2933" s="2">
        <v>45573</v>
      </c>
      <c r="I2933" t="s">
        <v>5761</v>
      </c>
      <c r="J2933" t="s">
        <v>5772</v>
      </c>
      <c r="K2933">
        <v>199230.93</v>
      </c>
      <c r="L2933" t="s">
        <v>5773</v>
      </c>
      <c r="M2933">
        <v>3</v>
      </c>
    </row>
    <row r="2934" spans="1:13" x14ac:dyDescent="0.25">
      <c r="A2934">
        <v>2933</v>
      </c>
      <c r="B2934" t="s">
        <v>2945</v>
      </c>
      <c r="C2934">
        <v>56</v>
      </c>
      <c r="D2934" t="s">
        <v>2947</v>
      </c>
      <c r="E2934" t="s">
        <v>2954</v>
      </c>
      <c r="F2934" t="s">
        <v>5698</v>
      </c>
      <c r="G2934" s="2">
        <v>45767</v>
      </c>
      <c r="H2934" s="2">
        <v>45780</v>
      </c>
      <c r="I2934" t="s">
        <v>5758</v>
      </c>
      <c r="J2934" t="s">
        <v>5769</v>
      </c>
      <c r="K2934">
        <v>488936.1</v>
      </c>
      <c r="L2934" t="s">
        <v>5774</v>
      </c>
      <c r="M2934">
        <v>13</v>
      </c>
    </row>
    <row r="2935" spans="1:13" x14ac:dyDescent="0.25">
      <c r="A2935">
        <v>2934</v>
      </c>
      <c r="B2935" t="s">
        <v>2946</v>
      </c>
      <c r="C2935">
        <v>90</v>
      </c>
      <c r="D2935" t="s">
        <v>2948</v>
      </c>
      <c r="E2935" t="s">
        <v>2955</v>
      </c>
      <c r="F2935" t="s">
        <v>5699</v>
      </c>
      <c r="G2935" s="2">
        <v>45699</v>
      </c>
      <c r="H2935" s="2">
        <v>45710</v>
      </c>
      <c r="I2935" t="s">
        <v>5764</v>
      </c>
      <c r="J2935" t="s">
        <v>5772</v>
      </c>
      <c r="K2935">
        <v>256424.8</v>
      </c>
      <c r="L2935" t="s">
        <v>5775</v>
      </c>
      <c r="M2935">
        <v>11</v>
      </c>
    </row>
    <row r="2936" spans="1:13" x14ac:dyDescent="0.25">
      <c r="A2936">
        <v>2935</v>
      </c>
      <c r="C2936">
        <v>78</v>
      </c>
      <c r="D2936" t="s">
        <v>2947</v>
      </c>
      <c r="E2936" t="s">
        <v>2953</v>
      </c>
      <c r="F2936" t="s">
        <v>5700</v>
      </c>
      <c r="G2936" s="2">
        <v>45592</v>
      </c>
      <c r="H2936" s="2">
        <v>45607</v>
      </c>
      <c r="I2936" t="s">
        <v>5759</v>
      </c>
      <c r="J2936" t="s">
        <v>5769</v>
      </c>
      <c r="K2936">
        <v>162745.32</v>
      </c>
      <c r="L2936" t="s">
        <v>5775</v>
      </c>
      <c r="M2936">
        <v>15</v>
      </c>
    </row>
    <row r="2937" spans="1:13" x14ac:dyDescent="0.25">
      <c r="A2937">
        <v>2936</v>
      </c>
      <c r="C2937">
        <v>53</v>
      </c>
      <c r="D2937" t="s">
        <v>2948</v>
      </c>
      <c r="E2937" t="s">
        <v>2951</v>
      </c>
      <c r="F2937" t="s">
        <v>5701</v>
      </c>
      <c r="G2937" s="2">
        <v>45909</v>
      </c>
      <c r="H2937" s="2">
        <v>45913</v>
      </c>
      <c r="I2937" t="s">
        <v>5761</v>
      </c>
      <c r="J2937" t="s">
        <v>5769</v>
      </c>
      <c r="K2937">
        <v>116095.8</v>
      </c>
      <c r="L2937" t="s">
        <v>5775</v>
      </c>
      <c r="M2937">
        <v>4</v>
      </c>
    </row>
    <row r="2938" spans="1:13" x14ac:dyDescent="0.25">
      <c r="A2938">
        <v>2937</v>
      </c>
      <c r="C2938">
        <v>33</v>
      </c>
      <c r="D2938" t="s">
        <v>2948</v>
      </c>
      <c r="E2938" t="s">
        <v>2954</v>
      </c>
      <c r="F2938" t="s">
        <v>5702</v>
      </c>
      <c r="G2938" s="2">
        <v>45701</v>
      </c>
      <c r="H2938" s="2">
        <v>45709</v>
      </c>
      <c r="I2938" t="s">
        <v>5767</v>
      </c>
      <c r="J2938" t="s">
        <v>5772</v>
      </c>
      <c r="K2938">
        <v>158083.82999999999</v>
      </c>
      <c r="L2938" t="s">
        <v>5773</v>
      </c>
      <c r="M2938">
        <v>8</v>
      </c>
    </row>
    <row r="2939" spans="1:13" x14ac:dyDescent="0.25">
      <c r="A2939">
        <v>2938</v>
      </c>
      <c r="C2939">
        <v>50</v>
      </c>
      <c r="D2939" t="s">
        <v>2948</v>
      </c>
      <c r="E2939" t="s">
        <v>2954</v>
      </c>
      <c r="F2939" t="s">
        <v>5703</v>
      </c>
      <c r="G2939" s="2">
        <v>45610</v>
      </c>
      <c r="H2939" s="2">
        <v>45625</v>
      </c>
      <c r="I2939" t="s">
        <v>5758</v>
      </c>
      <c r="J2939" t="s">
        <v>2949</v>
      </c>
      <c r="K2939">
        <v>30981.26</v>
      </c>
      <c r="L2939" t="s">
        <v>5773</v>
      </c>
      <c r="M2939">
        <v>15</v>
      </c>
    </row>
    <row r="2940" spans="1:13" x14ac:dyDescent="0.25">
      <c r="A2940">
        <v>2939</v>
      </c>
      <c r="C2940">
        <v>20</v>
      </c>
      <c r="D2940" t="s">
        <v>2948</v>
      </c>
      <c r="E2940" t="s">
        <v>2950</v>
      </c>
      <c r="F2940" t="s">
        <v>5704</v>
      </c>
      <c r="G2940" s="2">
        <v>45818</v>
      </c>
      <c r="H2940" s="2">
        <v>45833</v>
      </c>
      <c r="I2940" t="s">
        <v>5758</v>
      </c>
      <c r="J2940" t="s">
        <v>2949</v>
      </c>
      <c r="K2940">
        <v>277093.69</v>
      </c>
      <c r="L2940" t="s">
        <v>5773</v>
      </c>
      <c r="M2940">
        <v>15</v>
      </c>
    </row>
    <row r="2941" spans="1:13" x14ac:dyDescent="0.25">
      <c r="A2941">
        <v>2940</v>
      </c>
      <c r="C2941">
        <v>33</v>
      </c>
      <c r="D2941" t="s">
        <v>2948</v>
      </c>
      <c r="E2941" t="s">
        <v>2954</v>
      </c>
      <c r="F2941" t="s">
        <v>5705</v>
      </c>
      <c r="G2941" s="2">
        <v>45879</v>
      </c>
      <c r="H2941" s="2">
        <v>45890</v>
      </c>
      <c r="I2941" t="s">
        <v>5763</v>
      </c>
      <c r="J2941" t="s">
        <v>5768</v>
      </c>
      <c r="K2941">
        <v>353022.94</v>
      </c>
      <c r="L2941" t="s">
        <v>5773</v>
      </c>
      <c r="M2941">
        <v>11</v>
      </c>
    </row>
    <row r="2942" spans="1:13" x14ac:dyDescent="0.25">
      <c r="A2942">
        <v>2941</v>
      </c>
      <c r="C2942">
        <v>34</v>
      </c>
      <c r="D2942" t="s">
        <v>2948</v>
      </c>
      <c r="E2942" t="s">
        <v>2949</v>
      </c>
      <c r="F2942" t="s">
        <v>1711</v>
      </c>
      <c r="G2942" s="2">
        <v>45877</v>
      </c>
      <c r="H2942" s="2">
        <v>45892</v>
      </c>
      <c r="I2942" t="s">
        <v>5765</v>
      </c>
      <c r="J2942" t="s">
        <v>2949</v>
      </c>
      <c r="K2942">
        <v>314367.38</v>
      </c>
      <c r="L2942" t="s">
        <v>5775</v>
      </c>
      <c r="M2942">
        <v>15</v>
      </c>
    </row>
    <row r="2943" spans="1:13" x14ac:dyDescent="0.25">
      <c r="A2943">
        <v>2942</v>
      </c>
      <c r="C2943">
        <v>90</v>
      </c>
      <c r="D2943" t="s">
        <v>2947</v>
      </c>
      <c r="E2943" t="s">
        <v>2955</v>
      </c>
      <c r="F2943" t="s">
        <v>5706</v>
      </c>
      <c r="G2943" s="2">
        <v>45780</v>
      </c>
      <c r="H2943" s="2">
        <v>45790</v>
      </c>
      <c r="I2943" t="s">
        <v>5766</v>
      </c>
      <c r="J2943" t="s">
        <v>5772</v>
      </c>
      <c r="K2943">
        <v>191893.19</v>
      </c>
      <c r="L2943" t="s">
        <v>5773</v>
      </c>
      <c r="M2943">
        <v>10</v>
      </c>
    </row>
    <row r="2944" spans="1:13" x14ac:dyDescent="0.25">
      <c r="A2944">
        <v>2943</v>
      </c>
      <c r="C2944">
        <v>3</v>
      </c>
      <c r="D2944" t="s">
        <v>2948</v>
      </c>
      <c r="E2944" t="s">
        <v>2950</v>
      </c>
      <c r="F2944" t="s">
        <v>5707</v>
      </c>
      <c r="G2944" s="2">
        <v>45673</v>
      </c>
      <c r="H2944" s="2">
        <v>45682</v>
      </c>
      <c r="I2944" t="s">
        <v>5761</v>
      </c>
      <c r="J2944" t="s">
        <v>5770</v>
      </c>
      <c r="K2944">
        <v>441131.38</v>
      </c>
      <c r="L2944" t="s">
        <v>5773</v>
      </c>
      <c r="M2944">
        <v>9</v>
      </c>
    </row>
    <row r="2945" spans="1:13" x14ac:dyDescent="0.25">
      <c r="A2945">
        <v>2944</v>
      </c>
      <c r="C2945">
        <v>22</v>
      </c>
      <c r="D2945" t="s">
        <v>2948</v>
      </c>
      <c r="E2945" t="s">
        <v>2953</v>
      </c>
      <c r="F2945" t="s">
        <v>5708</v>
      </c>
      <c r="G2945" s="2">
        <v>45554</v>
      </c>
      <c r="H2945" s="2">
        <v>45556</v>
      </c>
      <c r="I2945" t="s">
        <v>5767</v>
      </c>
      <c r="J2945" t="s">
        <v>2949</v>
      </c>
      <c r="K2945">
        <v>13045.42</v>
      </c>
      <c r="L2945" t="s">
        <v>5773</v>
      </c>
      <c r="M2945">
        <v>2</v>
      </c>
    </row>
    <row r="2946" spans="1:13" x14ac:dyDescent="0.25">
      <c r="A2946">
        <v>2945</v>
      </c>
      <c r="C2946">
        <v>18</v>
      </c>
      <c r="D2946" t="s">
        <v>2947</v>
      </c>
      <c r="E2946" t="s">
        <v>2954</v>
      </c>
      <c r="F2946" t="s">
        <v>5709</v>
      </c>
      <c r="G2946" s="2">
        <v>45557</v>
      </c>
      <c r="H2946" s="2">
        <v>45561</v>
      </c>
      <c r="I2946" t="s">
        <v>5767</v>
      </c>
      <c r="J2946" t="s">
        <v>2949</v>
      </c>
      <c r="K2946">
        <v>79020.94</v>
      </c>
      <c r="L2946" t="s">
        <v>5774</v>
      </c>
      <c r="M2946">
        <v>4</v>
      </c>
    </row>
    <row r="2947" spans="1:13" x14ac:dyDescent="0.25">
      <c r="A2947">
        <v>2946</v>
      </c>
      <c r="C2947">
        <v>78</v>
      </c>
      <c r="D2947" t="s">
        <v>2948</v>
      </c>
      <c r="E2947" t="s">
        <v>2954</v>
      </c>
      <c r="F2947" t="s">
        <v>5710</v>
      </c>
      <c r="G2947" s="2">
        <v>45609</v>
      </c>
      <c r="H2947" s="2">
        <v>45619</v>
      </c>
      <c r="I2947" t="s">
        <v>5767</v>
      </c>
      <c r="J2947" t="s">
        <v>5769</v>
      </c>
      <c r="K2947">
        <v>376615.1</v>
      </c>
      <c r="L2947" t="s">
        <v>5773</v>
      </c>
      <c r="M2947">
        <v>10</v>
      </c>
    </row>
    <row r="2948" spans="1:13" x14ac:dyDescent="0.25">
      <c r="A2948">
        <v>2947</v>
      </c>
      <c r="C2948">
        <v>66</v>
      </c>
      <c r="D2948" t="s">
        <v>2947</v>
      </c>
      <c r="E2948" t="s">
        <v>2949</v>
      </c>
      <c r="F2948" t="s">
        <v>5711</v>
      </c>
      <c r="G2948" s="2">
        <v>45725</v>
      </c>
      <c r="H2948" s="2">
        <v>45726</v>
      </c>
      <c r="I2948" t="s">
        <v>5763</v>
      </c>
      <c r="J2948" t="s">
        <v>2949</v>
      </c>
      <c r="K2948">
        <v>201630.3</v>
      </c>
      <c r="L2948" t="s">
        <v>5775</v>
      </c>
      <c r="M2948">
        <v>1</v>
      </c>
    </row>
    <row r="2949" spans="1:13" x14ac:dyDescent="0.25">
      <c r="A2949">
        <v>2948</v>
      </c>
      <c r="C2949">
        <v>36</v>
      </c>
      <c r="D2949" t="s">
        <v>2947</v>
      </c>
      <c r="E2949" t="s">
        <v>2950</v>
      </c>
      <c r="F2949" t="s">
        <v>5712</v>
      </c>
      <c r="G2949" s="2">
        <v>45748</v>
      </c>
      <c r="H2949" s="2">
        <v>45761</v>
      </c>
      <c r="I2949" t="s">
        <v>5758</v>
      </c>
      <c r="J2949" t="s">
        <v>5771</v>
      </c>
      <c r="K2949">
        <v>478547.69</v>
      </c>
      <c r="L2949" t="s">
        <v>5775</v>
      </c>
      <c r="M2949">
        <v>13</v>
      </c>
    </row>
    <row r="2950" spans="1:13" x14ac:dyDescent="0.25">
      <c r="A2950">
        <v>2949</v>
      </c>
      <c r="C2950">
        <v>75</v>
      </c>
      <c r="D2950" t="s">
        <v>2947</v>
      </c>
      <c r="E2950" t="s">
        <v>2950</v>
      </c>
      <c r="F2950" t="s">
        <v>5713</v>
      </c>
      <c r="G2950" s="2">
        <v>45680</v>
      </c>
      <c r="H2950" s="2">
        <v>45695</v>
      </c>
      <c r="I2950" t="s">
        <v>5764</v>
      </c>
      <c r="J2950" t="s">
        <v>5771</v>
      </c>
      <c r="K2950">
        <v>498693.37</v>
      </c>
      <c r="L2950" t="s">
        <v>5775</v>
      </c>
      <c r="M2950">
        <v>15</v>
      </c>
    </row>
    <row r="2951" spans="1:13" x14ac:dyDescent="0.25">
      <c r="A2951">
        <v>2950</v>
      </c>
      <c r="C2951">
        <v>29</v>
      </c>
      <c r="D2951" t="s">
        <v>2947</v>
      </c>
      <c r="E2951" t="s">
        <v>2955</v>
      </c>
      <c r="F2951" t="s">
        <v>5714</v>
      </c>
      <c r="G2951" s="2">
        <v>45684</v>
      </c>
      <c r="H2951" s="2">
        <v>45690</v>
      </c>
      <c r="I2951" t="s">
        <v>5762</v>
      </c>
      <c r="J2951" t="s">
        <v>5772</v>
      </c>
      <c r="K2951">
        <v>47226.7</v>
      </c>
      <c r="L2951" t="s">
        <v>5773</v>
      </c>
      <c r="M2951">
        <v>6</v>
      </c>
    </row>
    <row r="2952" spans="1:13" x14ac:dyDescent="0.25">
      <c r="A2952">
        <v>2951</v>
      </c>
      <c r="C2952">
        <v>19</v>
      </c>
      <c r="D2952" t="s">
        <v>2948</v>
      </c>
      <c r="E2952" t="s">
        <v>2953</v>
      </c>
      <c r="F2952" t="s">
        <v>1340</v>
      </c>
      <c r="G2952" s="2">
        <v>45913</v>
      </c>
      <c r="H2952" s="2">
        <v>45925</v>
      </c>
      <c r="I2952" t="s">
        <v>5759</v>
      </c>
      <c r="J2952" t="s">
        <v>5772</v>
      </c>
      <c r="K2952">
        <v>323348.78000000003</v>
      </c>
      <c r="L2952" t="s">
        <v>5773</v>
      </c>
      <c r="M2952">
        <v>12</v>
      </c>
    </row>
    <row r="2953" spans="1:13" x14ac:dyDescent="0.25">
      <c r="A2953">
        <v>2952</v>
      </c>
      <c r="C2953">
        <v>55</v>
      </c>
      <c r="D2953" t="s">
        <v>2947</v>
      </c>
      <c r="E2953" t="s">
        <v>2951</v>
      </c>
      <c r="F2953" t="s">
        <v>5715</v>
      </c>
      <c r="G2953" s="2">
        <v>45612</v>
      </c>
      <c r="H2953" s="2">
        <v>45614</v>
      </c>
      <c r="I2953" t="s">
        <v>5763</v>
      </c>
      <c r="J2953" t="s">
        <v>2949</v>
      </c>
      <c r="K2953">
        <v>227086.83</v>
      </c>
      <c r="L2953" t="s">
        <v>5774</v>
      </c>
      <c r="M2953">
        <v>2</v>
      </c>
    </row>
    <row r="2954" spans="1:13" x14ac:dyDescent="0.25">
      <c r="A2954">
        <v>2953</v>
      </c>
      <c r="C2954">
        <v>45</v>
      </c>
      <c r="D2954" t="s">
        <v>2948</v>
      </c>
      <c r="E2954" t="s">
        <v>2955</v>
      </c>
      <c r="F2954" t="s">
        <v>5716</v>
      </c>
      <c r="G2954" s="2">
        <v>45594</v>
      </c>
      <c r="H2954" s="2">
        <v>45609</v>
      </c>
      <c r="I2954" t="s">
        <v>5766</v>
      </c>
      <c r="J2954" t="s">
        <v>5771</v>
      </c>
      <c r="K2954">
        <v>56344.14</v>
      </c>
      <c r="L2954" t="s">
        <v>5774</v>
      </c>
      <c r="M2954">
        <v>15</v>
      </c>
    </row>
    <row r="2955" spans="1:13" x14ac:dyDescent="0.25">
      <c r="A2955">
        <v>2954</v>
      </c>
      <c r="C2955">
        <v>70</v>
      </c>
      <c r="D2955" t="s">
        <v>2948</v>
      </c>
      <c r="E2955" t="s">
        <v>2950</v>
      </c>
      <c r="F2955" t="s">
        <v>5717</v>
      </c>
      <c r="G2955" s="2">
        <v>45824</v>
      </c>
      <c r="H2955" s="2">
        <v>45834</v>
      </c>
      <c r="I2955" t="s">
        <v>5761</v>
      </c>
      <c r="J2955" t="s">
        <v>5768</v>
      </c>
      <c r="K2955">
        <v>167075.41</v>
      </c>
      <c r="L2955" t="s">
        <v>5775</v>
      </c>
      <c r="M2955">
        <v>10</v>
      </c>
    </row>
    <row r="2956" spans="1:13" x14ac:dyDescent="0.25">
      <c r="A2956">
        <v>2955</v>
      </c>
      <c r="C2956">
        <v>58</v>
      </c>
      <c r="D2956" t="s">
        <v>2947</v>
      </c>
      <c r="E2956" t="s">
        <v>2950</v>
      </c>
      <c r="F2956" t="s">
        <v>5718</v>
      </c>
      <c r="G2956" s="2">
        <v>45732</v>
      </c>
      <c r="H2956" s="2">
        <v>45747</v>
      </c>
      <c r="I2956" t="s">
        <v>5766</v>
      </c>
      <c r="J2956" t="s">
        <v>5769</v>
      </c>
      <c r="K2956">
        <v>405292.61</v>
      </c>
      <c r="L2956" t="s">
        <v>5775</v>
      </c>
      <c r="M2956">
        <v>15</v>
      </c>
    </row>
    <row r="2957" spans="1:13" x14ac:dyDescent="0.25">
      <c r="A2957">
        <v>2956</v>
      </c>
      <c r="C2957">
        <v>49</v>
      </c>
      <c r="D2957" t="s">
        <v>2948</v>
      </c>
      <c r="E2957" t="s">
        <v>2955</v>
      </c>
      <c r="F2957" t="s">
        <v>5719</v>
      </c>
      <c r="G2957" s="2">
        <v>45873</v>
      </c>
      <c r="H2957" s="2">
        <v>45883</v>
      </c>
      <c r="I2957" t="s">
        <v>5765</v>
      </c>
      <c r="J2957" t="s">
        <v>5768</v>
      </c>
      <c r="K2957">
        <v>374016.67</v>
      </c>
      <c r="L2957" t="s">
        <v>5775</v>
      </c>
      <c r="M2957">
        <v>10</v>
      </c>
    </row>
    <row r="2958" spans="1:13" x14ac:dyDescent="0.25">
      <c r="A2958">
        <v>2957</v>
      </c>
      <c r="C2958">
        <v>52</v>
      </c>
      <c r="D2958" t="s">
        <v>2947</v>
      </c>
      <c r="E2958" t="s">
        <v>2950</v>
      </c>
      <c r="F2958" t="s">
        <v>5720</v>
      </c>
      <c r="G2958" s="2">
        <v>45755</v>
      </c>
      <c r="H2958" s="2">
        <v>45758</v>
      </c>
      <c r="I2958" t="s">
        <v>5759</v>
      </c>
      <c r="J2958" t="s">
        <v>5771</v>
      </c>
      <c r="K2958">
        <v>485342.64</v>
      </c>
      <c r="L2958" t="s">
        <v>5774</v>
      </c>
      <c r="M2958">
        <v>3</v>
      </c>
    </row>
    <row r="2959" spans="1:13" x14ac:dyDescent="0.25">
      <c r="A2959">
        <v>2958</v>
      </c>
      <c r="C2959">
        <v>1</v>
      </c>
      <c r="D2959" t="s">
        <v>2947</v>
      </c>
      <c r="E2959" t="s">
        <v>2952</v>
      </c>
      <c r="F2959" t="s">
        <v>5721</v>
      </c>
      <c r="G2959" s="2">
        <v>45711</v>
      </c>
      <c r="H2959" s="2">
        <v>45719</v>
      </c>
      <c r="I2959" t="s">
        <v>5765</v>
      </c>
      <c r="J2959" t="s">
        <v>5768</v>
      </c>
      <c r="K2959">
        <v>315619.98</v>
      </c>
      <c r="L2959" t="s">
        <v>5774</v>
      </c>
      <c r="M2959">
        <v>8</v>
      </c>
    </row>
    <row r="2960" spans="1:13" x14ac:dyDescent="0.25">
      <c r="A2960">
        <v>2959</v>
      </c>
      <c r="C2960">
        <v>66</v>
      </c>
      <c r="D2960" t="s">
        <v>2948</v>
      </c>
      <c r="E2960" t="s">
        <v>2951</v>
      </c>
      <c r="F2960" t="s">
        <v>5722</v>
      </c>
      <c r="G2960" s="2">
        <v>45574</v>
      </c>
      <c r="H2960" s="2">
        <v>45577</v>
      </c>
      <c r="I2960" t="s">
        <v>5758</v>
      </c>
      <c r="J2960" t="s">
        <v>2949</v>
      </c>
      <c r="K2960">
        <v>186004.6</v>
      </c>
      <c r="L2960" t="s">
        <v>5775</v>
      </c>
      <c r="M2960">
        <v>3</v>
      </c>
    </row>
    <row r="2961" spans="1:13" x14ac:dyDescent="0.25">
      <c r="A2961">
        <v>2960</v>
      </c>
      <c r="C2961">
        <v>71</v>
      </c>
      <c r="D2961" t="s">
        <v>2948</v>
      </c>
      <c r="E2961" t="s">
        <v>2951</v>
      </c>
      <c r="F2961" t="s">
        <v>5723</v>
      </c>
      <c r="G2961" s="2">
        <v>45625</v>
      </c>
      <c r="H2961" s="2">
        <v>45631</v>
      </c>
      <c r="I2961" t="s">
        <v>5760</v>
      </c>
      <c r="J2961" t="s">
        <v>5772</v>
      </c>
      <c r="K2961">
        <v>390124.54</v>
      </c>
      <c r="L2961" t="s">
        <v>5773</v>
      </c>
      <c r="M2961">
        <v>6</v>
      </c>
    </row>
    <row r="2962" spans="1:13" x14ac:dyDescent="0.25">
      <c r="A2962">
        <v>2961</v>
      </c>
      <c r="C2962">
        <v>24</v>
      </c>
      <c r="D2962" t="s">
        <v>2948</v>
      </c>
      <c r="E2962" t="s">
        <v>2952</v>
      </c>
      <c r="F2962" t="s">
        <v>5724</v>
      </c>
      <c r="G2962" s="2">
        <v>45695</v>
      </c>
      <c r="H2962" s="2">
        <v>45710</v>
      </c>
      <c r="I2962" t="s">
        <v>5764</v>
      </c>
      <c r="J2962" t="s">
        <v>5772</v>
      </c>
      <c r="K2962">
        <v>494740.5</v>
      </c>
      <c r="L2962" t="s">
        <v>5774</v>
      </c>
      <c r="M2962">
        <v>15</v>
      </c>
    </row>
    <row r="2963" spans="1:13" x14ac:dyDescent="0.25">
      <c r="A2963">
        <v>2962</v>
      </c>
      <c r="C2963">
        <v>16</v>
      </c>
      <c r="D2963" t="s">
        <v>2948</v>
      </c>
      <c r="E2963" t="s">
        <v>2950</v>
      </c>
      <c r="F2963" t="s">
        <v>5725</v>
      </c>
      <c r="G2963" s="2">
        <v>45666</v>
      </c>
      <c r="H2963" s="2">
        <v>45677</v>
      </c>
      <c r="I2963" t="s">
        <v>5763</v>
      </c>
      <c r="J2963" t="s">
        <v>2949</v>
      </c>
      <c r="K2963">
        <v>242647.18</v>
      </c>
      <c r="L2963" t="s">
        <v>5774</v>
      </c>
      <c r="M2963">
        <v>11</v>
      </c>
    </row>
    <row r="2964" spans="1:13" x14ac:dyDescent="0.25">
      <c r="A2964">
        <v>2963</v>
      </c>
      <c r="C2964">
        <v>50</v>
      </c>
      <c r="D2964" t="s">
        <v>2948</v>
      </c>
      <c r="E2964" t="s">
        <v>2951</v>
      </c>
      <c r="F2964" t="s">
        <v>5726</v>
      </c>
      <c r="G2964" s="2">
        <v>45788</v>
      </c>
      <c r="H2964" s="2">
        <v>45795</v>
      </c>
      <c r="I2964" t="s">
        <v>5764</v>
      </c>
      <c r="J2964" t="s">
        <v>5772</v>
      </c>
      <c r="K2964">
        <v>20311.72</v>
      </c>
      <c r="L2964" t="s">
        <v>5773</v>
      </c>
      <c r="M2964">
        <v>7</v>
      </c>
    </row>
    <row r="2965" spans="1:13" x14ac:dyDescent="0.25">
      <c r="A2965">
        <v>2964</v>
      </c>
      <c r="C2965">
        <v>12</v>
      </c>
      <c r="D2965" t="s">
        <v>2947</v>
      </c>
      <c r="E2965" t="s">
        <v>2949</v>
      </c>
      <c r="F2965" t="s">
        <v>5727</v>
      </c>
      <c r="G2965" s="2">
        <v>45720</v>
      </c>
      <c r="H2965" s="2">
        <v>45728</v>
      </c>
      <c r="I2965" t="s">
        <v>5759</v>
      </c>
      <c r="J2965" t="s">
        <v>2949</v>
      </c>
      <c r="K2965">
        <v>77445.55</v>
      </c>
      <c r="L2965" t="s">
        <v>5775</v>
      </c>
      <c r="M2965">
        <v>8</v>
      </c>
    </row>
    <row r="2966" spans="1:13" x14ac:dyDescent="0.25">
      <c r="A2966">
        <v>2965</v>
      </c>
      <c r="C2966">
        <v>20</v>
      </c>
      <c r="D2966" t="s">
        <v>2947</v>
      </c>
      <c r="E2966" t="s">
        <v>2950</v>
      </c>
      <c r="F2966" t="s">
        <v>5728</v>
      </c>
      <c r="G2966" s="2">
        <v>45868</v>
      </c>
      <c r="H2966" s="2">
        <v>45879</v>
      </c>
      <c r="I2966" t="s">
        <v>5762</v>
      </c>
      <c r="J2966" t="s">
        <v>5772</v>
      </c>
      <c r="K2966">
        <v>155127</v>
      </c>
      <c r="L2966" t="s">
        <v>5773</v>
      </c>
      <c r="M2966">
        <v>11</v>
      </c>
    </row>
    <row r="2967" spans="1:13" x14ac:dyDescent="0.25">
      <c r="A2967">
        <v>2966</v>
      </c>
      <c r="C2967">
        <v>76</v>
      </c>
      <c r="D2967" t="s">
        <v>2948</v>
      </c>
      <c r="E2967" t="s">
        <v>2953</v>
      </c>
      <c r="F2967" t="s">
        <v>5729</v>
      </c>
      <c r="G2967" s="2">
        <v>45561</v>
      </c>
      <c r="H2967" s="2">
        <v>45563</v>
      </c>
      <c r="I2967" t="s">
        <v>5760</v>
      </c>
      <c r="J2967" t="s">
        <v>5770</v>
      </c>
      <c r="K2967">
        <v>347078.81</v>
      </c>
      <c r="L2967" t="s">
        <v>5774</v>
      </c>
      <c r="M2967">
        <v>2</v>
      </c>
    </row>
    <row r="2968" spans="1:13" x14ac:dyDescent="0.25">
      <c r="A2968">
        <v>2967</v>
      </c>
      <c r="C2968">
        <v>16</v>
      </c>
      <c r="D2968" t="s">
        <v>2947</v>
      </c>
      <c r="E2968" t="s">
        <v>2950</v>
      </c>
      <c r="F2968" t="s">
        <v>5730</v>
      </c>
      <c r="G2968" s="2">
        <v>45680</v>
      </c>
      <c r="H2968" s="2">
        <v>45694</v>
      </c>
      <c r="I2968" t="s">
        <v>5765</v>
      </c>
      <c r="J2968" t="s">
        <v>5770</v>
      </c>
      <c r="K2968">
        <v>124670.51</v>
      </c>
      <c r="L2968" t="s">
        <v>5773</v>
      </c>
      <c r="M2968">
        <v>14</v>
      </c>
    </row>
    <row r="2969" spans="1:13" x14ac:dyDescent="0.25">
      <c r="A2969">
        <v>2968</v>
      </c>
      <c r="C2969">
        <v>10</v>
      </c>
      <c r="D2969" t="s">
        <v>2948</v>
      </c>
      <c r="E2969" t="s">
        <v>2954</v>
      </c>
      <c r="F2969" t="s">
        <v>5731</v>
      </c>
      <c r="G2969" s="2">
        <v>45647</v>
      </c>
      <c r="H2969" s="2">
        <v>45659</v>
      </c>
      <c r="I2969" t="s">
        <v>5767</v>
      </c>
      <c r="J2969" t="s">
        <v>5771</v>
      </c>
      <c r="K2969">
        <v>436792.89</v>
      </c>
      <c r="L2969" t="s">
        <v>5774</v>
      </c>
      <c r="M2969">
        <v>12</v>
      </c>
    </row>
    <row r="2970" spans="1:13" x14ac:dyDescent="0.25">
      <c r="A2970">
        <v>2969</v>
      </c>
      <c r="C2970">
        <v>52</v>
      </c>
      <c r="D2970" t="s">
        <v>2947</v>
      </c>
      <c r="E2970" t="s">
        <v>2954</v>
      </c>
      <c r="F2970" t="s">
        <v>5732</v>
      </c>
      <c r="G2970" s="2">
        <v>45845</v>
      </c>
      <c r="H2970" s="2">
        <v>45860</v>
      </c>
      <c r="I2970" t="s">
        <v>5764</v>
      </c>
      <c r="J2970" t="s">
        <v>5769</v>
      </c>
      <c r="K2970">
        <v>403181.15</v>
      </c>
      <c r="L2970" t="s">
        <v>5774</v>
      </c>
      <c r="M2970">
        <v>15</v>
      </c>
    </row>
    <row r="2971" spans="1:13" x14ac:dyDescent="0.25">
      <c r="A2971">
        <v>2970</v>
      </c>
      <c r="C2971">
        <v>40</v>
      </c>
      <c r="D2971" t="s">
        <v>2948</v>
      </c>
      <c r="E2971" t="s">
        <v>2949</v>
      </c>
      <c r="F2971" t="s">
        <v>3558</v>
      </c>
      <c r="G2971" s="2">
        <v>45875</v>
      </c>
      <c r="H2971" s="2">
        <v>45882</v>
      </c>
      <c r="I2971" t="s">
        <v>5762</v>
      </c>
      <c r="J2971" t="s">
        <v>5768</v>
      </c>
      <c r="K2971">
        <v>486384.13</v>
      </c>
      <c r="L2971" t="s">
        <v>5775</v>
      </c>
      <c r="M2971">
        <v>7</v>
      </c>
    </row>
    <row r="2972" spans="1:13" x14ac:dyDescent="0.25">
      <c r="A2972">
        <v>2971</v>
      </c>
      <c r="C2972">
        <v>46</v>
      </c>
      <c r="D2972" t="s">
        <v>2947</v>
      </c>
      <c r="E2972" t="s">
        <v>2955</v>
      </c>
      <c r="F2972" t="s">
        <v>5733</v>
      </c>
      <c r="G2972" s="2">
        <v>45800</v>
      </c>
      <c r="H2972" s="2">
        <v>45807</v>
      </c>
      <c r="I2972" t="s">
        <v>5764</v>
      </c>
      <c r="J2972" t="s">
        <v>5768</v>
      </c>
      <c r="K2972">
        <v>30107.57</v>
      </c>
      <c r="L2972" t="s">
        <v>5773</v>
      </c>
      <c r="M2972">
        <v>7</v>
      </c>
    </row>
    <row r="2973" spans="1:13" x14ac:dyDescent="0.25">
      <c r="A2973">
        <v>2972</v>
      </c>
      <c r="C2973">
        <v>23</v>
      </c>
      <c r="D2973" t="s">
        <v>2948</v>
      </c>
      <c r="E2973" t="s">
        <v>2950</v>
      </c>
      <c r="F2973" t="s">
        <v>1527</v>
      </c>
      <c r="G2973" s="2">
        <v>45676</v>
      </c>
      <c r="H2973" s="2">
        <v>45681</v>
      </c>
      <c r="I2973" t="s">
        <v>5760</v>
      </c>
      <c r="J2973" t="s">
        <v>5769</v>
      </c>
      <c r="K2973">
        <v>190606.75</v>
      </c>
      <c r="L2973" t="s">
        <v>5774</v>
      </c>
      <c r="M2973">
        <v>5</v>
      </c>
    </row>
    <row r="2974" spans="1:13" x14ac:dyDescent="0.25">
      <c r="A2974">
        <v>2973</v>
      </c>
      <c r="C2974">
        <v>10</v>
      </c>
      <c r="D2974" t="s">
        <v>2947</v>
      </c>
      <c r="E2974" t="s">
        <v>2954</v>
      </c>
      <c r="F2974" t="s">
        <v>2134</v>
      </c>
      <c r="G2974" s="2">
        <v>45626</v>
      </c>
      <c r="H2974" s="2">
        <v>45641</v>
      </c>
      <c r="I2974" t="s">
        <v>5766</v>
      </c>
      <c r="J2974" t="s">
        <v>5770</v>
      </c>
      <c r="K2974">
        <v>454820.19</v>
      </c>
      <c r="L2974" t="s">
        <v>5774</v>
      </c>
      <c r="M2974">
        <v>15</v>
      </c>
    </row>
    <row r="2975" spans="1:13" x14ac:dyDescent="0.25">
      <c r="A2975">
        <v>2974</v>
      </c>
      <c r="C2975">
        <v>74</v>
      </c>
      <c r="D2975" t="s">
        <v>2947</v>
      </c>
      <c r="E2975" t="s">
        <v>2953</v>
      </c>
      <c r="F2975" t="s">
        <v>5734</v>
      </c>
      <c r="G2975" s="2">
        <v>45851</v>
      </c>
      <c r="H2975" s="2">
        <v>45863</v>
      </c>
      <c r="I2975" t="s">
        <v>5765</v>
      </c>
      <c r="J2975" t="s">
        <v>2949</v>
      </c>
      <c r="K2975">
        <v>113115.92</v>
      </c>
      <c r="L2975" t="s">
        <v>5773</v>
      </c>
      <c r="M2975">
        <v>12</v>
      </c>
    </row>
    <row r="2976" spans="1:13" x14ac:dyDescent="0.25">
      <c r="A2976">
        <v>2975</v>
      </c>
      <c r="C2976">
        <v>75</v>
      </c>
      <c r="D2976" t="s">
        <v>2947</v>
      </c>
      <c r="E2976" t="s">
        <v>2952</v>
      </c>
      <c r="F2976" t="s">
        <v>5735</v>
      </c>
      <c r="G2976" s="2">
        <v>45661</v>
      </c>
      <c r="H2976" s="2">
        <v>45668</v>
      </c>
      <c r="I2976" t="s">
        <v>5766</v>
      </c>
      <c r="J2976" t="s">
        <v>2949</v>
      </c>
      <c r="K2976">
        <v>154353.60999999999</v>
      </c>
      <c r="L2976" t="s">
        <v>5775</v>
      </c>
      <c r="M2976">
        <v>7</v>
      </c>
    </row>
    <row r="2977" spans="1:13" x14ac:dyDescent="0.25">
      <c r="A2977">
        <v>2976</v>
      </c>
      <c r="C2977">
        <v>57</v>
      </c>
      <c r="D2977" t="s">
        <v>2948</v>
      </c>
      <c r="E2977" t="s">
        <v>2954</v>
      </c>
      <c r="F2977" t="s">
        <v>5736</v>
      </c>
      <c r="G2977" s="2">
        <v>45692</v>
      </c>
      <c r="H2977" s="2">
        <v>45701</v>
      </c>
      <c r="I2977" t="s">
        <v>5765</v>
      </c>
      <c r="J2977" t="s">
        <v>5770</v>
      </c>
      <c r="K2977">
        <v>314268.95</v>
      </c>
      <c r="L2977" t="s">
        <v>5773</v>
      </c>
      <c r="M2977">
        <v>9</v>
      </c>
    </row>
    <row r="2978" spans="1:13" x14ac:dyDescent="0.25">
      <c r="A2978">
        <v>2977</v>
      </c>
      <c r="C2978">
        <v>2</v>
      </c>
      <c r="D2978" t="s">
        <v>2947</v>
      </c>
      <c r="E2978" t="s">
        <v>2949</v>
      </c>
      <c r="F2978" t="s">
        <v>5737</v>
      </c>
      <c r="G2978" s="2">
        <v>45652</v>
      </c>
      <c r="H2978" s="2">
        <v>45655</v>
      </c>
      <c r="I2978" t="s">
        <v>5764</v>
      </c>
      <c r="J2978" t="s">
        <v>5770</v>
      </c>
      <c r="K2978">
        <v>231722.13</v>
      </c>
      <c r="L2978" t="s">
        <v>5774</v>
      </c>
      <c r="M2978">
        <v>3</v>
      </c>
    </row>
    <row r="2979" spans="1:13" x14ac:dyDescent="0.25">
      <c r="A2979">
        <v>2978</v>
      </c>
      <c r="C2979">
        <v>28</v>
      </c>
      <c r="D2979" t="s">
        <v>2947</v>
      </c>
      <c r="E2979" t="s">
        <v>2955</v>
      </c>
      <c r="F2979" t="s">
        <v>5738</v>
      </c>
      <c r="G2979" s="2">
        <v>45805</v>
      </c>
      <c r="H2979" s="2">
        <v>45809</v>
      </c>
      <c r="I2979" t="s">
        <v>5758</v>
      </c>
      <c r="J2979" t="s">
        <v>5772</v>
      </c>
      <c r="K2979">
        <v>133821.87</v>
      </c>
      <c r="L2979" t="s">
        <v>5773</v>
      </c>
      <c r="M2979">
        <v>4</v>
      </c>
    </row>
    <row r="2980" spans="1:13" x14ac:dyDescent="0.25">
      <c r="A2980">
        <v>2979</v>
      </c>
      <c r="C2980">
        <v>48</v>
      </c>
      <c r="D2980" t="s">
        <v>2948</v>
      </c>
      <c r="E2980" t="s">
        <v>2949</v>
      </c>
      <c r="F2980" t="s">
        <v>5739</v>
      </c>
      <c r="G2980" s="2">
        <v>45603</v>
      </c>
      <c r="H2980" s="2">
        <v>45615</v>
      </c>
      <c r="I2980" t="s">
        <v>5765</v>
      </c>
      <c r="J2980" t="s">
        <v>5771</v>
      </c>
      <c r="K2980">
        <v>88220.800000000003</v>
      </c>
      <c r="L2980" t="s">
        <v>5775</v>
      </c>
      <c r="M2980">
        <v>12</v>
      </c>
    </row>
    <row r="2981" spans="1:13" x14ac:dyDescent="0.25">
      <c r="A2981">
        <v>2980</v>
      </c>
      <c r="C2981">
        <v>62</v>
      </c>
      <c r="D2981" t="s">
        <v>2948</v>
      </c>
      <c r="E2981" t="s">
        <v>2955</v>
      </c>
      <c r="F2981" t="s">
        <v>4520</v>
      </c>
      <c r="G2981" s="2">
        <v>45906</v>
      </c>
      <c r="H2981" s="2">
        <v>45921</v>
      </c>
      <c r="I2981" t="s">
        <v>5763</v>
      </c>
      <c r="J2981" t="s">
        <v>2949</v>
      </c>
      <c r="K2981">
        <v>489606.57</v>
      </c>
      <c r="L2981" t="s">
        <v>5773</v>
      </c>
      <c r="M2981">
        <v>15</v>
      </c>
    </row>
    <row r="2982" spans="1:13" x14ac:dyDescent="0.25">
      <c r="A2982">
        <v>2981</v>
      </c>
      <c r="C2982">
        <v>51</v>
      </c>
      <c r="D2982" t="s">
        <v>2948</v>
      </c>
      <c r="E2982" t="s">
        <v>2950</v>
      </c>
      <c r="F2982" t="s">
        <v>5740</v>
      </c>
      <c r="G2982" s="2">
        <v>45840</v>
      </c>
      <c r="H2982" s="2">
        <v>45846</v>
      </c>
      <c r="I2982" t="s">
        <v>5763</v>
      </c>
      <c r="J2982" t="s">
        <v>5770</v>
      </c>
      <c r="K2982">
        <v>244520.82</v>
      </c>
      <c r="L2982" t="s">
        <v>5773</v>
      </c>
      <c r="M2982">
        <v>6</v>
      </c>
    </row>
    <row r="2983" spans="1:13" x14ac:dyDescent="0.25">
      <c r="A2983">
        <v>2982</v>
      </c>
      <c r="C2983">
        <v>59</v>
      </c>
      <c r="D2983" t="s">
        <v>2947</v>
      </c>
      <c r="E2983" t="s">
        <v>2953</v>
      </c>
      <c r="F2983" t="s">
        <v>5741</v>
      </c>
      <c r="G2983" s="2">
        <v>45790</v>
      </c>
      <c r="H2983" s="2">
        <v>45797</v>
      </c>
      <c r="I2983" t="s">
        <v>5763</v>
      </c>
      <c r="J2983" t="s">
        <v>2949</v>
      </c>
      <c r="K2983">
        <v>298059.49</v>
      </c>
      <c r="L2983" t="s">
        <v>5774</v>
      </c>
      <c r="M2983">
        <v>7</v>
      </c>
    </row>
    <row r="2984" spans="1:13" x14ac:dyDescent="0.25">
      <c r="A2984">
        <v>2983</v>
      </c>
      <c r="C2984">
        <v>64</v>
      </c>
      <c r="D2984" t="s">
        <v>2947</v>
      </c>
      <c r="E2984" t="s">
        <v>2950</v>
      </c>
      <c r="F2984" t="s">
        <v>5742</v>
      </c>
      <c r="G2984" s="2">
        <v>45721</v>
      </c>
      <c r="H2984" s="2">
        <v>45728</v>
      </c>
      <c r="I2984" t="s">
        <v>5758</v>
      </c>
      <c r="J2984" t="s">
        <v>5769</v>
      </c>
      <c r="K2984">
        <v>437430.93</v>
      </c>
      <c r="L2984" t="s">
        <v>5773</v>
      </c>
      <c r="M2984">
        <v>7</v>
      </c>
    </row>
    <row r="2985" spans="1:13" x14ac:dyDescent="0.25">
      <c r="A2985">
        <v>2984</v>
      </c>
      <c r="C2985">
        <v>76</v>
      </c>
      <c r="D2985" t="s">
        <v>2947</v>
      </c>
      <c r="E2985" t="s">
        <v>2949</v>
      </c>
      <c r="F2985" t="s">
        <v>5743</v>
      </c>
      <c r="G2985" s="2">
        <v>45549</v>
      </c>
      <c r="H2985" s="2">
        <v>45564</v>
      </c>
      <c r="I2985" t="s">
        <v>5760</v>
      </c>
      <c r="J2985" t="s">
        <v>5768</v>
      </c>
      <c r="K2985">
        <v>445645.16</v>
      </c>
      <c r="L2985" t="s">
        <v>5774</v>
      </c>
      <c r="M2985">
        <v>15</v>
      </c>
    </row>
    <row r="2986" spans="1:13" x14ac:dyDescent="0.25">
      <c r="A2986">
        <v>2985</v>
      </c>
      <c r="C2986">
        <v>58</v>
      </c>
      <c r="D2986" t="s">
        <v>2947</v>
      </c>
      <c r="E2986" t="s">
        <v>2954</v>
      </c>
      <c r="F2986" t="s">
        <v>5744</v>
      </c>
      <c r="G2986" s="2">
        <v>45601</v>
      </c>
      <c r="H2986" s="2">
        <v>45610</v>
      </c>
      <c r="I2986" t="s">
        <v>5761</v>
      </c>
      <c r="J2986" t="s">
        <v>5770</v>
      </c>
      <c r="K2986">
        <v>188332.3</v>
      </c>
      <c r="L2986" t="s">
        <v>5773</v>
      </c>
      <c r="M2986">
        <v>9</v>
      </c>
    </row>
    <row r="2987" spans="1:13" x14ac:dyDescent="0.25">
      <c r="A2987">
        <v>2986</v>
      </c>
      <c r="C2987">
        <v>42</v>
      </c>
      <c r="D2987" t="s">
        <v>2948</v>
      </c>
      <c r="E2987" t="s">
        <v>2950</v>
      </c>
      <c r="F2987" t="s">
        <v>5745</v>
      </c>
      <c r="G2987" s="2">
        <v>45746</v>
      </c>
      <c r="H2987" s="2">
        <v>45756</v>
      </c>
      <c r="I2987" t="s">
        <v>5762</v>
      </c>
      <c r="J2987" t="s">
        <v>5770</v>
      </c>
      <c r="K2987">
        <v>7840.37</v>
      </c>
      <c r="L2987" t="s">
        <v>5774</v>
      </c>
      <c r="M2987">
        <v>10</v>
      </c>
    </row>
    <row r="2988" spans="1:13" x14ac:dyDescent="0.25">
      <c r="A2988">
        <v>2987</v>
      </c>
      <c r="C2988">
        <v>28</v>
      </c>
      <c r="D2988" t="s">
        <v>2948</v>
      </c>
      <c r="E2988" t="s">
        <v>2951</v>
      </c>
      <c r="F2988" t="s">
        <v>5746</v>
      </c>
      <c r="G2988" s="2">
        <v>45853</v>
      </c>
      <c r="H2988" s="2">
        <v>45854</v>
      </c>
      <c r="I2988" t="s">
        <v>5764</v>
      </c>
      <c r="J2988" t="s">
        <v>5769</v>
      </c>
      <c r="K2988">
        <v>455689.59</v>
      </c>
      <c r="L2988" t="s">
        <v>5775</v>
      </c>
      <c r="M2988">
        <v>1</v>
      </c>
    </row>
    <row r="2989" spans="1:13" x14ac:dyDescent="0.25">
      <c r="A2989">
        <v>2988</v>
      </c>
      <c r="C2989">
        <v>10</v>
      </c>
      <c r="D2989" t="s">
        <v>2947</v>
      </c>
      <c r="E2989" t="s">
        <v>2953</v>
      </c>
      <c r="F2989" t="s">
        <v>5747</v>
      </c>
      <c r="G2989" s="2">
        <v>45873</v>
      </c>
      <c r="H2989" s="2">
        <v>45874</v>
      </c>
      <c r="I2989" t="s">
        <v>5761</v>
      </c>
      <c r="J2989" t="s">
        <v>5768</v>
      </c>
      <c r="K2989">
        <v>466831.94</v>
      </c>
      <c r="L2989" t="s">
        <v>5773</v>
      </c>
      <c r="M2989">
        <v>1</v>
      </c>
    </row>
    <row r="2990" spans="1:13" x14ac:dyDescent="0.25">
      <c r="A2990">
        <v>2989</v>
      </c>
      <c r="C2990">
        <v>7</v>
      </c>
      <c r="D2990" t="s">
        <v>2948</v>
      </c>
      <c r="E2990" t="s">
        <v>2955</v>
      </c>
      <c r="F2990" t="s">
        <v>5748</v>
      </c>
      <c r="G2990" s="2">
        <v>45760</v>
      </c>
      <c r="H2990" s="2">
        <v>45763</v>
      </c>
      <c r="I2990" t="s">
        <v>5759</v>
      </c>
      <c r="J2990" t="s">
        <v>5768</v>
      </c>
      <c r="K2990">
        <v>69623.100000000006</v>
      </c>
      <c r="L2990" t="s">
        <v>5773</v>
      </c>
      <c r="M2990">
        <v>3</v>
      </c>
    </row>
    <row r="2991" spans="1:13" x14ac:dyDescent="0.25">
      <c r="A2991">
        <v>2990</v>
      </c>
      <c r="C2991">
        <v>33</v>
      </c>
      <c r="D2991" t="s">
        <v>2948</v>
      </c>
      <c r="E2991" t="s">
        <v>2954</v>
      </c>
      <c r="F2991" t="s">
        <v>5749</v>
      </c>
      <c r="G2991" s="2">
        <v>45676</v>
      </c>
      <c r="H2991" s="2">
        <v>45683</v>
      </c>
      <c r="I2991" t="s">
        <v>5762</v>
      </c>
      <c r="J2991" t="s">
        <v>5770</v>
      </c>
      <c r="K2991">
        <v>478607.44</v>
      </c>
      <c r="L2991" t="s">
        <v>5774</v>
      </c>
      <c r="M2991">
        <v>7</v>
      </c>
    </row>
    <row r="2992" spans="1:13" x14ac:dyDescent="0.25">
      <c r="A2992">
        <v>2991</v>
      </c>
      <c r="C2992">
        <v>51</v>
      </c>
      <c r="D2992" t="s">
        <v>2947</v>
      </c>
      <c r="E2992" t="s">
        <v>2950</v>
      </c>
      <c r="F2992" t="s">
        <v>5750</v>
      </c>
      <c r="G2992" s="2">
        <v>45896</v>
      </c>
      <c r="H2992" s="2">
        <v>45901</v>
      </c>
      <c r="I2992" t="s">
        <v>5765</v>
      </c>
      <c r="J2992" t="s">
        <v>2949</v>
      </c>
      <c r="K2992">
        <v>187009.4</v>
      </c>
      <c r="L2992" t="s">
        <v>5773</v>
      </c>
      <c r="M2992">
        <v>5</v>
      </c>
    </row>
    <row r="2993" spans="1:13" x14ac:dyDescent="0.25">
      <c r="A2993">
        <v>2992</v>
      </c>
      <c r="C2993">
        <v>17</v>
      </c>
      <c r="D2993" t="s">
        <v>2948</v>
      </c>
      <c r="E2993" t="s">
        <v>2951</v>
      </c>
      <c r="F2993" t="s">
        <v>3367</v>
      </c>
      <c r="G2993" s="2">
        <v>45655</v>
      </c>
      <c r="H2993" s="2">
        <v>45657</v>
      </c>
      <c r="I2993" t="s">
        <v>5762</v>
      </c>
      <c r="J2993" t="s">
        <v>5772</v>
      </c>
      <c r="K2993">
        <v>466829.97</v>
      </c>
      <c r="L2993" t="s">
        <v>5773</v>
      </c>
      <c r="M2993">
        <v>2</v>
      </c>
    </row>
    <row r="2994" spans="1:13" x14ac:dyDescent="0.25">
      <c r="A2994">
        <v>2993</v>
      </c>
      <c r="C2994">
        <v>15</v>
      </c>
      <c r="D2994" t="s">
        <v>2948</v>
      </c>
      <c r="E2994" t="s">
        <v>2953</v>
      </c>
      <c r="F2994" t="s">
        <v>5751</v>
      </c>
      <c r="G2994" s="2">
        <v>45792</v>
      </c>
      <c r="H2994" s="2">
        <v>45797</v>
      </c>
      <c r="I2994" t="s">
        <v>5767</v>
      </c>
      <c r="J2994" t="s">
        <v>5768</v>
      </c>
      <c r="K2994">
        <v>388227.86</v>
      </c>
      <c r="L2994" t="s">
        <v>5774</v>
      </c>
      <c r="M2994">
        <v>5</v>
      </c>
    </row>
    <row r="2995" spans="1:13" x14ac:dyDescent="0.25">
      <c r="A2995">
        <v>2994</v>
      </c>
      <c r="C2995">
        <v>8</v>
      </c>
      <c r="D2995" t="s">
        <v>2947</v>
      </c>
      <c r="E2995" t="s">
        <v>2952</v>
      </c>
      <c r="F2995" t="s">
        <v>5752</v>
      </c>
      <c r="G2995" s="2">
        <v>45902</v>
      </c>
      <c r="H2995" s="2">
        <v>45916</v>
      </c>
      <c r="I2995" t="s">
        <v>5767</v>
      </c>
      <c r="J2995" t="s">
        <v>5768</v>
      </c>
      <c r="K2995">
        <v>392925.24</v>
      </c>
      <c r="L2995" t="s">
        <v>5773</v>
      </c>
      <c r="M2995">
        <v>14</v>
      </c>
    </row>
    <row r="2996" spans="1:13" x14ac:dyDescent="0.25">
      <c r="A2996">
        <v>2995</v>
      </c>
      <c r="C2996">
        <v>18</v>
      </c>
      <c r="D2996" t="s">
        <v>2948</v>
      </c>
      <c r="E2996" t="s">
        <v>2950</v>
      </c>
      <c r="F2996" t="s">
        <v>5753</v>
      </c>
      <c r="G2996" s="2">
        <v>45554</v>
      </c>
      <c r="H2996" s="2">
        <v>45565</v>
      </c>
      <c r="I2996" t="s">
        <v>5763</v>
      </c>
      <c r="J2996" t="s">
        <v>5772</v>
      </c>
      <c r="K2996">
        <v>354278.40000000002</v>
      </c>
      <c r="L2996" t="s">
        <v>5773</v>
      </c>
      <c r="M2996">
        <v>11</v>
      </c>
    </row>
    <row r="2997" spans="1:13" x14ac:dyDescent="0.25">
      <c r="A2997">
        <v>2996</v>
      </c>
      <c r="C2997">
        <v>61</v>
      </c>
      <c r="D2997" t="s">
        <v>2947</v>
      </c>
      <c r="E2997" t="s">
        <v>2955</v>
      </c>
      <c r="F2997" t="s">
        <v>5754</v>
      </c>
      <c r="G2997" s="2">
        <v>45683</v>
      </c>
      <c r="H2997" s="2">
        <v>45688</v>
      </c>
      <c r="I2997" t="s">
        <v>5765</v>
      </c>
      <c r="J2997" t="s">
        <v>5771</v>
      </c>
      <c r="K2997">
        <v>98938.44</v>
      </c>
      <c r="L2997" t="s">
        <v>5774</v>
      </c>
      <c r="M2997">
        <v>5</v>
      </c>
    </row>
    <row r="2998" spans="1:13" x14ac:dyDescent="0.25">
      <c r="A2998">
        <v>2997</v>
      </c>
      <c r="C2998">
        <v>86</v>
      </c>
      <c r="D2998" t="s">
        <v>2947</v>
      </c>
      <c r="E2998" t="s">
        <v>2949</v>
      </c>
      <c r="F2998" t="s">
        <v>5755</v>
      </c>
      <c r="G2998" s="2">
        <v>45659</v>
      </c>
      <c r="H2998" s="2">
        <v>45668</v>
      </c>
      <c r="I2998" t="s">
        <v>5761</v>
      </c>
      <c r="J2998" t="s">
        <v>2949</v>
      </c>
      <c r="K2998">
        <v>183714.06</v>
      </c>
      <c r="L2998" t="s">
        <v>5773</v>
      </c>
      <c r="M2998">
        <v>9</v>
      </c>
    </row>
    <row r="2999" spans="1:13" x14ac:dyDescent="0.25">
      <c r="A2999">
        <v>2998</v>
      </c>
      <c r="C2999">
        <v>12</v>
      </c>
      <c r="D2999" t="s">
        <v>2948</v>
      </c>
      <c r="E2999" t="s">
        <v>2955</v>
      </c>
      <c r="F2999" t="s">
        <v>735</v>
      </c>
      <c r="G2999" s="2">
        <v>45885</v>
      </c>
      <c r="H2999" s="2">
        <v>45887</v>
      </c>
      <c r="I2999" t="s">
        <v>5764</v>
      </c>
      <c r="J2999" t="s">
        <v>2949</v>
      </c>
      <c r="K2999">
        <v>52224.51</v>
      </c>
      <c r="L2999" t="s">
        <v>5775</v>
      </c>
      <c r="M2999">
        <v>2</v>
      </c>
    </row>
    <row r="3000" spans="1:13" x14ac:dyDescent="0.25">
      <c r="A3000">
        <v>2999</v>
      </c>
      <c r="C3000">
        <v>73</v>
      </c>
      <c r="D3000" t="s">
        <v>2948</v>
      </c>
      <c r="E3000" t="s">
        <v>2949</v>
      </c>
      <c r="F3000" t="s">
        <v>5756</v>
      </c>
      <c r="G3000" s="2">
        <v>45610</v>
      </c>
      <c r="H3000" s="2">
        <v>45624</v>
      </c>
      <c r="I3000" t="s">
        <v>5764</v>
      </c>
      <c r="J3000" t="s">
        <v>5770</v>
      </c>
      <c r="K3000">
        <v>306755.48</v>
      </c>
      <c r="L3000" t="s">
        <v>5775</v>
      </c>
      <c r="M3000">
        <v>14</v>
      </c>
    </row>
    <row r="3001" spans="1:13" x14ac:dyDescent="0.25">
      <c r="A3001">
        <v>3000</v>
      </c>
      <c r="C3001">
        <v>43</v>
      </c>
      <c r="D3001" t="s">
        <v>2947</v>
      </c>
      <c r="E3001" t="s">
        <v>2951</v>
      </c>
      <c r="F3001" t="s">
        <v>5757</v>
      </c>
      <c r="G3001" s="2">
        <v>45689</v>
      </c>
      <c r="H3001" s="2">
        <v>45697</v>
      </c>
      <c r="I3001" t="s">
        <v>5761</v>
      </c>
      <c r="J3001" t="s">
        <v>5769</v>
      </c>
      <c r="K3001">
        <v>261136.72</v>
      </c>
      <c r="L3001" t="s">
        <v>5775</v>
      </c>
      <c r="M3001">
        <v>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ADEWUYI ISRAEL</cp:lastModifiedBy>
  <cp:lastPrinted>2025-09-16T03:17:25Z</cp:lastPrinted>
  <dcterms:created xsi:type="dcterms:W3CDTF">2025-09-15T22:25:49Z</dcterms:created>
  <dcterms:modified xsi:type="dcterms:W3CDTF">2026-02-05T23:38:07Z</dcterms:modified>
</cp:coreProperties>
</file>